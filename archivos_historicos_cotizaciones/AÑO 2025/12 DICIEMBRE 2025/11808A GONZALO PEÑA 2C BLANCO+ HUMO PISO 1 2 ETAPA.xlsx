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C25A3E71-F577-4274-B1F6-BF78E188A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3" i="1" l="1"/>
  <c r="T63" i="1"/>
  <c r="U61" i="1"/>
  <c r="U62" i="1"/>
  <c r="T62" i="1"/>
  <c r="U48" i="1"/>
  <c r="U49" i="1"/>
  <c r="U50" i="1"/>
  <c r="U51" i="1"/>
  <c r="U54" i="1" s="1"/>
  <c r="U57" i="1" s="1"/>
  <c r="U60" i="1" s="1"/>
  <c r="U52" i="1"/>
  <c r="U53" i="1"/>
  <c r="U55" i="1"/>
  <c r="U58" i="1" s="1"/>
  <c r="U56" i="1"/>
  <c r="U59" i="1"/>
  <c r="U47" i="1"/>
  <c r="U46" i="1"/>
  <c r="U45" i="1"/>
  <c r="U44" i="1"/>
  <c r="T44" i="1"/>
  <c r="U43" i="1"/>
  <c r="T43" i="1"/>
  <c r="U42" i="1"/>
  <c r="T42" i="1"/>
  <c r="U41" i="1"/>
  <c r="T41" i="1"/>
  <c r="U40" i="1"/>
  <c r="U39" i="1"/>
  <c r="U38" i="1"/>
  <c r="T38" i="1"/>
  <c r="U37" i="1"/>
  <c r="T37" i="1"/>
  <c r="U36" i="1"/>
  <c r="U35" i="1"/>
  <c r="U34" i="1"/>
  <c r="T33" i="1"/>
  <c r="U33" i="1"/>
  <c r="U32" i="1"/>
  <c r="T32" i="1"/>
  <c r="U30" i="1"/>
  <c r="U31" i="1"/>
  <c r="T29" i="1"/>
  <c r="T28" i="1"/>
  <c r="U28" i="1"/>
  <c r="U29" i="1"/>
  <c r="U27" i="1"/>
  <c r="U26" i="1"/>
  <c r="T26" i="1"/>
  <c r="U25" i="1"/>
  <c r="T25" i="1"/>
  <c r="T24" i="1"/>
  <c r="T23" i="1"/>
  <c r="U23" i="1"/>
  <c r="U24" i="1"/>
  <c r="U22" i="1"/>
  <c r="U21" i="1"/>
  <c r="T21" i="1"/>
  <c r="Q67" i="1"/>
  <c r="O63" i="1"/>
  <c r="P63" i="1" s="1"/>
  <c r="Q63" i="1" s="1"/>
  <c r="O62" i="1"/>
  <c r="P62" i="1" s="1"/>
  <c r="Q62" i="1" s="1"/>
  <c r="O61" i="1"/>
  <c r="P61" i="1" s="1"/>
  <c r="Q61" i="1" s="1"/>
  <c r="O60" i="1"/>
  <c r="P60" i="1" s="1"/>
  <c r="Q60" i="1" s="1"/>
  <c r="O59" i="1"/>
  <c r="P59" i="1" s="1"/>
  <c r="Q59" i="1" s="1"/>
  <c r="O58" i="1"/>
  <c r="P58" i="1" s="1"/>
  <c r="Q58" i="1" s="1"/>
  <c r="O57" i="1"/>
  <c r="P57" i="1" s="1"/>
  <c r="Q57" i="1" s="1"/>
  <c r="O56" i="1"/>
  <c r="P56" i="1"/>
  <c r="Q56" i="1"/>
  <c r="O55" i="1"/>
  <c r="P55" i="1" s="1"/>
  <c r="Q55" i="1" s="1"/>
  <c r="O54" i="1"/>
  <c r="P54" i="1" s="1"/>
  <c r="Q54" i="1" s="1"/>
  <c r="O53" i="1"/>
  <c r="P53" i="1" s="1"/>
  <c r="Q53" i="1" s="1"/>
  <c r="O52" i="1"/>
  <c r="P52" i="1" s="1"/>
  <c r="Q52" i="1" s="1"/>
  <c r="O51" i="1"/>
  <c r="P51" i="1" s="1"/>
  <c r="Q51" i="1" s="1"/>
  <c r="O50" i="1"/>
  <c r="P50" i="1" s="1"/>
  <c r="Q50" i="1" s="1"/>
  <c r="O49" i="1"/>
  <c r="P49" i="1" s="1"/>
  <c r="Q49" i="1" s="1"/>
  <c r="O48" i="1"/>
  <c r="P48" i="1" s="1"/>
  <c r="Q48" i="1" s="1"/>
  <c r="O47" i="1"/>
  <c r="P47" i="1"/>
  <c r="Q47" i="1"/>
  <c r="O46" i="1"/>
  <c r="P46" i="1"/>
  <c r="Q46" i="1" s="1"/>
  <c r="O45" i="1"/>
  <c r="P45" i="1" s="1"/>
  <c r="Q45" i="1" s="1"/>
  <c r="O44" i="1"/>
  <c r="P44" i="1" s="1"/>
  <c r="Q44" i="1" s="1"/>
  <c r="O43" i="1"/>
  <c r="P43" i="1" s="1"/>
  <c r="Q43" i="1" s="1"/>
  <c r="O42" i="1"/>
  <c r="P42" i="1" s="1"/>
  <c r="Q42" i="1" s="1"/>
  <c r="O41" i="1"/>
  <c r="P41" i="1" s="1"/>
  <c r="Q41" i="1" s="1"/>
  <c r="O40" i="1"/>
  <c r="P40" i="1" s="1"/>
  <c r="Q40" i="1" s="1"/>
  <c r="O39" i="1"/>
  <c r="P39" i="1"/>
  <c r="Q39" i="1"/>
  <c r="O38" i="1"/>
  <c r="P38" i="1" s="1"/>
  <c r="Q38" i="1" s="1"/>
  <c r="O37" i="1"/>
  <c r="P37" i="1" s="1"/>
  <c r="Q37" i="1" s="1"/>
  <c r="O36" i="1"/>
  <c r="P36" i="1" s="1"/>
  <c r="Q36" i="1" s="1"/>
  <c r="O35" i="1"/>
  <c r="P35" i="1" s="1"/>
  <c r="Q35" i="1" s="1"/>
  <c r="O34" i="1"/>
  <c r="P34" i="1" s="1"/>
  <c r="Q34" i="1" s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B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23" i="1" l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P31" i="1" l="1"/>
  <c r="Q31" i="1" s="1"/>
  <c r="P27" i="1"/>
  <c r="Q27" i="1" s="1"/>
  <c r="P23" i="1"/>
  <c r="Q23" i="1" s="1"/>
  <c r="P32" i="1"/>
  <c r="Q32" i="1" s="1"/>
  <c r="P28" i="1"/>
  <c r="Q28" i="1" s="1"/>
  <c r="P24" i="1"/>
  <c r="Q24" i="1" s="1"/>
  <c r="P33" i="1"/>
  <c r="Q33" i="1" s="1"/>
  <c r="P29" i="1"/>
  <c r="Q29" i="1" s="1"/>
  <c r="P25" i="1"/>
  <c r="Q25" i="1" s="1"/>
  <c r="P30" i="1"/>
  <c r="Q30" i="1" s="1"/>
  <c r="P26" i="1"/>
  <c r="Q26" i="1" s="1"/>
  <c r="M22" i="1"/>
  <c r="N22" i="1"/>
  <c r="O22" i="1"/>
  <c r="M21" i="1"/>
  <c r="N5" i="6"/>
  <c r="A2" i="7"/>
  <c r="P22" i="1" l="1"/>
  <c r="Q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14" i="6" s="1"/>
  <c r="C27" i="6"/>
  <c r="F21" i="6" s="1"/>
  <c r="B27" i="6"/>
  <c r="I21" i="6" s="1"/>
  <c r="K21" i="6"/>
  <c r="J21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T68" i="1" s="1"/>
  <c r="N67" i="1" l="1"/>
  <c r="U66" i="1"/>
  <c r="P21" i="1"/>
  <c r="Q21" i="1" s="1"/>
  <c r="L81" i="1"/>
  <c r="T69" i="1" l="1"/>
  <c r="T70" i="1" s="1"/>
  <c r="T71" i="1" s="1"/>
  <c r="W74" i="1"/>
  <c r="W75" i="1" s="1"/>
  <c r="Q68" i="1" l="1"/>
  <c r="O20" i="1"/>
  <c r="M20" i="1"/>
  <c r="Q69" i="1" l="1"/>
  <c r="Q70" i="1" s="1"/>
  <c r="N72" i="1" s="1"/>
  <c r="P74" i="1"/>
  <c r="S78" i="1"/>
  <c r="S79" i="1" l="1"/>
  <c r="P73" i="1" s="1"/>
  <c r="P7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77" i="1"/>
  <c r="P76" i="1"/>
  <c r="F18" i="3" l="1"/>
  <c r="P72" i="1" l="1"/>
  <c r="P78" i="1" s="1"/>
  <c r="P79" i="1" s="1"/>
  <c r="D20" i="3" l="1"/>
  <c r="E20" i="3" s="1"/>
  <c r="E21" i="3" s="1"/>
  <c r="P80" i="1" l="1"/>
  <c r="R20" i="1" s="1"/>
  <c r="D21" i="3"/>
  <c r="M43" i="3" s="1"/>
  <c r="D12" i="3" s="1"/>
  <c r="F20" i="3"/>
  <c r="F21" i="3" s="1"/>
  <c r="R62" i="1" l="1"/>
  <c r="S62" i="1" s="1"/>
  <c r="H62" i="1" s="1"/>
  <c r="I62" i="1" s="1"/>
  <c r="R63" i="1"/>
  <c r="S63" i="1" s="1"/>
  <c r="H63" i="1" s="1"/>
  <c r="I63" i="1" s="1"/>
  <c r="R60" i="1"/>
  <c r="S60" i="1" s="1"/>
  <c r="H60" i="1" s="1"/>
  <c r="I60" i="1" s="1"/>
  <c r="R61" i="1"/>
  <c r="S61" i="1" s="1"/>
  <c r="H61" i="1" s="1"/>
  <c r="I61" i="1" s="1"/>
  <c r="R58" i="1"/>
  <c r="S58" i="1" s="1"/>
  <c r="H58" i="1" s="1"/>
  <c r="I58" i="1" s="1"/>
  <c r="R59" i="1"/>
  <c r="S59" i="1" s="1"/>
  <c r="H59" i="1" s="1"/>
  <c r="I59" i="1" s="1"/>
  <c r="R56" i="1"/>
  <c r="S56" i="1" s="1"/>
  <c r="H56" i="1" s="1"/>
  <c r="I56" i="1" s="1"/>
  <c r="R57" i="1"/>
  <c r="S57" i="1" s="1"/>
  <c r="H57" i="1" s="1"/>
  <c r="I57" i="1" s="1"/>
  <c r="R54" i="1"/>
  <c r="S54" i="1" s="1"/>
  <c r="H54" i="1" s="1"/>
  <c r="I54" i="1" s="1"/>
  <c r="R55" i="1"/>
  <c r="S55" i="1" s="1"/>
  <c r="H55" i="1" s="1"/>
  <c r="I55" i="1" s="1"/>
  <c r="R52" i="1"/>
  <c r="S52" i="1" s="1"/>
  <c r="H52" i="1" s="1"/>
  <c r="I52" i="1" s="1"/>
  <c r="R53" i="1"/>
  <c r="S53" i="1" s="1"/>
  <c r="H53" i="1" s="1"/>
  <c r="I53" i="1" s="1"/>
  <c r="R50" i="1"/>
  <c r="S50" i="1" s="1"/>
  <c r="H50" i="1" s="1"/>
  <c r="I50" i="1" s="1"/>
  <c r="R51" i="1"/>
  <c r="S51" i="1" s="1"/>
  <c r="H51" i="1" s="1"/>
  <c r="I51" i="1" s="1"/>
  <c r="R48" i="1"/>
  <c r="S48" i="1" s="1"/>
  <c r="H48" i="1" s="1"/>
  <c r="I48" i="1" s="1"/>
  <c r="R49" i="1"/>
  <c r="S49" i="1" s="1"/>
  <c r="H49" i="1" s="1"/>
  <c r="I49" i="1" s="1"/>
  <c r="R46" i="1"/>
  <c r="S46" i="1" s="1"/>
  <c r="H46" i="1" s="1"/>
  <c r="I46" i="1" s="1"/>
  <c r="R47" i="1"/>
  <c r="S47" i="1" s="1"/>
  <c r="H47" i="1" s="1"/>
  <c r="I47" i="1" s="1"/>
  <c r="R44" i="1"/>
  <c r="S44" i="1" s="1"/>
  <c r="H44" i="1" s="1"/>
  <c r="I44" i="1" s="1"/>
  <c r="R45" i="1"/>
  <c r="S45" i="1" s="1"/>
  <c r="H45" i="1" s="1"/>
  <c r="I45" i="1" s="1"/>
  <c r="R42" i="1"/>
  <c r="S42" i="1" s="1"/>
  <c r="H42" i="1" s="1"/>
  <c r="I42" i="1" s="1"/>
  <c r="R43" i="1"/>
  <c r="S43" i="1" s="1"/>
  <c r="H43" i="1" s="1"/>
  <c r="I43" i="1" s="1"/>
  <c r="R40" i="1"/>
  <c r="S40" i="1" s="1"/>
  <c r="H40" i="1" s="1"/>
  <c r="I40" i="1" s="1"/>
  <c r="R41" i="1"/>
  <c r="S41" i="1" s="1"/>
  <c r="H41" i="1" s="1"/>
  <c r="I41" i="1" s="1"/>
  <c r="R38" i="1"/>
  <c r="S38" i="1" s="1"/>
  <c r="H38" i="1" s="1"/>
  <c r="I38" i="1" s="1"/>
  <c r="R39" i="1"/>
  <c r="S39" i="1" s="1"/>
  <c r="H39" i="1" s="1"/>
  <c r="I39" i="1" s="1"/>
  <c r="R36" i="1"/>
  <c r="S36" i="1" s="1"/>
  <c r="H36" i="1" s="1"/>
  <c r="I36" i="1" s="1"/>
  <c r="R37" i="1"/>
  <c r="S37" i="1" s="1"/>
  <c r="H37" i="1" s="1"/>
  <c r="I37" i="1" s="1"/>
  <c r="R34" i="1"/>
  <c r="S34" i="1" s="1"/>
  <c r="H34" i="1" s="1"/>
  <c r="I34" i="1" s="1"/>
  <c r="R35" i="1"/>
  <c r="S35" i="1" s="1"/>
  <c r="H35" i="1" s="1"/>
  <c r="I35" i="1" s="1"/>
  <c r="R22" i="1"/>
  <c r="S22" i="1" s="1"/>
  <c r="H22" i="1" s="1"/>
  <c r="I22" i="1" s="1"/>
  <c r="R30" i="1"/>
  <c r="S30" i="1" s="1"/>
  <c r="H30" i="1" s="1"/>
  <c r="I30" i="1" s="1"/>
  <c r="R26" i="1"/>
  <c r="S26" i="1" s="1"/>
  <c r="H26" i="1" s="1"/>
  <c r="I26" i="1" s="1"/>
  <c r="R32" i="1"/>
  <c r="S32" i="1" s="1"/>
  <c r="H32" i="1" s="1"/>
  <c r="I32" i="1" s="1"/>
  <c r="R24" i="1"/>
  <c r="S24" i="1" s="1"/>
  <c r="H24" i="1" s="1"/>
  <c r="I24" i="1" s="1"/>
  <c r="R27" i="1"/>
  <c r="S27" i="1" s="1"/>
  <c r="H27" i="1" s="1"/>
  <c r="I27" i="1" s="1"/>
  <c r="R33" i="1"/>
  <c r="S33" i="1" s="1"/>
  <c r="H33" i="1" s="1"/>
  <c r="I33" i="1" s="1"/>
  <c r="R29" i="1"/>
  <c r="S29" i="1" s="1"/>
  <c r="H29" i="1" s="1"/>
  <c r="I29" i="1" s="1"/>
  <c r="R25" i="1"/>
  <c r="S25" i="1" s="1"/>
  <c r="H25" i="1" s="1"/>
  <c r="I25" i="1" s="1"/>
  <c r="R28" i="1"/>
  <c r="S28" i="1" s="1"/>
  <c r="H28" i="1" s="1"/>
  <c r="I28" i="1" s="1"/>
  <c r="R31" i="1"/>
  <c r="S31" i="1" s="1"/>
  <c r="H31" i="1" s="1"/>
  <c r="I31" i="1" s="1"/>
  <c r="R23" i="1"/>
  <c r="S23" i="1" s="1"/>
  <c r="H23" i="1" s="1"/>
  <c r="I23" i="1" s="1"/>
  <c r="P81" i="1"/>
  <c r="E15" i="3"/>
  <c r="R21" i="1" l="1"/>
  <c r="F15" i="3"/>
  <c r="S21" i="1" l="1"/>
  <c r="H21" i="1" s="1"/>
  <c r="I21" i="1" l="1"/>
  <c r="I66" i="1" s="1"/>
  <c r="I67" i="1" s="1"/>
  <c r="G22" i="4" l="1"/>
  <c r="H22" i="4" s="1"/>
  <c r="H25" i="4" s="1"/>
  <c r="I68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<sst xmlns="http://schemas.openxmlformats.org/spreadsheetml/2006/main" count="615" uniqueCount="301">
  <si>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</si>
  <si>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</si>
  <si>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</si>
  <si>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</si>
  <si>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</si>
  <si>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</si>
  <si>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</si>
  <si>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</si>
  <si>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</si>
  <si>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</si>
  <si>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</si>
  <si>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</si>
  <si>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</si>
  <si>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</si>
  <si>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</si>
  <si>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</si>
  <si>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</si>
  <si>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</si>
  <si>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</si>
  <si>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</si>
  <si>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</si>
  <si>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</si>
  <si>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</si>
  <si>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</si>
  <si>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</si>
  <si>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</si>
  <si>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</si>
  <si>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</si>
  <si>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</si>
  <si>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</si>
  <si>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</si>
  <si>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</si>
  <si>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</si>
  <si>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</si>
  <si>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</si>
  <si>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</si>
  <si>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</si>
  <si>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</si>
  <si>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</si>
  <si>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</si>
  <si>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</si>
  <si>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</si>
  <si>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</si>
  <si>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</si>
  <si>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</si>
  <si>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</si>
  <si>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</si>
  <si>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</si>
  <si>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</si>
  <si>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</si>
  <si>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</si>
  <si>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</si>
  <si>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</si>
  <si>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</si>
  <si>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</si>
  <si>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</si>
  <si>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</si>
  <si>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</si>
  <si>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</si>
  <si>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</si>
  <si>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</si>
  <si>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</si>
  <si>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</si>
  <si>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</si>
  <si>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</si>
  <si>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</si>
  <si>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</si>
  <si>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</si>
  <si>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</si>
  <si>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</si>
  <si>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</si>
  <si>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</si>
  <si>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</si>
  <si>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</si>
  <si>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</si>
  <si>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</si>
  <si>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</si>
  <si>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</si>
  <si>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</si>
  <si>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</si>
  <si>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</si>
  <si>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</si>
  <si>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</si>
  <si>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</si>
  <si>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</si>
  <si>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</si>
  <si>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</si>
  <si>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</si>
  <si>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</si>
  <si>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</si>
  <si>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</si>
  <si>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</si>
  <si>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</si>
  <si>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</si>
  <si>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</si>
  <si>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</si>
  <si>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</si>
  <si>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</si>
  <si>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</si>
  <si>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</si>
  <si>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</si>
  <si>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</si>
  <si>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</si>
  <si>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</si>
  <si>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</si>
  <si>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</si>
  <si>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</si>
  <si>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</si>
  <si>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</si>
  <si>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</si>
  <si>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</si>
  <si>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</si>
  <si>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</si>
  <si>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</si>
  <si>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</si>
  <si>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</si>
  <si>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</si>
  <si>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</si>
  <si>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</si>
  <si>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</si>
  <si>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</si>
  <si>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</si>
  <si>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</si>
  <si>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</si>
  <si>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</si>
  <si>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</si>
  <si>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</si>
  <si>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</si>
  <si>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</si>
  <si>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</si>
  <si>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</si>
  <si>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</si>
  <si>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</si>
  <si>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</si>
  <si>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</si>
  <si>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</si>
  <si>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</si>
  <si>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</si>
  <si>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</si>
  <si>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</si>
  <si>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</si>
  <si>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</si>
  <si>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</si>
  <si>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</si>
  <si>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</si>
  <si>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</si>
  <si>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</si>
  <si>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</si>
  <si>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</si>
  <si>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</si>
  <si>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</si>
  <si>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</si>
  <si>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</si>
  <si>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</si>
  <si>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</si>
  <si>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</si>
  <si>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</si>
  <si>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</si>
  <si>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</si>
  <si>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</si>
  <si>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</si>
  <si>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</si>
  <si>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</si>
  <si>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</si>
  <si>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</si>
  <si>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</si>
  <si>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</si>
  <si>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</si>
  <si>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</si>
  <si>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</si>
  <si>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</si>
  <si>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</si>
  <si>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</si>
  <si>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</si>
  <si>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</si>
  <si>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</si>
  <si>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</si>
  <si>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</si>
  <si>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</si>
  <si>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</si>
  <si>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</si>
  <si>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</si>
  <si>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</si>
  <si>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</si>
  <si>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</si>
  <si>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</si>
  <si>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</si>
  <si>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</si>
  <si>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</si>
  <si>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</si>
  <si>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</si>
  <si>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</si>
  <si>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</si>
  <si>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</si>
  <si>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</si>
  <si>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</si>
  <si>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</si>
  <si>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</si>
  <si>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</si>
  <si>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</si>
  <si>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</si>
  <si>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</si>
  <si>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</si>
  <si>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</si>
  <si>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</si>
  <si>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</si>
  <si>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</si>
  <si>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</si>
  <si>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</si>
  <si>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</si>
  <si>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</si>
  <si>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</si>
  <si>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</si>
  <si>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</si>
  <si>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</si>
  <si>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</si>
  <si>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</si>
  <si>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</si>
  <si>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</si>
  <si>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</si>
  <si>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</si>
  <si>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</si>
  <si>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</si>
  <si>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</si>
  <si>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</si>
  <si>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</si>
  <si>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</si>
  <si>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</si>
  <si>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</si>
  <si>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</si>
  <si>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</si>
  <si>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</si>
  <si>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</si>
  <si>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</si>
  <si>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</si>
  <si>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</si>
  <si>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</si>
  <si>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</si>
  <si>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</si>
  <si>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</si>
  <si>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</si>
  <si>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</si>
  <si>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</si>
  <si>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</si>
  <si>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</si>
  <si>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</si>
  <si>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</si>
  <si>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</si>
  <si>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</si>
  <si>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</si>
  <si>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</si>
  <si>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</si>
  <si>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</si>
  <si>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</si>
  <si>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</si>
  <si>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</si>
  <si>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</si>
  <si>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</si>
  <si>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</si>
  <si>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</si>
  <si>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</si>
  <si>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</si>
  <si>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</si>
  <si>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</si>
  <si>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</si>
  <si>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</si>
  <si>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</si>
  <si>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</si>
  <si>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</si>
  <si>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</si>
  <si>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</si>
  <si>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</si>
  <si>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</si>
  <si>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</si>
  <si>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</si>
  <si>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</si>
  <si>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</si>
  <si>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</si>
  <si>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</si>
  <si>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</si>
  <si>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</si>
  <si>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</si>
  <si>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</si>
  <si>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</si>
  <si>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</si>
  <si>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</si>
  <si>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</si>
  <si>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TAPACANTO 100 MTS 1,5X22</t>
  </si>
  <si>
    <t>GONZALO PEÑA</t>
  </si>
  <si>
    <t>15 DIAS HABILES</t>
  </si>
  <si>
    <t>SI</t>
  </si>
  <si>
    <t>Cotizado por: Fernando Donoso</t>
  </si>
  <si>
    <t>ENCHAPE RECTO 1 CARA MDF 18MM</t>
  </si>
  <si>
    <t>ENCHAPE RECTO 2 CARAS MDF 18MM</t>
  </si>
  <si>
    <t>BLANCO + HUMO 2108 MT</t>
  </si>
  <si>
    <t>1A + 2L</t>
  </si>
  <si>
    <t xml:space="preserve">1A </t>
  </si>
  <si>
    <t>1A + 1L</t>
  </si>
  <si>
    <t>2A + 2L</t>
  </si>
  <si>
    <t>1A</t>
  </si>
  <si>
    <t>N° 11808A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</si>
</sst>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69</xdr:row>
      <xdr:rowOff>8194</xdr:rowOff>
    </xdr:from>
    <xdr:to>
      <xdr:col>9</xdr:col>
      <xdr:colOff>8193</xdr:colOff>
      <xdr:row>72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71</xdr:row>
      <xdr:rowOff>154305</xdr:rowOff>
    </xdr:from>
    <xdr:to>
      <xdr:col>8</xdr:col>
      <xdr:colOff>853440</xdr:colOff>
      <xdr:row>71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69</xdr:row>
      <xdr:rowOff>9525</xdr:rowOff>
    </xdr:from>
    <xdr:to>
      <xdr:col>6</xdr:col>
      <xdr:colOff>1745226</xdr:colOff>
      <xdr:row>72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214364</xdr:rowOff>
    </xdr:from>
    <xdr:to>
      <xdr:col>6</xdr:col>
      <xdr:colOff>1728839</xdr:colOff>
      <xdr:row>67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23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300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288</v>
      </c>
      <c r="D10" s="243"/>
      <c r="E10" s="243"/>
      <c r="F10" s="243"/>
      <c r="G10" s="418" t="s">
        <v>275</v>
      </c>
      <c r="H10" s="275">
        <v>46008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289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290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291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P80</f>
        <v>67556.353805184452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21</v>
      </c>
      <c r="C21" s="430" t="s">
        <v>293</v>
      </c>
      <c r="D21" s="431">
        <v>0.66400000000000003</v>
      </c>
      <c r="E21" s="431">
        <v>0.309</v>
      </c>
      <c r="F21" s="431" t="s">
        <v>295</v>
      </c>
      <c r="G21" s="430" t="s">
        <v>294</v>
      </c>
      <c r="H21" s="432">
        <f>S21</f>
        <v>16202.611634903489</v>
      </c>
      <c r="I21" s="432">
        <f>H21*B21</f>
        <v>340254.8443329733</v>
      </c>
      <c r="J21" s="306"/>
      <c r="K21" s="264"/>
      <c r="L21" s="47"/>
      <c r="M21" s="47">
        <f>B21</f>
        <v>21</v>
      </c>
      <c r="N21" s="39">
        <f>D21+N$19</f>
        <v>0.68400000000000005</v>
      </c>
      <c r="O21" s="39">
        <f>E21+$O$19</f>
        <v>0.32900000000000001</v>
      </c>
      <c r="P21" s="260">
        <f t="shared" ref="P21" si="0">N21*O21</f>
        <v>0.22503600000000001</v>
      </c>
      <c r="Q21" s="258">
        <f t="shared" ref="Q21" si="1">P21*M21</f>
        <v>4.7257560000000005</v>
      </c>
      <c r="R21" s="251">
        <f t="shared" ref="R21" si="2">R$20*P21</f>
        <v>15202.611634903489</v>
      </c>
      <c r="S21" s="305">
        <f t="shared" ref="S21" si="3">R21+S$20</f>
        <v>16202.611634903489</v>
      </c>
      <c r="T21" s="290">
        <f>N21*2*M21</f>
        <v>28.728000000000002</v>
      </c>
      <c r="U21" s="46">
        <f>O21*M21</f>
        <v>6.9090000000000007</v>
      </c>
      <c r="V21" s="9"/>
      <c r="Y21" s="4"/>
    </row>
    <row r="22" spans="2:26" ht="17.399999999999999" x14ac:dyDescent="0.3">
      <c r="B22" s="430">
        <v>21</v>
      </c>
      <c r="C22" s="430" t="s">
        <v>292</v>
      </c>
      <c r="D22" s="431">
        <v>0.66400000000000003</v>
      </c>
      <c r="E22" s="431">
        <v>0.28899999999999998</v>
      </c>
      <c r="F22" s="431" t="s">
        <v>296</v>
      </c>
      <c r="G22" s="430" t="s">
        <v>294</v>
      </c>
      <c r="H22" s="432">
        <f t="shared" ref="H22:H63" si="4">S22</f>
        <v>15278.440714848566</v>
      </c>
      <c r="I22" s="432">
        <f t="shared" ref="I22:I63" si="5">H22*B22</f>
        <v>320847.25501181989</v>
      </c>
      <c r="J22" s="306"/>
      <c r="K22" s="264"/>
      <c r="L22" s="47"/>
      <c r="M22" s="47">
        <f>B22</f>
        <v>21</v>
      </c>
      <c r="N22" s="39">
        <f>D22+N$19</f>
        <v>0.68400000000000005</v>
      </c>
      <c r="O22" s="39">
        <f>E22+$O$19</f>
        <v>0.309</v>
      </c>
      <c r="P22" s="260">
        <f t="shared" ref="P22" si="6">N22*O22</f>
        <v>0.21135600000000002</v>
      </c>
      <c r="Q22" s="258">
        <f t="shared" ref="Q22" si="7">P22*M22</f>
        <v>4.4384760000000005</v>
      </c>
      <c r="R22" s="251">
        <f t="shared" ref="R22" si="8">R$20*P22</f>
        <v>14278.440714848566</v>
      </c>
      <c r="S22" s="305">
        <f t="shared" ref="S22" si="9">R22+S$20</f>
        <v>15278.440714848566</v>
      </c>
      <c r="T22" s="290"/>
      <c r="U22" s="46">
        <f>O22*M22</f>
        <v>6.4889999999999999</v>
      </c>
      <c r="V22" s="9"/>
      <c r="Y22" s="4"/>
    </row>
    <row r="23" spans="2:26" ht="17.399999999999999" x14ac:dyDescent="0.3">
      <c r="B23" s="430">
        <v>21</v>
      </c>
      <c r="C23" s="430" t="s">
        <v>292</v>
      </c>
      <c r="D23" s="431">
        <v>0.79700000000000004</v>
      </c>
      <c r="E23" s="431">
        <v>0.28899999999999998</v>
      </c>
      <c r="F23" s="431" t="s">
        <v>297</v>
      </c>
      <c r="G23" s="430" t="s">
        <v>294</v>
      </c>
      <c r="H23" s="432">
        <f t="shared" si="4"/>
        <v>18054.804187180234</v>
      </c>
      <c r="I23" s="432">
        <f t="shared" si="5"/>
        <v>379150.8879307849</v>
      </c>
      <c r="J23" s="306"/>
      <c r="K23" s="264"/>
      <c r="L23" s="47"/>
      <c r="M23" s="47">
        <f t="shared" ref="M23:M63" si="10">B23</f>
        <v>21</v>
      </c>
      <c r="N23" s="39">
        <f t="shared" ref="N23:N63" si="11">D23+N$19</f>
        <v>0.81700000000000006</v>
      </c>
      <c r="O23" s="39">
        <f t="shared" ref="O23:O63" si="12">E23+$O$19</f>
        <v>0.309</v>
      </c>
      <c r="P23" s="260">
        <f t="shared" ref="P23:P63" si="13">N23*O23</f>
        <v>0.25245300000000004</v>
      </c>
      <c r="Q23" s="258">
        <f t="shared" ref="Q23:Q63" si="14">P23*M23</f>
        <v>5.3015130000000008</v>
      </c>
      <c r="R23" s="251">
        <f t="shared" ref="R23:R63" si="15">R$20*P23</f>
        <v>17054.804187180234</v>
      </c>
      <c r="S23" s="305">
        <f t="shared" ref="S23:S63" si="16">R23+S$20</f>
        <v>18054.804187180234</v>
      </c>
      <c r="T23" s="290">
        <f>N23*M23</f>
        <v>17.157</v>
      </c>
      <c r="U23" s="46">
        <f t="shared" ref="U23:U24" si="17">O23*M23</f>
        <v>6.4889999999999999</v>
      </c>
      <c r="V23" s="9"/>
      <c r="Y23" s="4"/>
    </row>
    <row r="24" spans="2:26" ht="17.399999999999999" x14ac:dyDescent="0.3">
      <c r="B24" s="430">
        <v>21</v>
      </c>
      <c r="C24" s="430" t="s">
        <v>292</v>
      </c>
      <c r="D24" s="431">
        <v>0.79700000000000004</v>
      </c>
      <c r="E24" s="431">
        <v>0.28899999999999998</v>
      </c>
      <c r="F24" s="431" t="s">
        <v>297</v>
      </c>
      <c r="G24" s="430" t="s">
        <v>294</v>
      </c>
      <c r="H24" s="432">
        <f t="shared" si="4"/>
        <v>18054.804187180234</v>
      </c>
      <c r="I24" s="432">
        <f t="shared" si="5"/>
        <v>379150.8879307849</v>
      </c>
      <c r="J24" s="306"/>
      <c r="K24" s="264"/>
      <c r="L24" s="47"/>
      <c r="M24" s="47">
        <f t="shared" si="10"/>
        <v>21</v>
      </c>
      <c r="N24" s="39">
        <f t="shared" si="11"/>
        <v>0.81700000000000006</v>
      </c>
      <c r="O24" s="39">
        <f t="shared" si="12"/>
        <v>0.309</v>
      </c>
      <c r="P24" s="260">
        <f t="shared" si="13"/>
        <v>0.25245300000000004</v>
      </c>
      <c r="Q24" s="258">
        <f t="shared" si="14"/>
        <v>5.3015130000000008</v>
      </c>
      <c r="R24" s="251">
        <f t="shared" si="15"/>
        <v>17054.804187180234</v>
      </c>
      <c r="S24" s="305">
        <f t="shared" si="16"/>
        <v>18054.804187180234</v>
      </c>
      <c r="T24" s="290">
        <f>N24*M24</f>
        <v>17.157</v>
      </c>
      <c r="U24" s="46">
        <f t="shared" si="17"/>
        <v>6.4889999999999999</v>
      </c>
      <c r="V24" s="9"/>
      <c r="Y24" s="4"/>
    </row>
    <row r="25" spans="2:26" ht="17.399999999999999" x14ac:dyDescent="0.3">
      <c r="B25" s="430">
        <v>42</v>
      </c>
      <c r="C25" s="430" t="s">
        <v>292</v>
      </c>
      <c r="D25" s="431">
        <v>0.7</v>
      </c>
      <c r="E25" s="431">
        <v>0.34599999999999997</v>
      </c>
      <c r="F25" s="431" t="s">
        <v>298</v>
      </c>
      <c r="G25" s="430" t="s">
        <v>294</v>
      </c>
      <c r="H25" s="432">
        <f t="shared" si="4"/>
        <v>18802.450354742206</v>
      </c>
      <c r="I25" s="432">
        <f t="shared" si="5"/>
        <v>789702.91489917273</v>
      </c>
      <c r="J25" s="306"/>
      <c r="K25" s="264"/>
      <c r="L25" s="47"/>
      <c r="M25" s="47">
        <f t="shared" si="10"/>
        <v>42</v>
      </c>
      <c r="N25" s="39">
        <f t="shared" si="11"/>
        <v>0.72</v>
      </c>
      <c r="O25" s="39">
        <f t="shared" si="12"/>
        <v>0.36599999999999999</v>
      </c>
      <c r="P25" s="260">
        <f t="shared" si="13"/>
        <v>0.26351999999999998</v>
      </c>
      <c r="Q25" s="258">
        <f t="shared" si="14"/>
        <v>11.067839999999999</v>
      </c>
      <c r="R25" s="251">
        <f t="shared" si="15"/>
        <v>17802.450354742206</v>
      </c>
      <c r="S25" s="305">
        <f t="shared" si="16"/>
        <v>18802.450354742206</v>
      </c>
      <c r="T25" s="290">
        <f>N25*2*M25</f>
        <v>60.48</v>
      </c>
      <c r="U25" s="46">
        <f>O25*2*M25</f>
        <v>30.744</v>
      </c>
      <c r="V25" s="9"/>
      <c r="Y25" s="4"/>
    </row>
    <row r="26" spans="2:26" ht="17.399999999999999" x14ac:dyDescent="0.3">
      <c r="B26" s="430">
        <v>21</v>
      </c>
      <c r="C26" s="430" t="s">
        <v>292</v>
      </c>
      <c r="D26" s="431">
        <v>0.66400000000000003</v>
      </c>
      <c r="E26" s="431">
        <v>0.309</v>
      </c>
      <c r="F26" s="431" t="s">
        <v>295</v>
      </c>
      <c r="G26" s="430" t="s">
        <v>294</v>
      </c>
      <c r="H26" s="432">
        <f t="shared" si="4"/>
        <v>16202.611634903489</v>
      </c>
      <c r="I26" s="432">
        <f t="shared" si="5"/>
        <v>340254.8443329733</v>
      </c>
      <c r="J26" s="306"/>
      <c r="K26" s="264"/>
      <c r="L26" s="47"/>
      <c r="M26" s="47">
        <f t="shared" si="10"/>
        <v>21</v>
      </c>
      <c r="N26" s="39">
        <f t="shared" si="11"/>
        <v>0.68400000000000005</v>
      </c>
      <c r="O26" s="39">
        <f t="shared" si="12"/>
        <v>0.32900000000000001</v>
      </c>
      <c r="P26" s="260">
        <f t="shared" si="13"/>
        <v>0.22503600000000001</v>
      </c>
      <c r="Q26" s="258">
        <f t="shared" si="14"/>
        <v>4.7257560000000005</v>
      </c>
      <c r="R26" s="251">
        <f t="shared" si="15"/>
        <v>15202.611634903489</v>
      </c>
      <c r="S26" s="305">
        <f t="shared" si="16"/>
        <v>16202.611634903489</v>
      </c>
      <c r="T26" s="290">
        <f>N26*2*M26</f>
        <v>28.728000000000002</v>
      </c>
      <c r="U26" s="46">
        <f>O26*M26</f>
        <v>6.9090000000000007</v>
      </c>
      <c r="V26" s="9"/>
      <c r="Y26" s="4"/>
    </row>
    <row r="27" spans="2:26" ht="17.399999999999999" x14ac:dyDescent="0.3">
      <c r="B27" s="430">
        <v>21</v>
      </c>
      <c r="C27" s="430" t="s">
        <v>292</v>
      </c>
      <c r="D27" s="431">
        <v>0.66400000000000003</v>
      </c>
      <c r="E27" s="431">
        <v>0.28899999999999998</v>
      </c>
      <c r="F27" s="431" t="s">
        <v>299</v>
      </c>
      <c r="G27" s="430" t="s">
        <v>294</v>
      </c>
      <c r="H27" s="432">
        <f t="shared" si="4"/>
        <v>15278.440714848566</v>
      </c>
      <c r="I27" s="432">
        <f t="shared" si="5"/>
        <v>320847.25501181989</v>
      </c>
      <c r="J27" s="306"/>
      <c r="K27" s="264"/>
      <c r="L27" s="47"/>
      <c r="M27" s="47">
        <f t="shared" si="10"/>
        <v>21</v>
      </c>
      <c r="N27" s="39">
        <f t="shared" si="11"/>
        <v>0.68400000000000005</v>
      </c>
      <c r="O27" s="39">
        <f t="shared" si="12"/>
        <v>0.309</v>
      </c>
      <c r="P27" s="260">
        <f t="shared" si="13"/>
        <v>0.21135600000000002</v>
      </c>
      <c r="Q27" s="258">
        <f t="shared" si="14"/>
        <v>4.4384760000000005</v>
      </c>
      <c r="R27" s="251">
        <f t="shared" si="15"/>
        <v>14278.440714848566</v>
      </c>
      <c r="S27" s="305">
        <f t="shared" si="16"/>
        <v>15278.440714848566</v>
      </c>
      <c r="T27" s="290"/>
      <c r="U27" s="46">
        <f>O27*M27</f>
        <v>6.4889999999999999</v>
      </c>
      <c r="V27" s="9"/>
      <c r="Y27" s="4"/>
    </row>
    <row r="28" spans="2:26" ht="17.399999999999999" x14ac:dyDescent="0.3">
      <c r="B28" s="430">
        <v>21</v>
      </c>
      <c r="C28" s="430" t="s">
        <v>292</v>
      </c>
      <c r="D28" s="431">
        <v>0.79700000000000004</v>
      </c>
      <c r="E28" s="431">
        <v>0.28899999999999998</v>
      </c>
      <c r="F28" s="431" t="s">
        <v>297</v>
      </c>
      <c r="G28" s="430" t="s">
        <v>294</v>
      </c>
      <c r="H28" s="432">
        <f t="shared" si="4"/>
        <v>18054.804187180234</v>
      </c>
      <c r="I28" s="432">
        <f t="shared" si="5"/>
        <v>379150.8879307849</v>
      </c>
      <c r="J28" s="306"/>
      <c r="K28" s="264"/>
      <c r="L28" s="47"/>
      <c r="M28" s="47">
        <f t="shared" si="10"/>
        <v>21</v>
      </c>
      <c r="N28" s="39">
        <f t="shared" si="11"/>
        <v>0.81700000000000006</v>
      </c>
      <c r="O28" s="39">
        <f t="shared" si="12"/>
        <v>0.309</v>
      </c>
      <c r="P28" s="260">
        <f t="shared" si="13"/>
        <v>0.25245300000000004</v>
      </c>
      <c r="Q28" s="258">
        <f t="shared" si="14"/>
        <v>5.3015130000000008</v>
      </c>
      <c r="R28" s="251">
        <f t="shared" si="15"/>
        <v>17054.804187180234</v>
      </c>
      <c r="S28" s="305">
        <f t="shared" si="16"/>
        <v>18054.804187180234</v>
      </c>
      <c r="T28" s="290">
        <f>N28*M28</f>
        <v>17.157</v>
      </c>
      <c r="U28" s="46">
        <f t="shared" ref="U28:U31" si="18">O28*M28</f>
        <v>6.4889999999999999</v>
      </c>
      <c r="V28" s="9"/>
      <c r="Y28" s="4"/>
    </row>
    <row r="29" spans="2:26" ht="17.399999999999999" x14ac:dyDescent="0.3">
      <c r="B29" s="430">
        <v>21</v>
      </c>
      <c r="C29" s="430" t="s">
        <v>292</v>
      </c>
      <c r="D29" s="431">
        <v>0.79700000000000004</v>
      </c>
      <c r="E29" s="431">
        <v>0.28899999999999998</v>
      </c>
      <c r="F29" s="431" t="s">
        <v>297</v>
      </c>
      <c r="G29" s="430" t="s">
        <v>294</v>
      </c>
      <c r="H29" s="432">
        <f t="shared" si="4"/>
        <v>18054.804187180234</v>
      </c>
      <c r="I29" s="432">
        <f t="shared" si="5"/>
        <v>379150.8879307849</v>
      </c>
      <c r="J29" s="306"/>
      <c r="K29" s="264"/>
      <c r="L29" s="47"/>
      <c r="M29" s="47">
        <f t="shared" si="10"/>
        <v>21</v>
      </c>
      <c r="N29" s="39">
        <f t="shared" si="11"/>
        <v>0.81700000000000006</v>
      </c>
      <c r="O29" s="39">
        <f t="shared" si="12"/>
        <v>0.309</v>
      </c>
      <c r="P29" s="260">
        <f t="shared" si="13"/>
        <v>0.25245300000000004</v>
      </c>
      <c r="Q29" s="258">
        <f t="shared" si="14"/>
        <v>5.3015130000000008</v>
      </c>
      <c r="R29" s="251">
        <f t="shared" si="15"/>
        <v>17054.804187180234</v>
      </c>
      <c r="S29" s="305">
        <f t="shared" si="16"/>
        <v>18054.804187180234</v>
      </c>
      <c r="T29" s="290">
        <f>N29*M29</f>
        <v>17.157</v>
      </c>
      <c r="U29" s="46">
        <f t="shared" si="18"/>
        <v>6.4889999999999999</v>
      </c>
      <c r="V29" s="9"/>
      <c r="Y29" s="4"/>
    </row>
    <row r="30" spans="2:26" ht="17.399999999999999" x14ac:dyDescent="0.3">
      <c r="B30" s="430">
        <v>18</v>
      </c>
      <c r="C30" s="430" t="s">
        <v>292</v>
      </c>
      <c r="D30" s="431">
        <v>0.53</v>
      </c>
      <c r="E30" s="431">
        <v>0.55000000000000004</v>
      </c>
      <c r="F30" s="431" t="s">
        <v>299</v>
      </c>
      <c r="G30" s="430" t="s">
        <v>294</v>
      </c>
      <c r="H30" s="432">
        <f t="shared" si="4"/>
        <v>22178.916917925329</v>
      </c>
      <c r="I30" s="432">
        <f t="shared" si="5"/>
        <v>399220.50452265592</v>
      </c>
      <c r="J30" s="306"/>
      <c r="K30" s="264"/>
      <c r="L30" s="47"/>
      <c r="M30" s="47">
        <f t="shared" si="10"/>
        <v>18</v>
      </c>
      <c r="N30" s="39">
        <f t="shared" si="11"/>
        <v>0.55000000000000004</v>
      </c>
      <c r="O30" s="39">
        <f t="shared" si="12"/>
        <v>0.57000000000000006</v>
      </c>
      <c r="P30" s="260">
        <f t="shared" si="13"/>
        <v>0.31350000000000006</v>
      </c>
      <c r="Q30" s="258">
        <f t="shared" si="14"/>
        <v>5.6430000000000007</v>
      </c>
      <c r="R30" s="251">
        <f t="shared" si="15"/>
        <v>21178.916917925329</v>
      </c>
      <c r="S30" s="305">
        <f t="shared" si="16"/>
        <v>22178.916917925329</v>
      </c>
      <c r="T30" s="290"/>
      <c r="U30" s="46">
        <f t="shared" si="18"/>
        <v>10.260000000000002</v>
      </c>
      <c r="V30" s="9"/>
      <c r="Y30" s="4"/>
    </row>
    <row r="31" spans="2:26" ht="17.399999999999999" x14ac:dyDescent="0.3">
      <c r="B31" s="430">
        <v>9</v>
      </c>
      <c r="C31" s="430" t="s">
        <v>292</v>
      </c>
      <c r="D31" s="431">
        <v>0.53</v>
      </c>
      <c r="E31" s="431">
        <v>0.52300000000000002</v>
      </c>
      <c r="F31" s="431" t="s">
        <v>299</v>
      </c>
      <c r="G31" s="430" t="s">
        <v>294</v>
      </c>
      <c r="H31" s="432">
        <f t="shared" si="4"/>
        <v>21175.70506391834</v>
      </c>
      <c r="I31" s="432">
        <f t="shared" si="5"/>
        <v>190581.34557526506</v>
      </c>
      <c r="J31" s="306"/>
      <c r="K31" s="264"/>
      <c r="L31" s="47"/>
      <c r="M31" s="47">
        <f t="shared" si="10"/>
        <v>9</v>
      </c>
      <c r="N31" s="39">
        <f t="shared" si="11"/>
        <v>0.55000000000000004</v>
      </c>
      <c r="O31" s="39">
        <f t="shared" si="12"/>
        <v>0.54300000000000004</v>
      </c>
      <c r="P31" s="260">
        <f t="shared" si="13"/>
        <v>0.29865000000000003</v>
      </c>
      <c r="Q31" s="258">
        <f t="shared" si="14"/>
        <v>2.6878500000000001</v>
      </c>
      <c r="R31" s="251">
        <f t="shared" si="15"/>
        <v>20175.70506391834</v>
      </c>
      <c r="S31" s="305">
        <f t="shared" si="16"/>
        <v>21175.70506391834</v>
      </c>
      <c r="T31" s="290"/>
      <c r="U31" s="46">
        <f t="shared" si="18"/>
        <v>4.8870000000000005</v>
      </c>
      <c r="V31" s="9"/>
      <c r="Y31" s="4"/>
    </row>
    <row r="32" spans="2:26" ht="17.399999999999999" x14ac:dyDescent="0.3">
      <c r="B32" s="430">
        <v>18</v>
      </c>
      <c r="C32" s="430" t="s">
        <v>292</v>
      </c>
      <c r="D32" s="431">
        <v>0.14499999999999999</v>
      </c>
      <c r="E32" s="431">
        <v>0.47599999999999998</v>
      </c>
      <c r="F32" s="431" t="s">
        <v>298</v>
      </c>
      <c r="G32" s="430" t="s">
        <v>294</v>
      </c>
      <c r="H32" s="432">
        <f t="shared" si="4"/>
        <v>6528.8119954162948</v>
      </c>
      <c r="I32" s="432">
        <f t="shared" si="5"/>
        <v>117518.61591749331</v>
      </c>
      <c r="J32" s="306"/>
      <c r="K32" s="264"/>
      <c r="L32" s="47"/>
      <c r="M32" s="47">
        <f t="shared" si="10"/>
        <v>18</v>
      </c>
      <c r="N32" s="39">
        <f t="shared" si="11"/>
        <v>0.16499999999999998</v>
      </c>
      <c r="O32" s="39">
        <f t="shared" si="12"/>
        <v>0.496</v>
      </c>
      <c r="P32" s="260">
        <f t="shared" si="13"/>
        <v>8.1839999999999996E-2</v>
      </c>
      <c r="Q32" s="258">
        <f t="shared" si="14"/>
        <v>1.47312</v>
      </c>
      <c r="R32" s="251">
        <f t="shared" si="15"/>
        <v>5528.8119954162948</v>
      </c>
      <c r="S32" s="305">
        <f t="shared" si="16"/>
        <v>6528.8119954162948</v>
      </c>
      <c r="T32" s="290">
        <f>N32*2*M32</f>
        <v>5.9399999999999995</v>
      </c>
      <c r="U32" s="46">
        <f>O32*2*M32</f>
        <v>17.856000000000002</v>
      </c>
      <c r="V32" s="9"/>
      <c r="Y32" s="4"/>
    </row>
    <row r="33" spans="2:25" ht="17.399999999999999" x14ac:dyDescent="0.3">
      <c r="B33" s="430">
        <v>9</v>
      </c>
      <c r="C33" s="430" t="s">
        <v>292</v>
      </c>
      <c r="D33" s="431">
        <v>0.22800000000000001</v>
      </c>
      <c r="E33" s="431">
        <v>0.47599999999999998</v>
      </c>
      <c r="F33" s="431" t="s">
        <v>298</v>
      </c>
      <c r="G33" s="430" t="s">
        <v>294</v>
      </c>
      <c r="H33" s="432">
        <f t="shared" si="4"/>
        <v>9309.9719688681289</v>
      </c>
      <c r="I33" s="432">
        <f t="shared" si="5"/>
        <v>83789.747719813167</v>
      </c>
      <c r="J33" s="306"/>
      <c r="K33" s="264"/>
      <c r="L33" s="47"/>
      <c r="M33" s="47">
        <f t="shared" si="10"/>
        <v>9</v>
      </c>
      <c r="N33" s="39">
        <f t="shared" si="11"/>
        <v>0.248</v>
      </c>
      <c r="O33" s="39">
        <f t="shared" si="12"/>
        <v>0.496</v>
      </c>
      <c r="P33" s="260">
        <f t="shared" si="13"/>
        <v>0.12300799999999999</v>
      </c>
      <c r="Q33" s="258">
        <f t="shared" si="14"/>
        <v>1.1070719999999998</v>
      </c>
      <c r="R33" s="251">
        <f t="shared" si="15"/>
        <v>8309.9719688681289</v>
      </c>
      <c r="S33" s="305">
        <f t="shared" si="16"/>
        <v>9309.9719688681289</v>
      </c>
      <c r="T33" s="290">
        <f>N33*2*M33</f>
        <v>4.4640000000000004</v>
      </c>
      <c r="U33" s="46">
        <f>O33*2*M33</f>
        <v>8.9280000000000008</v>
      </c>
      <c r="V33" s="9"/>
      <c r="Y33" s="4"/>
    </row>
    <row r="34" spans="2:25" ht="17.399999999999999" x14ac:dyDescent="0.3">
      <c r="B34" s="430">
        <v>9</v>
      </c>
      <c r="C34" s="430" t="s">
        <v>292</v>
      </c>
      <c r="D34" s="431">
        <v>0.51400000000000001</v>
      </c>
      <c r="E34" s="431">
        <v>0.54100000000000004</v>
      </c>
      <c r="F34" s="431" t="s">
        <v>299</v>
      </c>
      <c r="G34" s="430" t="s">
        <v>294</v>
      </c>
      <c r="H34" s="432">
        <f t="shared" si="4"/>
        <v>21238.127134834333</v>
      </c>
      <c r="I34" s="432">
        <f t="shared" si="5"/>
        <v>191143.14421350899</v>
      </c>
      <c r="J34" s="306"/>
      <c r="K34" s="264"/>
      <c r="L34" s="47"/>
      <c r="M34" s="47">
        <f t="shared" si="10"/>
        <v>9</v>
      </c>
      <c r="N34" s="39">
        <f t="shared" si="11"/>
        <v>0.53400000000000003</v>
      </c>
      <c r="O34" s="39">
        <f t="shared" si="12"/>
        <v>0.56100000000000005</v>
      </c>
      <c r="P34" s="260">
        <f t="shared" si="13"/>
        <v>0.29957400000000006</v>
      </c>
      <c r="Q34" s="258">
        <f t="shared" si="14"/>
        <v>2.6961660000000007</v>
      </c>
      <c r="R34" s="251">
        <f t="shared" si="15"/>
        <v>20238.127134834333</v>
      </c>
      <c r="S34" s="305">
        <f t="shared" si="16"/>
        <v>21238.127134834333</v>
      </c>
      <c r="T34" s="290"/>
      <c r="U34" s="46">
        <f t="shared" ref="U34:U36" si="19">O34*M34</f>
        <v>5.0490000000000004</v>
      </c>
      <c r="V34" s="9"/>
      <c r="Y34" s="4"/>
    </row>
    <row r="35" spans="2:25" ht="17.399999999999999" x14ac:dyDescent="0.3">
      <c r="B35" s="430">
        <v>18</v>
      </c>
      <c r="C35" s="430" t="s">
        <v>292</v>
      </c>
      <c r="D35" s="431">
        <v>0.53</v>
      </c>
      <c r="E35" s="431">
        <v>0.54100000000000004</v>
      </c>
      <c r="F35" s="431" t="s">
        <v>299</v>
      </c>
      <c r="G35" s="430" t="s">
        <v>294</v>
      </c>
      <c r="H35" s="432">
        <f t="shared" si="4"/>
        <v>21844.512966589667</v>
      </c>
      <c r="I35" s="432">
        <f t="shared" si="5"/>
        <v>393201.23339861399</v>
      </c>
      <c r="J35" s="306"/>
      <c r="K35" s="264"/>
      <c r="L35" s="47"/>
      <c r="M35" s="47">
        <f t="shared" si="10"/>
        <v>18</v>
      </c>
      <c r="N35" s="39">
        <f t="shared" si="11"/>
        <v>0.55000000000000004</v>
      </c>
      <c r="O35" s="39">
        <f t="shared" si="12"/>
        <v>0.56100000000000005</v>
      </c>
      <c r="P35" s="260">
        <f t="shared" si="13"/>
        <v>0.30855000000000005</v>
      </c>
      <c r="Q35" s="258">
        <f t="shared" si="14"/>
        <v>5.5539000000000005</v>
      </c>
      <c r="R35" s="251">
        <f t="shared" si="15"/>
        <v>20844.512966589667</v>
      </c>
      <c r="S35" s="305">
        <f t="shared" si="16"/>
        <v>21844.512966589667</v>
      </c>
      <c r="T35" s="290"/>
      <c r="U35" s="46">
        <f t="shared" si="19"/>
        <v>10.098000000000001</v>
      </c>
      <c r="V35" s="9"/>
      <c r="Y35" s="4"/>
    </row>
    <row r="36" spans="2:25" ht="17.399999999999999" x14ac:dyDescent="0.3">
      <c r="B36" s="430">
        <v>9</v>
      </c>
      <c r="C36" s="430" t="s">
        <v>292</v>
      </c>
      <c r="D36" s="431">
        <v>0.51400000000000001</v>
      </c>
      <c r="E36" s="431">
        <v>0.53100000000000003</v>
      </c>
      <c r="F36" s="431" t="s">
        <v>299</v>
      </c>
      <c r="G36" s="430" t="s">
        <v>294</v>
      </c>
      <c r="H36" s="432">
        <f t="shared" si="4"/>
        <v>20877.376205514647</v>
      </c>
      <c r="I36" s="432">
        <f t="shared" si="5"/>
        <v>187896.38584963183</v>
      </c>
      <c r="J36" s="306"/>
      <c r="K36" s="264"/>
      <c r="L36" s="47"/>
      <c r="M36" s="47">
        <f t="shared" si="10"/>
        <v>9</v>
      </c>
      <c r="N36" s="39">
        <f t="shared" si="11"/>
        <v>0.53400000000000003</v>
      </c>
      <c r="O36" s="39">
        <f t="shared" si="12"/>
        <v>0.55100000000000005</v>
      </c>
      <c r="P36" s="260">
        <f t="shared" si="13"/>
        <v>0.29423400000000005</v>
      </c>
      <c r="Q36" s="258">
        <f t="shared" si="14"/>
        <v>2.6481060000000003</v>
      </c>
      <c r="R36" s="251">
        <f t="shared" si="15"/>
        <v>19877.376205514647</v>
      </c>
      <c r="S36" s="305">
        <f t="shared" si="16"/>
        <v>20877.376205514647</v>
      </c>
      <c r="T36" s="290"/>
      <c r="U36" s="46">
        <f t="shared" si="19"/>
        <v>4.9590000000000005</v>
      </c>
      <c r="V36" s="9"/>
      <c r="Y36" s="4"/>
    </row>
    <row r="37" spans="2:25" ht="17.399999999999999" x14ac:dyDescent="0.3">
      <c r="B37" s="430">
        <v>18</v>
      </c>
      <c r="C37" s="430" t="s">
        <v>292</v>
      </c>
      <c r="D37" s="431">
        <v>0.52400000000000002</v>
      </c>
      <c r="E37" s="431">
        <v>0.36199999999999999</v>
      </c>
      <c r="F37" s="431" t="s">
        <v>298</v>
      </c>
      <c r="G37" s="430" t="s">
        <v>294</v>
      </c>
      <c r="H37" s="432">
        <f t="shared" si="4"/>
        <v>15038.750771547771</v>
      </c>
      <c r="I37" s="432">
        <f t="shared" si="5"/>
        <v>270697.51388785988</v>
      </c>
      <c r="J37" s="306"/>
      <c r="K37" s="264"/>
      <c r="L37" s="47"/>
      <c r="M37" s="47">
        <f t="shared" si="10"/>
        <v>18</v>
      </c>
      <c r="N37" s="39">
        <f t="shared" si="11"/>
        <v>0.54400000000000004</v>
      </c>
      <c r="O37" s="39">
        <f t="shared" si="12"/>
        <v>0.38200000000000001</v>
      </c>
      <c r="P37" s="260">
        <f t="shared" si="13"/>
        <v>0.20780800000000002</v>
      </c>
      <c r="Q37" s="258">
        <f t="shared" si="14"/>
        <v>3.7405440000000003</v>
      </c>
      <c r="R37" s="251">
        <f t="shared" si="15"/>
        <v>14038.750771547771</v>
      </c>
      <c r="S37" s="305">
        <f t="shared" si="16"/>
        <v>15038.750771547771</v>
      </c>
      <c r="T37" s="290">
        <f t="shared" ref="T37:T38" si="20">N37*2*M37</f>
        <v>19.584000000000003</v>
      </c>
      <c r="U37" s="46">
        <f t="shared" ref="U37:U38" si="21">O37*2*M37</f>
        <v>13.752000000000001</v>
      </c>
      <c r="V37" s="9"/>
      <c r="Y37" s="4"/>
    </row>
    <row r="38" spans="2:25" ht="17.399999999999999" x14ac:dyDescent="0.3">
      <c r="B38" s="430">
        <v>2</v>
      </c>
      <c r="C38" s="430" t="s">
        <v>292</v>
      </c>
      <c r="D38" s="431">
        <v>0.69699999999999995</v>
      </c>
      <c r="E38" s="431">
        <v>0.45900000000000002</v>
      </c>
      <c r="F38" s="431" t="s">
        <v>298</v>
      </c>
      <c r="G38" s="430" t="s">
        <v>294</v>
      </c>
      <c r="H38" s="432">
        <f t="shared" si="4"/>
        <v>24201.756819913964</v>
      </c>
      <c r="I38" s="432">
        <f t="shared" si="5"/>
        <v>48403.513639827928</v>
      </c>
      <c r="J38" s="306"/>
      <c r="K38" s="264"/>
      <c r="L38" s="47"/>
      <c r="M38" s="47">
        <f t="shared" si="10"/>
        <v>2</v>
      </c>
      <c r="N38" s="39">
        <f t="shared" si="11"/>
        <v>0.71699999999999997</v>
      </c>
      <c r="O38" s="39">
        <f t="shared" si="12"/>
        <v>0.47900000000000004</v>
      </c>
      <c r="P38" s="260">
        <f t="shared" si="13"/>
        <v>0.343443</v>
      </c>
      <c r="Q38" s="258">
        <f t="shared" si="14"/>
        <v>0.686886</v>
      </c>
      <c r="R38" s="251">
        <f t="shared" si="15"/>
        <v>23201.756819913964</v>
      </c>
      <c r="S38" s="305">
        <f t="shared" si="16"/>
        <v>24201.756819913964</v>
      </c>
      <c r="T38" s="290">
        <f t="shared" si="20"/>
        <v>2.8679999999999999</v>
      </c>
      <c r="U38" s="46">
        <f t="shared" si="21"/>
        <v>1.9160000000000001</v>
      </c>
      <c r="V38" s="9"/>
      <c r="Y38" s="4"/>
    </row>
    <row r="39" spans="2:25" ht="17.399999999999999" x14ac:dyDescent="0.3">
      <c r="B39" s="430">
        <v>2</v>
      </c>
      <c r="C39" s="430" t="s">
        <v>292</v>
      </c>
      <c r="D39" s="431">
        <v>0.82</v>
      </c>
      <c r="E39" s="431">
        <v>0.56999999999999995</v>
      </c>
      <c r="F39" s="431" t="s">
        <v>299</v>
      </c>
      <c r="G39" s="430" t="s">
        <v>294</v>
      </c>
      <c r="H39" s="432">
        <f t="shared" si="4"/>
        <v>34480.92894584941</v>
      </c>
      <c r="I39" s="432">
        <f t="shared" si="5"/>
        <v>68961.857891698819</v>
      </c>
      <c r="J39" s="306"/>
      <c r="K39" s="264"/>
      <c r="L39" s="47"/>
      <c r="M39" s="47">
        <f t="shared" si="10"/>
        <v>2</v>
      </c>
      <c r="N39" s="39">
        <f t="shared" si="11"/>
        <v>0.84</v>
      </c>
      <c r="O39" s="39">
        <f t="shared" si="12"/>
        <v>0.59</v>
      </c>
      <c r="P39" s="260">
        <f t="shared" si="13"/>
        <v>0.49559999999999993</v>
      </c>
      <c r="Q39" s="258">
        <f t="shared" si="14"/>
        <v>0.99119999999999986</v>
      </c>
      <c r="R39" s="251">
        <f t="shared" si="15"/>
        <v>33480.92894584941</v>
      </c>
      <c r="S39" s="305">
        <f t="shared" si="16"/>
        <v>34480.92894584941</v>
      </c>
      <c r="T39" s="290"/>
      <c r="U39" s="46">
        <f>U36</f>
        <v>4.9590000000000005</v>
      </c>
      <c r="V39" s="9"/>
      <c r="Y39" s="4"/>
    </row>
    <row r="40" spans="2:25" ht="17.399999999999999" x14ac:dyDescent="0.3">
      <c r="B40" s="430">
        <v>1</v>
      </c>
      <c r="C40" s="430" t="s">
        <v>292</v>
      </c>
      <c r="D40" s="431">
        <v>7.0000000000000007E-2</v>
      </c>
      <c r="E40" s="431">
        <v>1.2150000000000001</v>
      </c>
      <c r="F40" s="431" t="s">
        <v>299</v>
      </c>
      <c r="G40" s="430" t="s">
        <v>294</v>
      </c>
      <c r="H40" s="432">
        <f t="shared" si="4"/>
        <v>8508.8887254462534</v>
      </c>
      <c r="I40" s="432">
        <f t="shared" si="5"/>
        <v>8508.8887254462534</v>
      </c>
      <c r="J40" s="306"/>
      <c r="K40" s="264"/>
      <c r="L40" s="47"/>
      <c r="M40" s="47">
        <f t="shared" si="10"/>
        <v>1</v>
      </c>
      <c r="N40" s="39">
        <f t="shared" si="11"/>
        <v>9.0000000000000011E-2</v>
      </c>
      <c r="O40" s="39">
        <f t="shared" si="12"/>
        <v>1.2350000000000001</v>
      </c>
      <c r="P40" s="260">
        <f t="shared" si="13"/>
        <v>0.11115000000000003</v>
      </c>
      <c r="Q40" s="258">
        <f t="shared" si="14"/>
        <v>0.11115000000000003</v>
      </c>
      <c r="R40" s="251">
        <f t="shared" si="15"/>
        <v>7508.8887254462534</v>
      </c>
      <c r="S40" s="305">
        <f t="shared" si="16"/>
        <v>8508.8887254462534</v>
      </c>
      <c r="T40" s="290"/>
      <c r="U40" s="46">
        <f>U37</f>
        <v>13.752000000000001</v>
      </c>
      <c r="V40" s="9"/>
      <c r="Y40" s="4"/>
    </row>
    <row r="41" spans="2:25" ht="17.399999999999999" x14ac:dyDescent="0.3">
      <c r="B41" s="430">
        <v>2</v>
      </c>
      <c r="C41" s="430" t="s">
        <v>292</v>
      </c>
      <c r="D41" s="431">
        <v>0.69699999999999995</v>
      </c>
      <c r="E41" s="431">
        <v>0.44600000000000001</v>
      </c>
      <c r="F41" s="431" t="s">
        <v>298</v>
      </c>
      <c r="G41" s="430" t="s">
        <v>294</v>
      </c>
      <c r="H41" s="432">
        <f t="shared" si="4"/>
        <v>23572.064046095842</v>
      </c>
      <c r="I41" s="432">
        <f t="shared" si="5"/>
        <v>47144.128092191684</v>
      </c>
      <c r="J41" s="306"/>
      <c r="K41" s="264"/>
      <c r="L41" s="47"/>
      <c r="M41" s="47">
        <f t="shared" si="10"/>
        <v>2</v>
      </c>
      <c r="N41" s="39">
        <f t="shared" si="11"/>
        <v>0.71699999999999997</v>
      </c>
      <c r="O41" s="39">
        <f t="shared" si="12"/>
        <v>0.46600000000000003</v>
      </c>
      <c r="P41" s="260">
        <f t="shared" si="13"/>
        <v>0.33412200000000003</v>
      </c>
      <c r="Q41" s="258">
        <f t="shared" si="14"/>
        <v>0.66824400000000006</v>
      </c>
      <c r="R41" s="251">
        <f t="shared" si="15"/>
        <v>22572.064046095842</v>
      </c>
      <c r="S41" s="305">
        <f t="shared" si="16"/>
        <v>23572.064046095842</v>
      </c>
      <c r="T41" s="290">
        <f t="shared" ref="T41:T44" si="22">N41*2*M41</f>
        <v>2.8679999999999999</v>
      </c>
      <c r="U41" s="46">
        <f t="shared" ref="U41:U44" si="23">O41*2*M41</f>
        <v>1.8640000000000001</v>
      </c>
      <c r="V41" s="9"/>
      <c r="Y41" s="4"/>
    </row>
    <row r="42" spans="2:25" ht="17.399999999999999" x14ac:dyDescent="0.3">
      <c r="B42" s="430">
        <v>1</v>
      </c>
      <c r="C42" s="430" t="s">
        <v>292</v>
      </c>
      <c r="D42" s="431">
        <v>0.69699999999999995</v>
      </c>
      <c r="E42" s="431">
        <v>0.46200000000000002</v>
      </c>
      <c r="F42" s="431" t="s">
        <v>298</v>
      </c>
      <c r="G42" s="430" t="s">
        <v>294</v>
      </c>
      <c r="H42" s="432">
        <f t="shared" si="4"/>
        <v>24347.070536948915</v>
      </c>
      <c r="I42" s="432">
        <f t="shared" si="5"/>
        <v>24347.070536948915</v>
      </c>
      <c r="J42" s="306"/>
      <c r="K42" s="264"/>
      <c r="L42" s="47"/>
      <c r="M42" s="47">
        <f t="shared" si="10"/>
        <v>1</v>
      </c>
      <c r="N42" s="39">
        <f t="shared" si="11"/>
        <v>0.71699999999999997</v>
      </c>
      <c r="O42" s="39">
        <f t="shared" si="12"/>
        <v>0.48200000000000004</v>
      </c>
      <c r="P42" s="260">
        <f t="shared" si="13"/>
        <v>0.34559400000000001</v>
      </c>
      <c r="Q42" s="258">
        <f t="shared" si="14"/>
        <v>0.34559400000000001</v>
      </c>
      <c r="R42" s="251">
        <f t="shared" si="15"/>
        <v>23347.070536948915</v>
      </c>
      <c r="S42" s="305">
        <f t="shared" si="16"/>
        <v>24347.070536948915</v>
      </c>
      <c r="T42" s="290">
        <f t="shared" si="22"/>
        <v>1.4339999999999999</v>
      </c>
      <c r="U42" s="46">
        <f t="shared" si="23"/>
        <v>0.96400000000000008</v>
      </c>
      <c r="V42" s="9"/>
      <c r="Y42" s="4"/>
    </row>
    <row r="43" spans="2:25" ht="17.399999999999999" x14ac:dyDescent="0.3">
      <c r="B43" s="430">
        <v>4</v>
      </c>
      <c r="C43" s="430" t="s">
        <v>292</v>
      </c>
      <c r="D43" s="431">
        <v>0.17199999999999999</v>
      </c>
      <c r="E43" s="431">
        <v>0.503</v>
      </c>
      <c r="F43" s="431" t="s">
        <v>298</v>
      </c>
      <c r="G43" s="430" t="s">
        <v>294</v>
      </c>
      <c r="H43" s="432">
        <f t="shared" si="4"/>
        <v>7783.7388237014011</v>
      </c>
      <c r="I43" s="432">
        <f t="shared" si="5"/>
        <v>31134.955294805604</v>
      </c>
      <c r="J43" s="306"/>
      <c r="K43" s="264"/>
      <c r="L43" s="47"/>
      <c r="M43" s="47">
        <f t="shared" si="10"/>
        <v>4</v>
      </c>
      <c r="N43" s="39">
        <f t="shared" si="11"/>
        <v>0.19199999999999998</v>
      </c>
      <c r="O43" s="39">
        <f t="shared" si="12"/>
        <v>0.52300000000000002</v>
      </c>
      <c r="P43" s="260">
        <f t="shared" si="13"/>
        <v>0.10041599999999999</v>
      </c>
      <c r="Q43" s="258">
        <f t="shared" si="14"/>
        <v>0.40166399999999997</v>
      </c>
      <c r="R43" s="251">
        <f t="shared" si="15"/>
        <v>6783.7388237014011</v>
      </c>
      <c r="S43" s="305">
        <f t="shared" si="16"/>
        <v>7783.7388237014011</v>
      </c>
      <c r="T43" s="290">
        <f t="shared" si="22"/>
        <v>1.5359999999999998</v>
      </c>
      <c r="U43" s="46">
        <f t="shared" si="23"/>
        <v>4.1840000000000002</v>
      </c>
      <c r="V43" s="9"/>
      <c r="Y43" s="4"/>
    </row>
    <row r="44" spans="2:25" ht="17.399999999999999" x14ac:dyDescent="0.3">
      <c r="B44" s="430">
        <v>1</v>
      </c>
      <c r="C44" s="430" t="s">
        <v>292</v>
      </c>
      <c r="D44" s="431">
        <v>0.69699999999999995</v>
      </c>
      <c r="E44" s="431">
        <v>0.18</v>
      </c>
      <c r="F44" s="431" t="s">
        <v>298</v>
      </c>
      <c r="G44" s="430" t="s">
        <v>294</v>
      </c>
      <c r="H44" s="432">
        <f t="shared" si="4"/>
        <v>10687.581135663448</v>
      </c>
      <c r="I44" s="432">
        <f t="shared" si="5"/>
        <v>10687.581135663448</v>
      </c>
      <c r="J44" s="306"/>
      <c r="K44" s="264"/>
      <c r="L44" s="47"/>
      <c r="M44" s="47">
        <f t="shared" si="10"/>
        <v>1</v>
      </c>
      <c r="N44" s="39">
        <f t="shared" si="11"/>
        <v>0.71699999999999997</v>
      </c>
      <c r="O44" s="39">
        <f t="shared" si="12"/>
        <v>0.19999999999999998</v>
      </c>
      <c r="P44" s="260">
        <f t="shared" si="13"/>
        <v>0.14339999999999997</v>
      </c>
      <c r="Q44" s="258">
        <f t="shared" si="14"/>
        <v>0.14339999999999997</v>
      </c>
      <c r="R44" s="251">
        <f t="shared" si="15"/>
        <v>9687.5811356634476</v>
      </c>
      <c r="S44" s="305">
        <f t="shared" si="16"/>
        <v>10687.581135663448</v>
      </c>
      <c r="T44" s="290">
        <f t="shared" si="22"/>
        <v>1.4339999999999999</v>
      </c>
      <c r="U44" s="46">
        <f t="shared" si="23"/>
        <v>0.39999999999999997</v>
      </c>
      <c r="V44" s="9"/>
      <c r="Y44" s="4"/>
    </row>
    <row r="45" spans="2:25" ht="17.399999999999999" x14ac:dyDescent="0.3">
      <c r="B45" s="430">
        <v>1</v>
      </c>
      <c r="C45" s="430" t="s">
        <v>292</v>
      </c>
      <c r="D45" s="431">
        <v>0.3</v>
      </c>
      <c r="E45" s="431">
        <v>1.296</v>
      </c>
      <c r="F45" s="431" t="s">
        <v>299</v>
      </c>
      <c r="G45" s="430" t="s">
        <v>294</v>
      </c>
      <c r="H45" s="432">
        <f t="shared" si="4"/>
        <v>29449.331714439279</v>
      </c>
      <c r="I45" s="432">
        <f t="shared" si="5"/>
        <v>29449.331714439279</v>
      </c>
      <c r="J45" s="306"/>
      <c r="K45" s="264"/>
      <c r="L45" s="47"/>
      <c r="M45" s="47">
        <f t="shared" si="10"/>
        <v>1</v>
      </c>
      <c r="N45" s="39">
        <f t="shared" si="11"/>
        <v>0.32</v>
      </c>
      <c r="O45" s="39">
        <f t="shared" si="12"/>
        <v>1.3160000000000001</v>
      </c>
      <c r="P45" s="260">
        <f t="shared" si="13"/>
        <v>0.42112000000000005</v>
      </c>
      <c r="Q45" s="258">
        <f t="shared" si="14"/>
        <v>0.42112000000000005</v>
      </c>
      <c r="R45" s="251">
        <f t="shared" si="15"/>
        <v>28449.331714439279</v>
      </c>
      <c r="S45" s="305">
        <f t="shared" si="16"/>
        <v>29449.331714439279</v>
      </c>
      <c r="T45" s="290"/>
      <c r="U45" s="46">
        <f t="shared" ref="U45:U61" si="24">U42</f>
        <v>0.96400000000000008</v>
      </c>
      <c r="V45" s="9"/>
      <c r="Y45" s="4"/>
    </row>
    <row r="46" spans="2:25" ht="17.399999999999999" x14ac:dyDescent="0.3">
      <c r="B46" s="430">
        <v>1</v>
      </c>
      <c r="C46" s="430" t="s">
        <v>292</v>
      </c>
      <c r="D46" s="431">
        <v>0.1</v>
      </c>
      <c r="E46" s="431">
        <v>1.296</v>
      </c>
      <c r="F46" s="431" t="s">
        <v>299</v>
      </c>
      <c r="G46" s="430" t="s">
        <v>294</v>
      </c>
      <c r="H46" s="432">
        <f t="shared" si="4"/>
        <v>11668.499392914731</v>
      </c>
      <c r="I46" s="432">
        <f t="shared" si="5"/>
        <v>11668.499392914731</v>
      </c>
      <c r="J46" s="306"/>
      <c r="K46" s="264"/>
      <c r="L46" s="47"/>
      <c r="M46" s="47">
        <f t="shared" si="10"/>
        <v>1</v>
      </c>
      <c r="N46" s="39">
        <f t="shared" si="11"/>
        <v>0.12000000000000001</v>
      </c>
      <c r="O46" s="39">
        <f t="shared" si="12"/>
        <v>1.3160000000000001</v>
      </c>
      <c r="P46" s="260">
        <f t="shared" si="13"/>
        <v>0.15792000000000003</v>
      </c>
      <c r="Q46" s="258">
        <f t="shared" si="14"/>
        <v>0.15792000000000003</v>
      </c>
      <c r="R46" s="251">
        <f t="shared" si="15"/>
        <v>10668.499392914731</v>
      </c>
      <c r="S46" s="305">
        <f t="shared" si="16"/>
        <v>11668.499392914731</v>
      </c>
      <c r="T46" s="290"/>
      <c r="U46" s="46">
        <f t="shared" si="24"/>
        <v>4.1840000000000002</v>
      </c>
      <c r="V46" s="9"/>
      <c r="Y46" s="4"/>
    </row>
    <row r="47" spans="2:25" ht="17.399999999999999" x14ac:dyDescent="0.3">
      <c r="B47" s="430">
        <v>1</v>
      </c>
      <c r="C47" s="430" t="s">
        <v>292</v>
      </c>
      <c r="D47" s="431">
        <v>0.3</v>
      </c>
      <c r="E47" s="431">
        <v>1.796</v>
      </c>
      <c r="F47" s="431" t="s">
        <v>299</v>
      </c>
      <c r="G47" s="430" t="s">
        <v>294</v>
      </c>
      <c r="H47" s="432">
        <f t="shared" si="4"/>
        <v>40258.348323268794</v>
      </c>
      <c r="I47" s="432">
        <f t="shared" si="5"/>
        <v>40258.348323268794</v>
      </c>
      <c r="J47" s="306"/>
      <c r="K47" s="264"/>
      <c r="L47" s="47"/>
      <c r="M47" s="47">
        <f t="shared" si="10"/>
        <v>1</v>
      </c>
      <c r="N47" s="39">
        <f t="shared" si="11"/>
        <v>0.32</v>
      </c>
      <c r="O47" s="39">
        <f t="shared" si="12"/>
        <v>1.8160000000000001</v>
      </c>
      <c r="P47" s="260">
        <f t="shared" si="13"/>
        <v>0.58112000000000008</v>
      </c>
      <c r="Q47" s="258">
        <f t="shared" si="14"/>
        <v>0.58112000000000008</v>
      </c>
      <c r="R47" s="251">
        <f t="shared" si="15"/>
        <v>39258.348323268794</v>
      </c>
      <c r="S47" s="305">
        <f t="shared" si="16"/>
        <v>40258.348323268794</v>
      </c>
      <c r="T47" s="290"/>
      <c r="U47" s="46">
        <f t="shared" si="24"/>
        <v>0.39999999999999997</v>
      </c>
      <c r="V47" s="9"/>
      <c r="Y47" s="4"/>
    </row>
    <row r="48" spans="2:25" ht="17.399999999999999" x14ac:dyDescent="0.3">
      <c r="B48" s="430">
        <v>1</v>
      </c>
      <c r="C48" s="430" t="s">
        <v>292</v>
      </c>
      <c r="D48" s="431">
        <v>0.1</v>
      </c>
      <c r="E48" s="431">
        <v>1.796</v>
      </c>
      <c r="F48" s="431" t="s">
        <v>299</v>
      </c>
      <c r="G48" s="430" t="s">
        <v>294</v>
      </c>
      <c r="H48" s="432">
        <f t="shared" si="4"/>
        <v>15721.880621225797</v>
      </c>
      <c r="I48" s="432">
        <f t="shared" si="5"/>
        <v>15721.880621225797</v>
      </c>
      <c r="J48" s="306"/>
      <c r="K48" s="264"/>
      <c r="L48" s="47"/>
      <c r="M48" s="47">
        <f t="shared" si="10"/>
        <v>1</v>
      </c>
      <c r="N48" s="39">
        <f t="shared" si="11"/>
        <v>0.12000000000000001</v>
      </c>
      <c r="O48" s="39">
        <f t="shared" si="12"/>
        <v>1.8160000000000001</v>
      </c>
      <c r="P48" s="260">
        <f t="shared" si="13"/>
        <v>0.21792000000000003</v>
      </c>
      <c r="Q48" s="258">
        <f t="shared" si="14"/>
        <v>0.21792000000000003</v>
      </c>
      <c r="R48" s="251">
        <f t="shared" si="15"/>
        <v>14721.880621225797</v>
      </c>
      <c r="S48" s="305">
        <f t="shared" si="16"/>
        <v>15721.880621225797</v>
      </c>
      <c r="T48" s="290"/>
      <c r="U48" s="46">
        <f t="shared" si="24"/>
        <v>0.96400000000000008</v>
      </c>
      <c r="V48" s="9"/>
      <c r="Y48" s="4"/>
    </row>
    <row r="49" spans="2:25" ht="17.399999999999999" x14ac:dyDescent="0.3">
      <c r="B49" s="430">
        <v>1</v>
      </c>
      <c r="C49" s="430" t="s">
        <v>292</v>
      </c>
      <c r="D49" s="431">
        <v>0.3</v>
      </c>
      <c r="E49" s="431">
        <v>1.296</v>
      </c>
      <c r="F49" s="431" t="s">
        <v>299</v>
      </c>
      <c r="G49" s="430" t="s">
        <v>294</v>
      </c>
      <c r="H49" s="432">
        <f t="shared" si="4"/>
        <v>29449.331714439279</v>
      </c>
      <c r="I49" s="432">
        <f t="shared" si="5"/>
        <v>29449.331714439279</v>
      </c>
      <c r="J49" s="306"/>
      <c r="K49" s="264"/>
      <c r="L49" s="47"/>
      <c r="M49" s="47">
        <f t="shared" si="10"/>
        <v>1</v>
      </c>
      <c r="N49" s="39">
        <f t="shared" si="11"/>
        <v>0.32</v>
      </c>
      <c r="O49" s="39">
        <f t="shared" si="12"/>
        <v>1.3160000000000001</v>
      </c>
      <c r="P49" s="260">
        <f t="shared" si="13"/>
        <v>0.42112000000000005</v>
      </c>
      <c r="Q49" s="258">
        <f t="shared" si="14"/>
        <v>0.42112000000000005</v>
      </c>
      <c r="R49" s="251">
        <f t="shared" si="15"/>
        <v>28449.331714439279</v>
      </c>
      <c r="S49" s="305">
        <f t="shared" si="16"/>
        <v>29449.331714439279</v>
      </c>
      <c r="T49" s="290"/>
      <c r="U49" s="46">
        <f t="shared" si="24"/>
        <v>4.1840000000000002</v>
      </c>
      <c r="V49" s="9"/>
      <c r="Y49" s="4"/>
    </row>
    <row r="50" spans="2:25" ht="17.399999999999999" x14ac:dyDescent="0.3">
      <c r="B50" s="430">
        <v>1</v>
      </c>
      <c r="C50" s="430" t="s">
        <v>292</v>
      </c>
      <c r="D50" s="431">
        <v>0.1</v>
      </c>
      <c r="E50" s="431">
        <v>1.296</v>
      </c>
      <c r="F50" s="431" t="s">
        <v>299</v>
      </c>
      <c r="G50" s="430" t="s">
        <v>294</v>
      </c>
      <c r="H50" s="432">
        <f t="shared" si="4"/>
        <v>11668.499392914731</v>
      </c>
      <c r="I50" s="432">
        <f t="shared" si="5"/>
        <v>11668.499392914731</v>
      </c>
      <c r="J50" s="306"/>
      <c r="K50" s="264"/>
      <c r="L50" s="47"/>
      <c r="M50" s="47">
        <f t="shared" si="10"/>
        <v>1</v>
      </c>
      <c r="N50" s="39">
        <f t="shared" si="11"/>
        <v>0.12000000000000001</v>
      </c>
      <c r="O50" s="39">
        <f t="shared" si="12"/>
        <v>1.3160000000000001</v>
      </c>
      <c r="P50" s="260">
        <f t="shared" si="13"/>
        <v>0.15792000000000003</v>
      </c>
      <c r="Q50" s="258">
        <f t="shared" si="14"/>
        <v>0.15792000000000003</v>
      </c>
      <c r="R50" s="251">
        <f t="shared" si="15"/>
        <v>10668.499392914731</v>
      </c>
      <c r="S50" s="305">
        <f t="shared" si="16"/>
        <v>11668.499392914731</v>
      </c>
      <c r="T50" s="290"/>
      <c r="U50" s="46">
        <f t="shared" si="24"/>
        <v>0.39999999999999997</v>
      </c>
      <c r="V50" s="9"/>
      <c r="Y50" s="4"/>
    </row>
    <row r="51" spans="2:25" ht="17.399999999999999" x14ac:dyDescent="0.3">
      <c r="B51" s="430">
        <v>1</v>
      </c>
      <c r="C51" s="430" t="s">
        <v>292</v>
      </c>
      <c r="D51" s="431">
        <v>0.3</v>
      </c>
      <c r="E51" s="431">
        <v>1.296</v>
      </c>
      <c r="F51" s="431" t="s">
        <v>299</v>
      </c>
      <c r="G51" s="430" t="s">
        <v>294</v>
      </c>
      <c r="H51" s="432">
        <f t="shared" si="4"/>
        <v>29449.331714439279</v>
      </c>
      <c r="I51" s="432">
        <f t="shared" si="5"/>
        <v>29449.331714439279</v>
      </c>
      <c r="J51" s="306"/>
      <c r="K51" s="264"/>
      <c r="L51" s="47"/>
      <c r="M51" s="47">
        <f t="shared" si="10"/>
        <v>1</v>
      </c>
      <c r="N51" s="39">
        <f t="shared" si="11"/>
        <v>0.32</v>
      </c>
      <c r="O51" s="39">
        <f t="shared" si="12"/>
        <v>1.3160000000000001</v>
      </c>
      <c r="P51" s="260">
        <f t="shared" si="13"/>
        <v>0.42112000000000005</v>
      </c>
      <c r="Q51" s="258">
        <f t="shared" si="14"/>
        <v>0.42112000000000005</v>
      </c>
      <c r="R51" s="251">
        <f t="shared" si="15"/>
        <v>28449.331714439279</v>
      </c>
      <c r="S51" s="305">
        <f t="shared" si="16"/>
        <v>29449.331714439279</v>
      </c>
      <c r="T51" s="290"/>
      <c r="U51" s="46">
        <f t="shared" si="24"/>
        <v>0.96400000000000008</v>
      </c>
      <c r="V51" s="9"/>
      <c r="Y51" s="4"/>
    </row>
    <row r="52" spans="2:25" ht="17.399999999999999" x14ac:dyDescent="0.3">
      <c r="B52" s="430">
        <v>1</v>
      </c>
      <c r="C52" s="430" t="s">
        <v>292</v>
      </c>
      <c r="D52" s="431">
        <v>0.1</v>
      </c>
      <c r="E52" s="431">
        <v>1.296</v>
      </c>
      <c r="F52" s="431" t="s">
        <v>299</v>
      </c>
      <c r="G52" s="430" t="s">
        <v>294</v>
      </c>
      <c r="H52" s="432">
        <f t="shared" si="4"/>
        <v>11668.499392914731</v>
      </c>
      <c r="I52" s="432">
        <f t="shared" si="5"/>
        <v>11668.499392914731</v>
      </c>
      <c r="J52" s="306"/>
      <c r="K52" s="264"/>
      <c r="L52" s="47"/>
      <c r="M52" s="47">
        <f t="shared" si="10"/>
        <v>1</v>
      </c>
      <c r="N52" s="39">
        <f t="shared" si="11"/>
        <v>0.12000000000000001</v>
      </c>
      <c r="O52" s="39">
        <f t="shared" si="12"/>
        <v>1.3160000000000001</v>
      </c>
      <c r="P52" s="260">
        <f t="shared" si="13"/>
        <v>0.15792000000000003</v>
      </c>
      <c r="Q52" s="258">
        <f t="shared" si="14"/>
        <v>0.15792000000000003</v>
      </c>
      <c r="R52" s="251">
        <f t="shared" si="15"/>
        <v>10668.499392914731</v>
      </c>
      <c r="S52" s="305">
        <f t="shared" si="16"/>
        <v>11668.499392914731</v>
      </c>
      <c r="T52" s="290"/>
      <c r="U52" s="46">
        <f t="shared" si="24"/>
        <v>4.1840000000000002</v>
      </c>
      <c r="V52" s="9"/>
      <c r="Y52" s="4"/>
    </row>
    <row r="53" spans="2:25" ht="17.399999999999999" x14ac:dyDescent="0.3">
      <c r="B53" s="430">
        <v>1</v>
      </c>
      <c r="C53" s="430" t="s">
        <v>292</v>
      </c>
      <c r="D53" s="431">
        <v>0.3</v>
      </c>
      <c r="E53" s="431">
        <v>1.296</v>
      </c>
      <c r="F53" s="431" t="s">
        <v>299</v>
      </c>
      <c r="G53" s="430" t="s">
        <v>294</v>
      </c>
      <c r="H53" s="432">
        <f t="shared" si="4"/>
        <v>29449.331714439279</v>
      </c>
      <c r="I53" s="432">
        <f t="shared" si="5"/>
        <v>29449.331714439279</v>
      </c>
      <c r="J53" s="306"/>
      <c r="K53" s="264"/>
      <c r="L53" s="47"/>
      <c r="M53" s="47">
        <f t="shared" si="10"/>
        <v>1</v>
      </c>
      <c r="N53" s="39">
        <f t="shared" si="11"/>
        <v>0.32</v>
      </c>
      <c r="O53" s="39">
        <f t="shared" si="12"/>
        <v>1.3160000000000001</v>
      </c>
      <c r="P53" s="260">
        <f t="shared" si="13"/>
        <v>0.42112000000000005</v>
      </c>
      <c r="Q53" s="258">
        <f t="shared" si="14"/>
        <v>0.42112000000000005</v>
      </c>
      <c r="R53" s="251">
        <f t="shared" si="15"/>
        <v>28449.331714439279</v>
      </c>
      <c r="S53" s="305">
        <f t="shared" si="16"/>
        <v>29449.331714439279</v>
      </c>
      <c r="T53" s="290"/>
      <c r="U53" s="46">
        <f t="shared" si="24"/>
        <v>0.39999999999999997</v>
      </c>
      <c r="V53" s="9"/>
      <c r="Y53" s="4"/>
    </row>
    <row r="54" spans="2:25" ht="17.399999999999999" x14ac:dyDescent="0.3">
      <c r="B54" s="430">
        <v>1</v>
      </c>
      <c r="C54" s="430" t="s">
        <v>292</v>
      </c>
      <c r="D54" s="431">
        <v>0.1</v>
      </c>
      <c r="E54" s="431">
        <v>1.296</v>
      </c>
      <c r="F54" s="431" t="s">
        <v>299</v>
      </c>
      <c r="G54" s="430" t="s">
        <v>294</v>
      </c>
      <c r="H54" s="432">
        <f t="shared" si="4"/>
        <v>11668.499392914731</v>
      </c>
      <c r="I54" s="432">
        <f t="shared" si="5"/>
        <v>11668.499392914731</v>
      </c>
      <c r="J54" s="306"/>
      <c r="K54" s="264"/>
      <c r="L54" s="47"/>
      <c r="M54" s="47">
        <f t="shared" si="10"/>
        <v>1</v>
      </c>
      <c r="N54" s="39">
        <f t="shared" si="11"/>
        <v>0.12000000000000001</v>
      </c>
      <c r="O54" s="39">
        <f t="shared" si="12"/>
        <v>1.3160000000000001</v>
      </c>
      <c r="P54" s="260">
        <f t="shared" si="13"/>
        <v>0.15792000000000003</v>
      </c>
      <c r="Q54" s="258">
        <f t="shared" si="14"/>
        <v>0.15792000000000003</v>
      </c>
      <c r="R54" s="251">
        <f t="shared" si="15"/>
        <v>10668.499392914731</v>
      </c>
      <c r="S54" s="305">
        <f t="shared" si="16"/>
        <v>11668.499392914731</v>
      </c>
      <c r="T54" s="290"/>
      <c r="U54" s="46">
        <f t="shared" si="24"/>
        <v>0.96400000000000008</v>
      </c>
      <c r="V54" s="9"/>
      <c r="Y54" s="4"/>
    </row>
    <row r="55" spans="2:25" ht="17.399999999999999" x14ac:dyDescent="0.3">
      <c r="B55" s="430">
        <v>1</v>
      </c>
      <c r="C55" s="430" t="s">
        <v>292</v>
      </c>
      <c r="D55" s="431">
        <v>0.3</v>
      </c>
      <c r="E55" s="431">
        <v>1.296</v>
      </c>
      <c r="F55" s="431" t="s">
        <v>299</v>
      </c>
      <c r="G55" s="430" t="s">
        <v>294</v>
      </c>
      <c r="H55" s="432">
        <f t="shared" si="4"/>
        <v>29449.331714439279</v>
      </c>
      <c r="I55" s="432">
        <f t="shared" si="5"/>
        <v>29449.331714439279</v>
      </c>
      <c r="J55" s="306"/>
      <c r="K55" s="264"/>
      <c r="L55" s="47"/>
      <c r="M55" s="47">
        <f t="shared" si="10"/>
        <v>1</v>
      </c>
      <c r="N55" s="39">
        <f t="shared" si="11"/>
        <v>0.32</v>
      </c>
      <c r="O55" s="39">
        <f t="shared" si="12"/>
        <v>1.3160000000000001</v>
      </c>
      <c r="P55" s="260">
        <f t="shared" si="13"/>
        <v>0.42112000000000005</v>
      </c>
      <c r="Q55" s="258">
        <f t="shared" si="14"/>
        <v>0.42112000000000005</v>
      </c>
      <c r="R55" s="251">
        <f t="shared" si="15"/>
        <v>28449.331714439279</v>
      </c>
      <c r="S55" s="305">
        <f t="shared" si="16"/>
        <v>29449.331714439279</v>
      </c>
      <c r="T55" s="290"/>
      <c r="U55" s="46">
        <f t="shared" si="24"/>
        <v>4.1840000000000002</v>
      </c>
      <c r="V55" s="9"/>
      <c r="Y55" s="4"/>
    </row>
    <row r="56" spans="2:25" ht="17.399999999999999" x14ac:dyDescent="0.3">
      <c r="B56" s="430">
        <v>1</v>
      </c>
      <c r="C56" s="430" t="s">
        <v>292</v>
      </c>
      <c r="D56" s="431">
        <v>0.1</v>
      </c>
      <c r="E56" s="431">
        <v>1.296</v>
      </c>
      <c r="F56" s="431" t="s">
        <v>299</v>
      </c>
      <c r="G56" s="430" t="s">
        <v>294</v>
      </c>
      <c r="H56" s="432">
        <f t="shared" si="4"/>
        <v>11668.499392914731</v>
      </c>
      <c r="I56" s="432">
        <f t="shared" si="5"/>
        <v>11668.499392914731</v>
      </c>
      <c r="J56" s="306"/>
      <c r="K56" s="264"/>
      <c r="L56" s="47"/>
      <c r="M56" s="47">
        <f t="shared" si="10"/>
        <v>1</v>
      </c>
      <c r="N56" s="39">
        <f t="shared" si="11"/>
        <v>0.12000000000000001</v>
      </c>
      <c r="O56" s="39">
        <f t="shared" si="12"/>
        <v>1.3160000000000001</v>
      </c>
      <c r="P56" s="260">
        <f t="shared" si="13"/>
        <v>0.15792000000000003</v>
      </c>
      <c r="Q56" s="258">
        <f t="shared" si="14"/>
        <v>0.15792000000000003</v>
      </c>
      <c r="R56" s="251">
        <f t="shared" si="15"/>
        <v>10668.499392914731</v>
      </c>
      <c r="S56" s="305">
        <f t="shared" si="16"/>
        <v>11668.499392914731</v>
      </c>
      <c r="T56" s="290"/>
      <c r="U56" s="46">
        <f t="shared" si="24"/>
        <v>0.39999999999999997</v>
      </c>
      <c r="V56" s="9"/>
      <c r="Y56" s="4"/>
    </row>
    <row r="57" spans="2:25" ht="17.399999999999999" x14ac:dyDescent="0.3">
      <c r="B57" s="430">
        <v>2</v>
      </c>
      <c r="C57" s="430" t="s">
        <v>292</v>
      </c>
      <c r="D57" s="431">
        <v>0.87</v>
      </c>
      <c r="E57" s="431">
        <v>0.42899999999999999</v>
      </c>
      <c r="F57" s="431" t="s">
        <v>299</v>
      </c>
      <c r="G57" s="430" t="s">
        <v>294</v>
      </c>
      <c r="H57" s="432">
        <f t="shared" si="4"/>
        <v>27996.194544089762</v>
      </c>
      <c r="I57" s="432">
        <f t="shared" si="5"/>
        <v>55992.389088179523</v>
      </c>
      <c r="J57" s="306"/>
      <c r="K57" s="264"/>
      <c r="L57" s="47"/>
      <c r="M57" s="47">
        <f t="shared" si="10"/>
        <v>2</v>
      </c>
      <c r="N57" s="39">
        <f t="shared" si="11"/>
        <v>0.89</v>
      </c>
      <c r="O57" s="39">
        <f t="shared" si="12"/>
        <v>0.44900000000000001</v>
      </c>
      <c r="P57" s="260">
        <f t="shared" si="13"/>
        <v>0.39961000000000002</v>
      </c>
      <c r="Q57" s="258">
        <f t="shared" si="14"/>
        <v>0.79922000000000004</v>
      </c>
      <c r="R57" s="251">
        <f t="shared" si="15"/>
        <v>26996.194544089762</v>
      </c>
      <c r="S57" s="305">
        <f t="shared" si="16"/>
        <v>27996.194544089762</v>
      </c>
      <c r="T57" s="290"/>
      <c r="U57" s="46">
        <f t="shared" si="24"/>
        <v>0.96400000000000008</v>
      </c>
      <c r="V57" s="9"/>
      <c r="Y57" s="4"/>
    </row>
    <row r="58" spans="2:25" ht="17.399999999999999" x14ac:dyDescent="0.3">
      <c r="B58" s="430">
        <v>1</v>
      </c>
      <c r="C58" s="430" t="s">
        <v>292</v>
      </c>
      <c r="D58" s="431">
        <v>0.66400000000000003</v>
      </c>
      <c r="E58" s="431">
        <v>0.41899999999999998</v>
      </c>
      <c r="F58" s="431" t="s">
        <v>299</v>
      </c>
      <c r="G58" s="430" t="s">
        <v>294</v>
      </c>
      <c r="H58" s="432">
        <f t="shared" si="4"/>
        <v>21285.55169520557</v>
      </c>
      <c r="I58" s="432">
        <f t="shared" si="5"/>
        <v>21285.55169520557</v>
      </c>
      <c r="J58" s="306"/>
      <c r="K58" s="264"/>
      <c r="L58" s="47"/>
      <c r="M58" s="47">
        <f t="shared" si="10"/>
        <v>1</v>
      </c>
      <c r="N58" s="39">
        <f t="shared" si="11"/>
        <v>0.68400000000000005</v>
      </c>
      <c r="O58" s="39">
        <f t="shared" si="12"/>
        <v>0.439</v>
      </c>
      <c r="P58" s="260">
        <f t="shared" si="13"/>
        <v>0.30027600000000004</v>
      </c>
      <c r="Q58" s="258">
        <f t="shared" si="14"/>
        <v>0.30027600000000004</v>
      </c>
      <c r="R58" s="251">
        <f t="shared" si="15"/>
        <v>20285.55169520557</v>
      </c>
      <c r="S58" s="305">
        <f t="shared" si="16"/>
        <v>21285.55169520557</v>
      </c>
      <c r="T58" s="290"/>
      <c r="U58" s="46">
        <f t="shared" si="24"/>
        <v>4.1840000000000002</v>
      </c>
      <c r="V58" s="9"/>
      <c r="Y58" s="4"/>
    </row>
    <row r="59" spans="2:25" ht="17.399999999999999" x14ac:dyDescent="0.3">
      <c r="B59" s="430">
        <v>1</v>
      </c>
      <c r="C59" s="430" t="s">
        <v>292</v>
      </c>
      <c r="D59" s="431">
        <v>0.68200000000000005</v>
      </c>
      <c r="E59" s="431">
        <v>0.41899999999999998</v>
      </c>
      <c r="F59" s="431" t="s">
        <v>299</v>
      </c>
      <c r="G59" s="430" t="s">
        <v>294</v>
      </c>
      <c r="H59" s="432">
        <f t="shared" si="4"/>
        <v>21819.382002974133</v>
      </c>
      <c r="I59" s="432">
        <f t="shared" si="5"/>
        <v>21819.382002974133</v>
      </c>
      <c r="J59" s="306"/>
      <c r="K59" s="264"/>
      <c r="L59" s="47"/>
      <c r="M59" s="47">
        <f t="shared" si="10"/>
        <v>1</v>
      </c>
      <c r="N59" s="39">
        <f t="shared" si="11"/>
        <v>0.70200000000000007</v>
      </c>
      <c r="O59" s="39">
        <f t="shared" si="12"/>
        <v>0.439</v>
      </c>
      <c r="P59" s="260">
        <f t="shared" si="13"/>
        <v>0.30817800000000001</v>
      </c>
      <c r="Q59" s="258">
        <f t="shared" si="14"/>
        <v>0.30817800000000001</v>
      </c>
      <c r="R59" s="251">
        <f t="shared" si="15"/>
        <v>20819.382002974133</v>
      </c>
      <c r="S59" s="305">
        <f t="shared" si="16"/>
        <v>21819.382002974133</v>
      </c>
      <c r="T59" s="290"/>
      <c r="U59" s="46">
        <f t="shared" si="24"/>
        <v>0.39999999999999997</v>
      </c>
      <c r="V59" s="9"/>
      <c r="Y59" s="4"/>
    </row>
    <row r="60" spans="2:25" ht="17.399999999999999" x14ac:dyDescent="0.3">
      <c r="B60" s="430">
        <v>1</v>
      </c>
      <c r="C60" s="430" t="s">
        <v>292</v>
      </c>
      <c r="D60" s="431">
        <v>0.73199999999999998</v>
      </c>
      <c r="E60" s="431">
        <v>0.42899999999999999</v>
      </c>
      <c r="F60" s="431" t="s">
        <v>299</v>
      </c>
      <c r="G60" s="430" t="s">
        <v>294</v>
      </c>
      <c r="H60" s="432">
        <f t="shared" si="4"/>
        <v>23810.267749612922</v>
      </c>
      <c r="I60" s="432">
        <f t="shared" si="5"/>
        <v>23810.267749612922</v>
      </c>
      <c r="J60" s="306"/>
      <c r="K60" s="264"/>
      <c r="L60" s="47"/>
      <c r="M60" s="47">
        <f t="shared" si="10"/>
        <v>1</v>
      </c>
      <c r="N60" s="39">
        <f t="shared" si="11"/>
        <v>0.752</v>
      </c>
      <c r="O60" s="39">
        <f t="shared" si="12"/>
        <v>0.44900000000000001</v>
      </c>
      <c r="P60" s="260">
        <f t="shared" si="13"/>
        <v>0.337648</v>
      </c>
      <c r="Q60" s="258">
        <f t="shared" si="14"/>
        <v>0.337648</v>
      </c>
      <c r="R60" s="251">
        <f t="shared" si="15"/>
        <v>22810.267749612922</v>
      </c>
      <c r="S60" s="305">
        <f t="shared" si="16"/>
        <v>23810.267749612922</v>
      </c>
      <c r="T60" s="290"/>
      <c r="U60" s="46">
        <f t="shared" si="24"/>
        <v>0.96400000000000008</v>
      </c>
      <c r="V60" s="9"/>
      <c r="Y60" s="4"/>
    </row>
    <row r="61" spans="2:25" ht="17.399999999999999" x14ac:dyDescent="0.3">
      <c r="B61" s="430">
        <v>2</v>
      </c>
      <c r="C61" s="430" t="s">
        <v>292</v>
      </c>
      <c r="D61" s="431">
        <v>7.0000000000000007E-2</v>
      </c>
      <c r="E61" s="431">
        <v>0.66400000000000003</v>
      </c>
      <c r="F61" s="431" t="s">
        <v>299</v>
      </c>
      <c r="G61" s="430" t="s">
        <v>294</v>
      </c>
      <c r="H61" s="432">
        <f t="shared" si="4"/>
        <v>5158.7691402471555</v>
      </c>
      <c r="I61" s="432">
        <f t="shared" si="5"/>
        <v>10317.538280494311</v>
      </c>
      <c r="J61" s="306"/>
      <c r="K61" s="264"/>
      <c r="L61" s="47"/>
      <c r="M61" s="47">
        <f t="shared" si="10"/>
        <v>2</v>
      </c>
      <c r="N61" s="39">
        <f t="shared" si="11"/>
        <v>9.0000000000000011E-2</v>
      </c>
      <c r="O61" s="39">
        <f t="shared" si="12"/>
        <v>0.68400000000000005</v>
      </c>
      <c r="P61" s="260">
        <f t="shared" si="13"/>
        <v>6.1560000000000011E-2</v>
      </c>
      <c r="Q61" s="258">
        <f t="shared" si="14"/>
        <v>0.12312000000000002</v>
      </c>
      <c r="R61" s="251">
        <f t="shared" si="15"/>
        <v>4158.7691402471555</v>
      </c>
      <c r="S61" s="305">
        <f t="shared" si="16"/>
        <v>5158.7691402471555</v>
      </c>
      <c r="T61" s="290"/>
      <c r="U61" s="46">
        <f t="shared" si="24"/>
        <v>4.1840000000000002</v>
      </c>
      <c r="V61" s="9"/>
      <c r="Y61" s="4"/>
    </row>
    <row r="62" spans="2:25" ht="17.399999999999999" x14ac:dyDescent="0.3">
      <c r="B62" s="430">
        <v>4</v>
      </c>
      <c r="C62" s="430" t="s">
        <v>292</v>
      </c>
      <c r="D62" s="431">
        <v>0.755</v>
      </c>
      <c r="E62" s="431">
        <v>0.34599999999999997</v>
      </c>
      <c r="F62" s="431" t="s">
        <v>298</v>
      </c>
      <c r="G62" s="430" t="s">
        <v>294</v>
      </c>
      <c r="H62" s="432">
        <f t="shared" si="4"/>
        <v>20162.359756840571</v>
      </c>
      <c r="I62" s="432">
        <f t="shared" si="5"/>
        <v>80649.439027362285</v>
      </c>
      <c r="J62" s="306"/>
      <c r="K62" s="264"/>
      <c r="L62" s="47"/>
      <c r="M62" s="47">
        <f t="shared" si="10"/>
        <v>4</v>
      </c>
      <c r="N62" s="39">
        <f t="shared" si="11"/>
        <v>0.77500000000000002</v>
      </c>
      <c r="O62" s="39">
        <f t="shared" si="12"/>
        <v>0.36599999999999999</v>
      </c>
      <c r="P62" s="260">
        <f t="shared" si="13"/>
        <v>0.28365000000000001</v>
      </c>
      <c r="Q62" s="258">
        <f t="shared" si="14"/>
        <v>1.1346000000000001</v>
      </c>
      <c r="R62" s="251">
        <f t="shared" si="15"/>
        <v>19162.359756840571</v>
      </c>
      <c r="S62" s="305">
        <f t="shared" si="16"/>
        <v>20162.359756840571</v>
      </c>
      <c r="T62" s="290">
        <f t="shared" ref="T62" si="25">N62*2*M62</f>
        <v>6.2</v>
      </c>
      <c r="U62" s="46">
        <f t="shared" ref="U62" si="26">O62*2*M62</f>
        <v>2.9279999999999999</v>
      </c>
      <c r="V62" s="9"/>
      <c r="Y62" s="4"/>
    </row>
    <row r="63" spans="2:25" ht="17.399999999999999" x14ac:dyDescent="0.3">
      <c r="B63" s="430">
        <v>1</v>
      </c>
      <c r="C63" s="430" t="s">
        <v>292</v>
      </c>
      <c r="D63" s="431">
        <v>1.4</v>
      </c>
      <c r="E63" s="431">
        <v>0.45</v>
      </c>
      <c r="F63" s="431" t="s">
        <v>298</v>
      </c>
      <c r="G63" s="430" t="s">
        <v>294</v>
      </c>
      <c r="H63" s="432">
        <f t="shared" si="4"/>
        <v>46087.110529580103</v>
      </c>
      <c r="I63" s="432">
        <f t="shared" si="5"/>
        <v>46087.110529580103</v>
      </c>
      <c r="J63" s="306"/>
      <c r="K63" s="264"/>
      <c r="L63" s="47"/>
      <c r="M63" s="47">
        <f t="shared" si="10"/>
        <v>1</v>
      </c>
      <c r="N63" s="39">
        <f t="shared" si="11"/>
        <v>1.42</v>
      </c>
      <c r="O63" s="39">
        <f t="shared" si="12"/>
        <v>0.47000000000000003</v>
      </c>
      <c r="P63" s="260">
        <f t="shared" si="13"/>
        <v>0.66739999999999999</v>
      </c>
      <c r="Q63" s="258">
        <f t="shared" si="14"/>
        <v>0.66739999999999999</v>
      </c>
      <c r="R63" s="251">
        <f t="shared" si="15"/>
        <v>45087.110529580103</v>
      </c>
      <c r="S63" s="305">
        <f t="shared" si="16"/>
        <v>46087.110529580103</v>
      </c>
      <c r="T63" s="290">
        <f t="shared" ref="T63" si="27">N63*2*M63</f>
        <v>2.84</v>
      </c>
      <c r="U63" s="46">
        <f t="shared" ref="U63" si="28">O63*2*M63</f>
        <v>0.94000000000000006</v>
      </c>
      <c r="V63" s="9"/>
      <c r="Y63" s="4"/>
    </row>
    <row r="64" spans="2:25" ht="17.399999999999999" x14ac:dyDescent="0.3">
      <c r="B64" s="283">
        <f>SUM(B21:B63)</f>
        <v>355</v>
      </c>
      <c r="C64" s="283"/>
      <c r="D64" s="284"/>
      <c r="E64" s="284"/>
      <c r="F64" s="284"/>
      <c r="G64" s="283"/>
      <c r="H64" s="306"/>
      <c r="I64" s="306"/>
      <c r="J64" s="306"/>
      <c r="K64" s="264"/>
      <c r="L64" s="47"/>
      <c r="M64" s="47"/>
      <c r="N64" s="39"/>
      <c r="O64" s="39"/>
      <c r="P64" s="260"/>
      <c r="Q64" s="258"/>
      <c r="R64" s="251"/>
      <c r="S64" s="305"/>
      <c r="T64" s="290"/>
      <c r="U64" s="46"/>
      <c r="V64" s="9"/>
      <c r="Y64" s="4"/>
    </row>
    <row r="65" spans="1:25" ht="18" thickBot="1" x14ac:dyDescent="0.35">
      <c r="B65" s="283"/>
      <c r="C65" s="283"/>
      <c r="D65" s="284"/>
      <c r="E65" s="284"/>
      <c r="F65" s="284"/>
      <c r="G65" s="283"/>
      <c r="H65" s="264"/>
      <c r="I65" s="307"/>
      <c r="J65" s="309"/>
      <c r="K65" s="233"/>
      <c r="L65" s="47"/>
      <c r="M65" s="47"/>
      <c r="N65" s="39"/>
      <c r="O65" s="39"/>
      <c r="P65" s="260"/>
      <c r="Q65" s="258"/>
      <c r="R65" s="251"/>
      <c r="S65" s="257"/>
      <c r="T65" s="290"/>
      <c r="U65" s="14"/>
      <c r="V65" s="9"/>
      <c r="Y65" s="4"/>
    </row>
    <row r="66" spans="1:25" ht="17.399999999999999" x14ac:dyDescent="0.3">
      <c r="B66" s="283"/>
      <c r="C66" s="283"/>
      <c r="D66" s="284"/>
      <c r="E66" s="284"/>
      <c r="F66" s="284"/>
      <c r="G66" s="283"/>
      <c r="H66" s="310" t="s">
        <v>28</v>
      </c>
      <c r="I66" s="311">
        <f>SUM(I21:I65)</f>
        <v>6223278.2145679956</v>
      </c>
      <c r="J66" s="308"/>
      <c r="K66" s="264"/>
      <c r="L66" s="47">
        <v>2600000</v>
      </c>
      <c r="M66" s="47"/>
      <c r="N66" s="39"/>
      <c r="O66" s="39"/>
      <c r="P66" s="260"/>
      <c r="Q66" s="258"/>
      <c r="R66" s="251"/>
      <c r="S66" s="257"/>
      <c r="T66" s="290"/>
      <c r="U66" s="46">
        <f>SUM(U21:U65)</f>
        <v>224.08000000000007</v>
      </c>
      <c r="V66" s="9"/>
      <c r="Y66" s="4"/>
    </row>
    <row r="67" spans="1:25" ht="17.399999999999999" x14ac:dyDescent="0.3">
      <c r="B67" s="277"/>
      <c r="C67" s="280"/>
      <c r="D67" s="281"/>
      <c r="E67" s="281"/>
      <c r="F67" s="281"/>
      <c r="G67" s="282"/>
      <c r="H67" s="289" t="s">
        <v>51</v>
      </c>
      <c r="I67" s="287">
        <f>I66*19%</f>
        <v>1182422.8607679191</v>
      </c>
      <c r="J67" s="308"/>
      <c r="K67" s="264"/>
      <c r="L67" s="47"/>
      <c r="M67" s="47"/>
      <c r="N67" s="39">
        <f>SUM(N21:N66)</f>
        <v>22.342000000000006</v>
      </c>
      <c r="O67" s="12"/>
      <c r="P67" s="12"/>
      <c r="Q67" s="252">
        <f>SUM(Q21:Q63)</f>
        <v>86.864934000000062</v>
      </c>
      <c r="R67" s="14"/>
      <c r="S67" s="12"/>
      <c r="T67" s="239"/>
      <c r="U67" s="46"/>
      <c r="V67" s="9"/>
      <c r="Y67" s="4"/>
    </row>
    <row r="68" spans="1:25" ht="18" thickBot="1" x14ac:dyDescent="0.35">
      <c r="B68" s="274"/>
      <c r="C68" s="279"/>
      <c r="D68" s="271"/>
      <c r="E68" s="271"/>
      <c r="F68" s="271"/>
      <c r="G68" s="272"/>
      <c r="H68" s="278" t="s">
        <v>6</v>
      </c>
      <c r="I68" s="288">
        <f>I66+I67</f>
        <v>7405701.0753359143</v>
      </c>
      <c r="J68" s="308"/>
      <c r="K68" s="264"/>
      <c r="L68" s="47"/>
      <c r="M68" s="47"/>
      <c r="N68" s="39"/>
      <c r="O68" s="12"/>
      <c r="P68" s="12"/>
      <c r="Q68" s="252">
        <f>Q67</f>
        <v>86.864934000000062</v>
      </c>
      <c r="R68" s="14"/>
      <c r="S68" s="12"/>
      <c r="T68" s="239">
        <f>SUM(T21:T67)</f>
        <v>235.732</v>
      </c>
      <c r="U68" s="46"/>
      <c r="V68" s="9"/>
      <c r="Y68" s="4"/>
    </row>
    <row r="69" spans="1:25" ht="17.399999999999999" x14ac:dyDescent="0.3">
      <c r="B69" s="274"/>
      <c r="C69" s="270"/>
      <c r="D69" s="271"/>
      <c r="E69" s="271"/>
      <c r="F69" s="271"/>
      <c r="G69" s="272"/>
      <c r="K69" s="264"/>
      <c r="L69" s="47"/>
      <c r="M69" s="47"/>
      <c r="N69" s="14"/>
      <c r="O69" s="12"/>
      <c r="P69" s="12"/>
      <c r="Q69" s="39">
        <f>Q68*20%</f>
        <v>17.372986800000014</v>
      </c>
      <c r="R69" s="39" t="s">
        <v>128</v>
      </c>
      <c r="S69" s="42"/>
      <c r="T69" s="240">
        <f>T68+U66</f>
        <v>459.81200000000007</v>
      </c>
      <c r="U69" s="14"/>
      <c r="V69" s="9"/>
      <c r="Y69" s="4"/>
    </row>
    <row r="70" spans="1:25" ht="17.399999999999999" x14ac:dyDescent="0.35">
      <c r="B70" s="268"/>
      <c r="C70" s="230"/>
      <c r="D70" s="230"/>
      <c r="E70" s="233"/>
      <c r="F70" s="233"/>
      <c r="G70" s="234"/>
      <c r="H70" s="230"/>
      <c r="I70" s="273"/>
      <c r="J70" s="273"/>
      <c r="K70" s="264"/>
      <c r="L70" s="47"/>
      <c r="M70" s="47"/>
      <c r="N70" s="14"/>
      <c r="O70" s="12"/>
      <c r="P70" s="12"/>
      <c r="Q70" s="46">
        <f>Q68+Q69</f>
        <v>104.23792080000007</v>
      </c>
      <c r="R70" s="14"/>
      <c r="S70" s="14"/>
      <c r="T70" s="238">
        <f>T69*20%</f>
        <v>91.962400000000017</v>
      </c>
      <c r="U70" s="14"/>
      <c r="V70" s="9"/>
      <c r="Y70" s="4"/>
    </row>
    <row r="71" spans="1:25" ht="17.399999999999999" x14ac:dyDescent="0.35">
      <c r="B71" s="235"/>
      <c r="C71" s="236"/>
      <c r="D71" s="237"/>
      <c r="E71" s="235"/>
      <c r="F71" s="235"/>
      <c r="G71" s="230"/>
      <c r="H71" s="230"/>
      <c r="J71" s="273"/>
      <c r="K71" s="264"/>
      <c r="L71" s="47"/>
      <c r="M71" s="47"/>
      <c r="N71" s="14"/>
      <c r="O71" s="14"/>
      <c r="P71" s="14"/>
      <c r="Q71" s="14"/>
      <c r="R71" s="14"/>
      <c r="S71" s="14"/>
      <c r="T71" s="240">
        <f>T69+T70</f>
        <v>551.77440000000013</v>
      </c>
      <c r="U71" s="14"/>
      <c r="V71" s="294" t="s">
        <v>21</v>
      </c>
      <c r="W71" s="291" t="s">
        <v>148</v>
      </c>
      <c r="X71" s="295">
        <v>44971</v>
      </c>
      <c r="Y71" s="296"/>
    </row>
    <row r="72" spans="1:25" ht="17.399999999999999" x14ac:dyDescent="0.35">
      <c r="B72" s="230"/>
      <c r="C72" s="230"/>
      <c r="D72" s="230"/>
      <c r="E72" s="230"/>
      <c r="F72" s="230"/>
      <c r="G72" s="230"/>
      <c r="H72" s="230"/>
      <c r="K72" s="264"/>
      <c r="L72" s="47"/>
      <c r="M72" s="47"/>
      <c r="N72" s="39">
        <f>Q70*2</f>
        <v>208.47584160000014</v>
      </c>
      <c r="O72" s="12">
        <v>3500</v>
      </c>
      <c r="P72" s="12">
        <f t="shared" ref="P72:P77" si="29">N72*O72</f>
        <v>729665.44560000044</v>
      </c>
      <c r="Q72" s="14" t="s">
        <v>21</v>
      </c>
      <c r="R72" s="14"/>
      <c r="S72" s="14"/>
      <c r="T72" s="241"/>
      <c r="U72" s="14"/>
      <c r="V72" s="294" t="s">
        <v>149</v>
      </c>
      <c r="W72" s="291">
        <v>3625</v>
      </c>
      <c r="X72" s="59" t="s">
        <v>150</v>
      </c>
      <c r="Y72" s="296"/>
    </row>
    <row r="73" spans="1:25" ht="17.399999999999999" x14ac:dyDescent="0.35">
      <c r="A73" s="230"/>
      <c r="B73" s="230"/>
      <c r="C73" s="230"/>
      <c r="D73" s="230"/>
      <c r="E73" s="230"/>
      <c r="F73" s="230"/>
      <c r="G73" s="230"/>
      <c r="H73" s="230"/>
      <c r="I73" s="230"/>
      <c r="K73" s="264"/>
      <c r="L73" s="47"/>
      <c r="M73" s="47"/>
      <c r="N73" s="248">
        <v>28</v>
      </c>
      <c r="O73" s="12">
        <v>23500</v>
      </c>
      <c r="P73" s="12">
        <f t="shared" si="29"/>
        <v>658000</v>
      </c>
      <c r="Q73" s="39" t="s">
        <v>31</v>
      </c>
      <c r="R73" s="42"/>
      <c r="S73" s="14"/>
      <c r="T73" s="240"/>
      <c r="U73" s="14"/>
      <c r="V73" s="294"/>
      <c r="W73" s="59">
        <v>906.25</v>
      </c>
      <c r="X73" s="59" t="s">
        <v>151</v>
      </c>
      <c r="Y73" s="296"/>
    </row>
    <row r="74" spans="1:25" s="230" customFormat="1" ht="17.399999999999999" x14ac:dyDescent="0.35">
      <c r="B74" s="24" t="s">
        <v>147</v>
      </c>
      <c r="K74" s="261"/>
      <c r="L74" s="232"/>
      <c r="M74" s="249"/>
      <c r="N74" s="14">
        <v>28</v>
      </c>
      <c r="O74" s="249">
        <v>15700</v>
      </c>
      <c r="P74" s="12">
        <f t="shared" si="29"/>
        <v>439600</v>
      </c>
      <c r="Q74" s="39" t="s">
        <v>30</v>
      </c>
      <c r="R74" s="42"/>
      <c r="T74" s="240"/>
      <c r="U74" s="255"/>
      <c r="V74" s="59"/>
      <c r="W74" s="59">
        <f>W73*20%</f>
        <v>181.25</v>
      </c>
      <c r="X74" s="296" t="s">
        <v>152</v>
      </c>
      <c r="Y74" s="59"/>
    </row>
    <row r="75" spans="1:25" s="230" customFormat="1" ht="17.399999999999999" x14ac:dyDescent="0.35">
      <c r="B75" s="24" t="s">
        <v>161</v>
      </c>
      <c r="C75"/>
      <c r="D75"/>
      <c r="E75"/>
      <c r="F75"/>
      <c r="G75"/>
      <c r="K75" s="261"/>
      <c r="L75" s="232"/>
      <c r="M75" s="249"/>
      <c r="N75" s="14">
        <v>28</v>
      </c>
      <c r="O75" s="249">
        <v>28500</v>
      </c>
      <c r="P75" s="12">
        <f t="shared" si="29"/>
        <v>798000</v>
      </c>
      <c r="Q75" s="14" t="s">
        <v>138</v>
      </c>
      <c r="R75" s="17"/>
      <c r="T75" s="238"/>
      <c r="U75" s="255"/>
      <c r="V75" s="59"/>
      <c r="W75" s="59">
        <f>W73+W74</f>
        <v>1087.5</v>
      </c>
      <c r="X75" s="296" t="s">
        <v>153</v>
      </c>
      <c r="Y75" s="59"/>
    </row>
    <row r="76" spans="1:25" s="230" customFormat="1" ht="17.399999999999999" x14ac:dyDescent="0.35">
      <c r="A76" s="230" t="s">
        <v>281</v>
      </c>
      <c r="B76" s="29" t="s">
        <v>124</v>
      </c>
      <c r="C76"/>
      <c r="D76"/>
      <c r="E76"/>
      <c r="F76"/>
      <c r="G76" s="229" t="s">
        <v>15</v>
      </c>
      <c r="K76" s="261"/>
      <c r="L76" s="259"/>
      <c r="M76" s="249"/>
      <c r="N76" s="248">
        <v>552</v>
      </c>
      <c r="O76" s="249">
        <v>481</v>
      </c>
      <c r="P76" s="12">
        <f t="shared" si="29"/>
        <v>265512</v>
      </c>
      <c r="Q76" s="14" t="s">
        <v>287</v>
      </c>
      <c r="R76" s="14"/>
      <c r="S76" s="230">
        <v>1.22</v>
      </c>
      <c r="T76" s="238"/>
      <c r="U76" s="238"/>
    </row>
    <row r="77" spans="1:25" s="230" customFormat="1" ht="17.399999999999999" x14ac:dyDescent="0.35">
      <c r="K77" s="286"/>
      <c r="L77" s="259"/>
      <c r="M77" s="249"/>
      <c r="N77" s="265"/>
      <c r="O77" s="12">
        <v>1500</v>
      </c>
      <c r="P77" s="12">
        <f t="shared" si="29"/>
        <v>0</v>
      </c>
      <c r="Q77" s="14" t="s">
        <v>22</v>
      </c>
      <c r="R77" s="14"/>
      <c r="S77">
        <v>3.05</v>
      </c>
      <c r="T77"/>
      <c r="U77" s="238"/>
      <c r="Y77" s="231"/>
    </row>
    <row r="78" spans="1:25" s="230" customFormat="1" ht="17.399999999999999" x14ac:dyDescent="0.35">
      <c r="L78" s="259"/>
      <c r="M78" s="249"/>
      <c r="N78" s="14"/>
      <c r="O78" s="12"/>
      <c r="P78" s="12">
        <f>SUM(P72:P77)</f>
        <v>2890777.4456000002</v>
      </c>
      <c r="Q78" s="39" t="s">
        <v>23</v>
      </c>
      <c r="R78" s="14"/>
      <c r="S78">
        <f>S76*S77</f>
        <v>3.7209999999999996</v>
      </c>
      <c r="T78"/>
      <c r="U78" s="238"/>
      <c r="Y78" s="231"/>
    </row>
    <row r="79" spans="1:25" s="230" customFormat="1" ht="17.399999999999999" x14ac:dyDescent="0.35">
      <c r="M79" s="249"/>
      <c r="N79" s="253" t="s">
        <v>33</v>
      </c>
      <c r="O79" s="12"/>
      <c r="P79" s="254">
        <f>P78*2.03</f>
        <v>5868278.2145680003</v>
      </c>
      <c r="Q79" s="14" t="s">
        <v>137</v>
      </c>
      <c r="R79" s="14"/>
      <c r="S79" s="40">
        <f>Q70/S78</f>
        <v>28.013415963450708</v>
      </c>
      <c r="T79"/>
      <c r="U79" s="256"/>
    </row>
    <row r="80" spans="1:25" s="230" customFormat="1" ht="17.399999999999999" x14ac:dyDescent="0.35">
      <c r="H80"/>
      <c r="I80" s="259"/>
      <c r="J80" s="259"/>
      <c r="K80" s="259"/>
      <c r="L80" s="230">
        <v>46000</v>
      </c>
      <c r="M80" s="249"/>
      <c r="N80" s="14"/>
      <c r="O80" s="12"/>
      <c r="P80" s="12">
        <f>P79/Q68</f>
        <v>67556.353805184452</v>
      </c>
      <c r="Q80" s="45" t="s">
        <v>24</v>
      </c>
      <c r="R80" s="14"/>
      <c r="S80" s="14"/>
      <c r="T80"/>
      <c r="U80" s="238"/>
      <c r="V80" s="59" t="s">
        <v>154</v>
      </c>
      <c r="W80" s="291">
        <v>43650</v>
      </c>
    </row>
    <row r="81" spans="2:24" s="230" customFormat="1" ht="17.399999999999999" x14ac:dyDescent="0.35">
      <c r="H81"/>
      <c r="L81" s="230">
        <f>L80/1.19</f>
        <v>38655.462184873948</v>
      </c>
      <c r="M81" s="249"/>
      <c r="N81" s="13"/>
      <c r="O81" s="14"/>
      <c r="P81" s="17">
        <f>P79/P78</f>
        <v>2.0299999999999998</v>
      </c>
      <c r="Q81" s="15"/>
      <c r="R81"/>
      <c r="S81"/>
      <c r="T81"/>
      <c r="U81" s="238"/>
      <c r="V81" s="59" t="s">
        <v>156</v>
      </c>
      <c r="W81" s="292" t="s">
        <v>155</v>
      </c>
      <c r="X81" s="59">
        <v>2.4</v>
      </c>
    </row>
    <row r="82" spans="2:24" s="230" customFormat="1" ht="17.399999999999999" x14ac:dyDescent="0.35">
      <c r="H82" s="23"/>
      <c r="M82" s="12"/>
      <c r="U82" s="238"/>
      <c r="V82" s="59" t="s">
        <v>157</v>
      </c>
      <c r="W82" s="293">
        <v>395.37</v>
      </c>
    </row>
    <row r="83" spans="2:24" s="230" customFormat="1" ht="17.399999999999999" x14ac:dyDescent="0.35">
      <c r="B83"/>
      <c r="C83" s="228"/>
      <c r="D83" s="22"/>
      <c r="E83" s="22"/>
      <c r="F83" s="22"/>
      <c r="G83" s="21"/>
      <c r="H83" s="23"/>
      <c r="M83" s="12"/>
      <c r="U83" s="238"/>
      <c r="V83" s="59" t="s">
        <v>152</v>
      </c>
      <c r="W83" s="59">
        <v>474.45</v>
      </c>
    </row>
    <row r="84" spans="2:24" ht="14.4" customHeight="1" x14ac:dyDescent="0.3">
      <c r="M84" s="12"/>
      <c r="V84" s="59"/>
      <c r="W84" s="59"/>
    </row>
    <row r="85" spans="2:24" x14ac:dyDescent="0.3">
      <c r="M85" s="249"/>
    </row>
    <row r="86" spans="2:24" x14ac:dyDescent="0.3">
      <c r="M86" s="249"/>
      <c r="U86" s="269"/>
    </row>
    <row r="87" spans="2:24" x14ac:dyDescent="0.3">
      <c r="M87" s="249"/>
    </row>
    <row r="88" spans="2:24" ht="15" customHeight="1" x14ac:dyDescent="0.3"/>
    <row r="90" spans="2:24" x14ac:dyDescent="0.3">
      <c r="P90">
        <v>40935</v>
      </c>
      <c r="Q90" t="s">
        <v>16</v>
      </c>
      <c r="R90" t="s">
        <v>26</v>
      </c>
    </row>
    <row r="92" spans="2:24" x14ac:dyDescent="0.3">
      <c r="P92" s="54"/>
      <c r="Q92" s="54"/>
    </row>
    <row r="93" spans="2:24" x14ac:dyDescent="0.3">
      <c r="T93" s="18"/>
      <c r="U93" s="18"/>
    </row>
    <row r="94" spans="2:24" x14ac:dyDescent="0.3">
      <c r="T94" s="18"/>
      <c r="U94" s="18"/>
    </row>
    <row r="95" spans="2:24" x14ac:dyDescent="0.3">
      <c r="T95" s="18"/>
      <c r="U95" s="18"/>
    </row>
    <row r="96" spans="2:24" x14ac:dyDescent="0.3">
      <c r="T96" s="18"/>
      <c r="U96" s="18"/>
    </row>
    <row r="97" spans="16:21" x14ac:dyDescent="0.3">
      <c r="T97" s="18"/>
      <c r="U97" s="18"/>
    </row>
    <row r="98" spans="16:21" x14ac:dyDescent="0.3">
      <c r="T98" s="18"/>
      <c r="U98" s="18"/>
    </row>
    <row r="99" spans="16:21" x14ac:dyDescent="0.3">
      <c r="T99" s="18"/>
      <c r="U99" s="18"/>
    </row>
    <row r="100" spans="16:21" x14ac:dyDescent="0.3">
      <c r="T100" s="18"/>
      <c r="U100" s="18"/>
    </row>
    <row r="101" spans="16:21" x14ac:dyDescent="0.3">
      <c r="T101" s="18"/>
      <c r="U101" s="18"/>
    </row>
    <row r="104" spans="16:21" x14ac:dyDescent="0.3">
      <c r="P104" s="43"/>
    </row>
    <row r="105" spans="16:21" x14ac:dyDescent="0.3">
      <c r="P105" s="43"/>
    </row>
    <row r="106" spans="16:21" x14ac:dyDescent="0.3">
      <c r="P106" s="6"/>
    </row>
    <row r="107" spans="16:21" x14ac:dyDescent="0.3">
      <c r="P107" s="6"/>
    </row>
    <row r="115" spans="3:3" x14ac:dyDescent="0.3">
      <c r="C115" t="s">
        <v>144</v>
      </c>
    </row>
    <row r="116" spans="3:3" x14ac:dyDescent="0.3">
      <c r="C116" t="s">
        <v>143</v>
      </c>
    </row>
    <row r="119" spans="3:3" x14ac:dyDescent="0.3">
      <c r="C119" t="s">
        <v>143</v>
      </c>
    </row>
    <row r="196" spans="3:3" x14ac:dyDescent="0.3">
      <c r="C196" t="s">
        <v>143</v>
      </c>
    </row>
    <row r="197" spans="3:3" x14ac:dyDescent="0.3">
      <c r="C197" t="s">
        <v>145</v>
      </c>
    </row>
    <row r="198" spans="3:3" x14ac:dyDescent="0.3">
      <c r="C198" t="s">
        <v>146</v>
      </c>
    </row>
    <row r="623" spans="3:3" x14ac:dyDescent="0.3">
      <c r="C623" t="s">
        <v>143</v>
      </c>
    </row>
  </sheetData>
  <mergeCells count="1">
    <mergeCell ref="B19:I19"/>
  </mergeCells>
  <phoneticPr fontId="32" type="noConversion"/>
  <hyperlinks>
    <hyperlink ref="G7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5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46008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11808A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-526510.66325478663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'2229'!I66</f>
        <v>6223278.2145679956</v>
      </c>
      <c r="E11" s="132">
        <f>D11*0.19</f>
        <v>1182422.8607679191</v>
      </c>
      <c r="F11" s="131">
        <f>E11+D11</f>
        <v>7405701.0753359143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-420520.66325478663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1857099.5363874401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-438520.66325478663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4366178.6781805558</v>
      </c>
      <c r="E13" s="221">
        <f>(D11/D12)-1</f>
        <v>2.3510741307242755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-447520.66325478663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-486520.66325478663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3064214.2350392761</v>
      </c>
      <c r="F15" s="216">
        <f>E15-D12</f>
        <v>1207114.698651836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-486520.66325478663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-446520.66325478663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'2229'!P74</f>
        <v>439600</v>
      </c>
      <c r="E18" s="123">
        <f>D18*0.19</f>
        <v>83524</v>
      </c>
      <c r="F18" s="120">
        <f>SUM(D18:E18)</f>
        <v>523124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'2229'!P73</f>
        <v>658000</v>
      </c>
      <c r="E19" s="123">
        <f>D19*0.19</f>
        <v>125020</v>
      </c>
      <c r="F19" s="120">
        <f>SUM(D19:E19)</f>
        <v>783020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'2229'!P72</f>
        <v>729665.44560000044</v>
      </c>
      <c r="E20" s="121">
        <f>D20*0.19</f>
        <v>138636.43466400009</v>
      </c>
      <c r="F20" s="120">
        <f>SUM(D20:E20)</f>
        <v>868301.8802640005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1827265.4456000004</v>
      </c>
      <c r="E21" s="116">
        <f>SUM(E18:E20)</f>
        <v>347180.43466400006</v>
      </c>
      <c r="F21" s="115">
        <f>SUM(F18:F20)</f>
        <v>2174445.8802640005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835242.42610391905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6223278.2145679956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1827265.4456000004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4366178.6781805558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4366178.6781805558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11808A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21</v>
      </c>
      <c r="C22" s="313" t="str">
        <f>'2229'!C21</f>
        <v>ENCHAPE RECTO 2 CARAS MDF 18MM</v>
      </c>
      <c r="D22" s="321">
        <f>'2229'!D21*1000</f>
        <v>664</v>
      </c>
      <c r="E22" s="321">
        <f>'2229'!E21*1000</f>
        <v>309</v>
      </c>
      <c r="F22" s="322" t="str">
        <f>'2229'!G21</f>
        <v>BLANCO + HUMO 2108 MT</v>
      </c>
      <c r="G22" s="314">
        <f>'2229'!H21</f>
        <v>16202.611634903489</v>
      </c>
      <c r="H22" s="323">
        <f>G22*B22</f>
        <v>340254.8443329733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340254.8443329733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64648.420423264928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404903.2647562382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11808A</v>
      </c>
      <c r="C2" s="1">
        <f>'NOTA DE VENTA'!$G$10</f>
        <v>46008</v>
      </c>
      <c r="D2" s="1">
        <f>'NOTA DE VENTA'!$G$11</f>
        <v>46015</v>
      </c>
      <c r="E2" t="str">
        <f>'NOTA DE VENTA'!$C$10</f>
        <v>GONZALO PEÑA</v>
      </c>
      <c r="F2" t="str">
        <f>'NOTA DE VENTA'!$C$22</f>
        <v>ENCHAPE RECTO 2 CARAS MDF 18MM</v>
      </c>
      <c r="G2" t="str">
        <f>'NOTA DE VENTA'!$F$22</f>
        <v>BLANCO + HUMO 2108 MT</v>
      </c>
      <c r="H2" s="416">
        <f>'NOTA DE VENTA'!$H$25</f>
        <v>340254.8443329733</v>
      </c>
      <c r="I2" s="416">
        <f>H2*0.19</f>
        <v>64648.420423264928</v>
      </c>
      <c r="J2" s="416">
        <f>I2+H2</f>
        <v>404903.2647562382</v>
      </c>
      <c r="L2" s="61">
        <f>J2-K2</f>
        <v>404903.2647562382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2025-12-18T00:56:59Z</cp:lastPrinted>
  <dcterms:created xsi:type="dcterms:W3CDTF">2013-03-18T13:35:42Z</dcterms:created>
  <dcterms:modified xsi:type="dcterms:W3CDTF">2025-12-18T00:57:50Z</dcterms:modified>
</cp:coreProperties>
</file>