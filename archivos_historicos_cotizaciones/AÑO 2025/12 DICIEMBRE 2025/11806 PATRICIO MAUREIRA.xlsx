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2 DICIEMBRE 2025\"/>
    </mc:Choice>
  </mc:AlternateContent>
  <xr:revisionPtr revIDLastSave="0" documentId="13_ncr:1_{743AED6F-B90B-4702-AB15-6D21E7B8D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E14" i="6"/>
  <c r="D13" i="6"/>
  <c r="K5" i="6"/>
  <c r="E20" i="6" a="1"/>
  <c r="E20" i="6" s="1"/>
  <c r="E21" i="6" a="1"/>
  <c r="E21" i="6" s="1"/>
  <c r="D20" i="6" a="1"/>
  <c r="D20" i="6" s="1"/>
  <c r="D21" i="6" a="1"/>
  <c r="D21" i="6" s="1"/>
  <c r="N5" i="6" a="1"/>
  <c r="N5" i="6" s="1"/>
  <c r="M5" i="6" a="1"/>
  <c r="M5" i="6" s="1"/>
  <c r="F21" i="6"/>
  <c r="C22" i="4"/>
  <c r="C49" i="6" s="1"/>
  <c r="C27" i="6" s="1"/>
  <c r="B27" i="6"/>
  <c r="F27" i="6"/>
  <c r="E27" i="6"/>
  <c r="D27" i="6"/>
  <c r="D42" i="6"/>
  <c r="D40" i="6"/>
  <c r="D39" i="6"/>
  <c r="D49" i="6"/>
  <c r="E49" i="6"/>
  <c r="F49" i="6"/>
  <c r="B49" i="6"/>
  <c r="M29" i="1"/>
  <c r="L21" i="1" l="1"/>
  <c r="A2" i="7"/>
  <c r="C7" i="6" l="1"/>
  <c r="D4" i="6"/>
  <c r="C42" i="6"/>
  <c r="I21" i="6"/>
  <c r="K21" i="6"/>
  <c r="J21" i="6"/>
  <c r="K14" i="6"/>
  <c r="J14" i="6"/>
  <c r="F22" i="4"/>
  <c r="G2" i="7" s="1"/>
  <c r="E22" i="4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S21" i="1" s="1"/>
  <c r="D14" i="6" l="1"/>
  <c r="L5" i="6"/>
  <c r="D2" i="7"/>
  <c r="D8" i="6"/>
  <c r="M21" i="1"/>
  <c r="T21" i="1" s="1"/>
  <c r="M24" i="1" l="1"/>
  <c r="S25" i="1"/>
  <c r="T23" i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G21" i="1" s="1"/>
  <c r="H21" i="1" l="1"/>
  <c r="H23" i="1" s="1"/>
  <c r="H24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<sst xmlns="http://schemas.openxmlformats.org/spreadsheetml/2006/main" count="486" uniqueCount="294">
  <si>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</si>
  <si>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</si>
  <si>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</si>
  <si>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</si>
  <si>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</si>
  <si>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</si>
  <si>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</si>
  <si>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</si>
  <si>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</si>
  <si>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</si>
  <si>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</si>
  <si>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</si>
  <si>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</si>
  <si>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</si>
  <si>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</si>
  <si>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</si>
  <si>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</si>
  <si>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</si>
  <si>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</si>
  <si>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</si>
  <si>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</si>
  <si>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</si>
  <si>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</si>
  <si>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</si>
  <si>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</si>
  <si>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</si>
  <si>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</si>
  <si>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</si>
  <si>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</si>
  <si>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</si>
  <si>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</si>
  <si>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</si>
  <si>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</si>
  <si>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</si>
  <si>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</si>
  <si>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</si>
  <si>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</si>
  <si>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</si>
  <si>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</si>
  <si>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</si>
  <si>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</si>
  <si>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</si>
  <si>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</si>
  <si>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</si>
  <si>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</si>
  <si>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</si>
  <si>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</si>
  <si>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</si>
  <si>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</si>
  <si>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</si>
  <si>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</si>
  <si>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</si>
  <si>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</si>
  <si>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</si>
  <si>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</si>
  <si>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</si>
  <si>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</si>
  <si>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</si>
  <si>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</si>
  <si>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</si>
  <si>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</si>
  <si>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</si>
  <si>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</si>
  <si>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</si>
  <si>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</si>
  <si>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</si>
  <si>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</si>
  <si>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</si>
  <si>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</si>
  <si>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</si>
  <si>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</si>
  <si>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</si>
  <si>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</si>
  <si>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</si>
  <si>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</si>
  <si>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</si>
  <si>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</si>
  <si>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</si>
  <si>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</si>
  <si>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</si>
  <si>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</si>
  <si>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</si>
  <si>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</si>
  <si>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</si>
  <si>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</si>
  <si>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</si>
  <si>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</si>
  <si>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</si>
  <si>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</si>
  <si>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</si>
  <si>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</si>
  <si>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</si>
  <si>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</si>
  <si>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</si>
  <si>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</si>
  <si>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</si>
  <si>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</si>
  <si>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</si>
  <si>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</si>
  <si>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</si>
  <si>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</si>
  <si>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</si>
  <si>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</si>
  <si>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</si>
  <si>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</si>
  <si>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</si>
  <si>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</si>
  <si>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</si>
  <si>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</si>
  <si>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</si>
  <si>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</si>
  <si>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</si>
  <si>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</si>
  <si>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</si>
  <si>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</si>
  <si>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</si>
  <si>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</si>
  <si>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</si>
  <si>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</si>
  <si>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</si>
  <si>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</si>
  <si>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</si>
  <si>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</si>
  <si>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</si>
  <si>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</si>
  <si>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</si>
  <si>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</si>
  <si>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</si>
  <si>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</si>
  <si>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</si>
  <si>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</si>
  <si>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</si>
  <si>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</si>
  <si>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</si>
  <si>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</si>
  <si>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</si>
  <si>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</si>
  <si>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</si>
  <si>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</si>
  <si>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</si>
  <si>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</si>
  <si>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</si>
  <si>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</si>
  <si>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</si>
  <si>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</si>
  <si>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</si>
  <si>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</si>
  <si>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</si>
  <si>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</si>
  <si>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</si>
  <si>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</si>
  <si>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</si>
  <si>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</si>
  <si>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</si>
  <si>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</si>
  <si>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</si>
  <si>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</si>
  <si>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</si>
  <si>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</si>
  <si>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</si>
  <si>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</si>
  <si>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</si>
  <si>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</si>
  <si>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</si>
  <si>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</si>
  <si>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</si>
  <si>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</si>
  <si>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</si>
  <si>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</si>
  <si>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</si>
  <si>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</si>
  <si>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</si>
  <si>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</si>
  <si>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</si>
  <si>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</si>
  <si>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</si>
  <si>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</si>
  <si>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</si>
  <si>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</si>
  <si>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</si>
  <si>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</si>
  <si>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</si>
  <si>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</si>
  <si>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</si>
  <si>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</si>
  <si>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</si>
  <si>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</si>
  <si>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</si>
  <si>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</si>
  <si>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</si>
  <si>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</si>
  <si>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</si>
  <si>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</si>
  <si>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</si>
  <si>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</si>
  <si>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</si>
  <si>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</si>
  <si>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</si>
  <si>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</si>
  <si>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</si>
  <si>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</si>
  <si>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</si>
  <si>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</si>
  <si>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</si>
  <si>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</si>
  <si>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</si>
  <si>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</si>
  <si>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</si>
  <si>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</si>
  <si>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</si>
  <si>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</si>
  <si>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</si>
  <si>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</si>
  <si>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</si>
  <si>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</si>
  <si>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</si>
  <si>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</si>
  <si>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</si>
  <si>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</si>
  <si>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</si>
  <si>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</si>
  <si>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</si>
  <si>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</si>
  <si>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</si>
  <si>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</si>
  <si>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</si>
  <si>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</si>
  <si>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</si>
  <si>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</si>
  <si>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</si>
  <si>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</si>
  <si>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</si>
  <si>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</si>
  <si>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</si>
  <si>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</si>
  <si>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</si>
  <si>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</si>
  <si>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</si>
  <si>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</si>
  <si>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</si>
  <si>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</si>
  <si>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</si>
  <si>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</si>
  <si>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</si>
  <si>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</si>
  <si>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</si>
  <si>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</si>
  <si>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</si>
  <si>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</si>
  <si>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</si>
  <si>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</si>
  <si>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</si>
  <si>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</si>
  <si>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</si>
  <si>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</si>
  <si>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</si>
  <si>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</si>
  <si>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</si>
  <si>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</si>
  <si>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</si>
  <si>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</si>
  <si>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</si>
  <si>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</si>
  <si>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</si>
  <si>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</si>
  <si>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</si>
  <si>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</si>
  <si>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</si>
  <si>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</si>
  <si>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</si>
  <si>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</si>
  <si>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</si>
  <si>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</si>
  <si>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</si>
  <si>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</si>
  <si>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</si>
  <si>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</si>
  <si>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</si>
  <si>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</si>
  <si>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</si>
  <si>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INSTALACIÓN</t>
  </si>
  <si>
    <t>DESPACHO</t>
  </si>
  <si>
    <t>PLAZO ENTREGA</t>
  </si>
  <si>
    <t>SANTIAGO</t>
  </si>
  <si>
    <t>TAPACANTO 100 MTS 1,5X22</t>
  </si>
  <si>
    <t>SI</t>
  </si>
  <si>
    <t>Cotizado por: Fernando Donoso</t>
  </si>
  <si>
    <t>NEW BLACK GRANITE</t>
  </si>
  <si>
    <t>PATRICIO MAUREIRA</t>
  </si>
  <si>
    <t>N° 11806</t>
  </si>
  <si>
    <t>+569 6347 2429</t>
  </si>
  <si>
    <t>5 DIAS HABILES</t>
  </si>
  <si>
    <t>FRANCO DONOSO</t>
  </si>
  <si>
    <t>CUB MESA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</si>
</sst>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CORTES SEGUN DIBUJO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CUBIERTA LLEVA CORTES SEGUN DIBUJO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1">
          <cell r="F11" t="str">
            <v>FECHA LIMITE :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7" zoomScale="93" zoomScaleNormal="93" workbookViewId="0">
      <selection activeCell="C22" sqref="C22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5" t="s">
        <v>125</v>
      </c>
      <c r="C8" s="406"/>
      <c r="D8" s="407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31" t="s">
        <v>288</v>
      </c>
      <c r="D10" s="243"/>
      <c r="E10" s="243"/>
      <c r="F10" s="416" t="s">
        <v>274</v>
      </c>
      <c r="G10" s="275">
        <v>46008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7" t="s">
        <v>12</v>
      </c>
      <c r="C11" s="418"/>
      <c r="F11" s="29" t="s">
        <v>282</v>
      </c>
      <c r="G11" s="419" t="s">
        <v>291</v>
      </c>
      <c r="H11" s="420"/>
      <c r="Q11" s="19"/>
      <c r="R11" s="25" t="s">
        <v>18</v>
      </c>
      <c r="S11" s="19"/>
    </row>
    <row r="12" spans="2:24" x14ac:dyDescent="0.3">
      <c r="B12" s="245" t="s">
        <v>141</v>
      </c>
      <c r="C12" s="415"/>
      <c r="D12" s="246"/>
      <c r="E12" s="246"/>
      <c r="F12" s="301" t="s">
        <v>126</v>
      </c>
      <c r="G12" s="276" t="s">
        <v>132</v>
      </c>
      <c r="H12" s="247"/>
      <c r="Q12" s="19"/>
      <c r="R12" s="25"/>
      <c r="S12" s="19"/>
    </row>
    <row r="13" spans="2:24" x14ac:dyDescent="0.3">
      <c r="B13" s="417" t="s">
        <v>142</v>
      </c>
      <c r="F13" s="29" t="s">
        <v>133</v>
      </c>
      <c r="G13" s="421" t="s">
        <v>285</v>
      </c>
      <c r="H13" s="420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281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7" t="s">
        <v>4</v>
      </c>
      <c r="C15" s="422" t="s">
        <v>290</v>
      </c>
      <c r="D15" s="423"/>
      <c r="F15" s="29" t="s">
        <v>280</v>
      </c>
      <c r="G15" s="75" t="s">
        <v>132</v>
      </c>
      <c r="H15" s="420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1:25" ht="15" thickBot="1" x14ac:dyDescent="0.35">
      <c r="B17" s="424" t="s">
        <v>13</v>
      </c>
      <c r="C17" s="299" t="s">
        <v>283</v>
      </c>
      <c r="D17" s="300"/>
      <c r="E17" s="119"/>
      <c r="F17" s="425" t="s">
        <v>177</v>
      </c>
      <c r="G17" s="425" t="s">
        <v>286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2" t="s">
        <v>95</v>
      </c>
      <c r="C19" s="433"/>
      <c r="D19" s="433"/>
      <c r="E19" s="433"/>
      <c r="F19" s="433"/>
      <c r="G19" s="433"/>
      <c r="H19" s="434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408" t="s">
        <v>7</v>
      </c>
      <c r="C20" s="409" t="s">
        <v>1</v>
      </c>
      <c r="D20" s="409" t="s">
        <v>10</v>
      </c>
      <c r="E20" s="409" t="s">
        <v>11</v>
      </c>
      <c r="F20" s="409" t="s">
        <v>8</v>
      </c>
      <c r="G20" s="409" t="s">
        <v>5</v>
      </c>
      <c r="H20" s="410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136679.0243902439</v>
      </c>
      <c r="R20" s="257">
        <v>1000</v>
      </c>
      <c r="S20" s="38" t="s">
        <v>10</v>
      </c>
      <c r="T20" s="43" t="s">
        <v>11</v>
      </c>
      <c r="U20" s="9"/>
      <c r="X20" s="4"/>
    </row>
    <row r="21" spans="1:25" ht="17.399999999999999" x14ac:dyDescent="0.3">
      <c r="B21" s="428">
        <v>1</v>
      </c>
      <c r="C21" s="428" t="s">
        <v>293</v>
      </c>
      <c r="D21" s="429">
        <v>0.8</v>
      </c>
      <c r="E21" s="429">
        <v>0.5</v>
      </c>
      <c r="F21" s="428" t="s">
        <v>287</v>
      </c>
      <c r="G21" s="430">
        <f>R21</f>
        <v>59279.936000000002</v>
      </c>
      <c r="H21" s="430">
        <f>G21*B21</f>
        <v>59279.936000000002</v>
      </c>
      <c r="I21" s="306"/>
      <c r="J21" s="264"/>
      <c r="K21" s="47"/>
      <c r="L21" s="47">
        <f>B21</f>
        <v>1</v>
      </c>
      <c r="M21" s="39">
        <f>D21+M$19</f>
        <v>0.82000000000000006</v>
      </c>
      <c r="N21" s="39">
        <f>E21+$N$19</f>
        <v>0.52</v>
      </c>
      <c r="O21" s="260">
        <f t="shared" ref="O21" si="0">M21*N21</f>
        <v>0.42640000000000006</v>
      </c>
      <c r="P21" s="258">
        <f t="shared" ref="P21" si="1">O21*L21</f>
        <v>0.42640000000000006</v>
      </c>
      <c r="Q21" s="251">
        <f t="shared" ref="Q21" si="2">Q$20*O21</f>
        <v>58279.936000000002</v>
      </c>
      <c r="R21" s="305">
        <f t="shared" ref="R21" si="3">Q21+R$20</f>
        <v>59279.936000000002</v>
      </c>
      <c r="S21" s="290">
        <f>N21*2*L21</f>
        <v>1.04</v>
      </c>
      <c r="T21" s="46">
        <f>L21*M21</f>
        <v>0.82000000000000006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59279.936000000002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0.82000000000000006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11263.187840000001</v>
      </c>
      <c r="I24" s="308"/>
      <c r="J24" s="264"/>
      <c r="K24" s="47"/>
      <c r="L24" s="47"/>
      <c r="M24" s="39">
        <f>SUM(M21:M23)</f>
        <v>0.82000000000000006</v>
      </c>
      <c r="N24" s="12"/>
      <c r="O24" s="12"/>
      <c r="P24" s="252">
        <f>SUM(P21:P21)</f>
        <v>0.42640000000000006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70543.12384</v>
      </c>
      <c r="I25" s="308"/>
      <c r="J25" s="264"/>
      <c r="K25" s="47"/>
      <c r="L25" s="47"/>
      <c r="M25" s="39"/>
      <c r="N25" s="12"/>
      <c r="O25" s="12"/>
      <c r="P25" s="252">
        <f>P24</f>
        <v>0.42640000000000006</v>
      </c>
      <c r="Q25" s="14"/>
      <c r="R25" s="12"/>
      <c r="S25" s="239">
        <f>SUM(S21:S24)</f>
        <v>1.04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8.5280000000000022E-2</v>
      </c>
      <c r="Q26" s="39" t="s">
        <v>128</v>
      </c>
      <c r="R26" s="42"/>
      <c r="S26" s="240">
        <f>S25+T23</f>
        <v>1.86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0.51168000000000013</v>
      </c>
      <c r="Q27" s="14"/>
      <c r="R27" s="14"/>
      <c r="S27" s="238">
        <f>S26*20%</f>
        <v>0.37200000000000005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2.2320000000000002</v>
      </c>
      <c r="T28" s="14"/>
      <c r="U28" s="294" t="s">
        <v>21</v>
      </c>
      <c r="V28" s="291" t="s">
        <v>148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0.51168000000000013</v>
      </c>
      <c r="N29" s="12">
        <v>3500</v>
      </c>
      <c r="O29" s="12">
        <f t="shared" ref="O29:O34" si="4">M29*N29</f>
        <v>1790.8800000000006</v>
      </c>
      <c r="P29" s="14" t="s">
        <v>21</v>
      </c>
      <c r="Q29" s="14"/>
      <c r="R29" s="14"/>
      <c r="S29" s="241"/>
      <c r="T29" s="14"/>
      <c r="U29" s="294" t="s">
        <v>149</v>
      </c>
      <c r="V29" s="291">
        <v>3625</v>
      </c>
      <c r="W29" s="59" t="s">
        <v>150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0.2</v>
      </c>
      <c r="N30" s="12">
        <v>23500</v>
      </c>
      <c r="O30" s="12">
        <f t="shared" si="4"/>
        <v>4700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151</v>
      </c>
      <c r="X30" s="296"/>
    </row>
    <row r="31" spans="1:25" s="230" customFormat="1" ht="17.399999999999999" x14ac:dyDescent="0.35">
      <c r="B31" s="24" t="s">
        <v>147</v>
      </c>
      <c r="J31" s="261"/>
      <c r="K31" s="232"/>
      <c r="L31" s="249"/>
      <c r="M31" s="14">
        <v>1</v>
      </c>
      <c r="N31" s="249">
        <v>20000</v>
      </c>
      <c r="O31" s="12">
        <f t="shared" si="4"/>
        <v>20000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152</v>
      </c>
      <c r="X31" s="59"/>
    </row>
    <row r="32" spans="1:25" s="230" customFormat="1" ht="17.399999999999999" x14ac:dyDescent="0.35">
      <c r="B32" s="24" t="s">
        <v>161</v>
      </c>
      <c r="C32"/>
      <c r="D32"/>
      <c r="E32"/>
      <c r="F32"/>
      <c r="J32" s="261"/>
      <c r="K32" s="232"/>
      <c r="L32" s="249"/>
      <c r="M32" s="14"/>
      <c r="N32" s="249">
        <v>28500</v>
      </c>
      <c r="O32" s="12">
        <f t="shared" si="4"/>
        <v>0</v>
      </c>
      <c r="P32" s="14" t="s">
        <v>138</v>
      </c>
      <c r="Q32" s="17"/>
      <c r="S32" s="238"/>
      <c r="T32" s="255"/>
      <c r="U32" s="59"/>
      <c r="V32" s="59">
        <f>V30+V31</f>
        <v>1087.5</v>
      </c>
      <c r="W32" s="296" t="s">
        <v>153</v>
      </c>
      <c r="X32" s="59"/>
    </row>
    <row r="33" spans="2:24" s="230" customFormat="1" ht="17.399999999999999" x14ac:dyDescent="0.35"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481</v>
      </c>
      <c r="O33" s="12">
        <f t="shared" si="4"/>
        <v>0</v>
      </c>
      <c r="P33" s="14" t="s">
        <v>284</v>
      </c>
      <c r="Q33" s="14"/>
      <c r="R33" s="230">
        <v>3.05</v>
      </c>
      <c r="S33" s="238"/>
      <c r="T33" s="238"/>
    </row>
    <row r="34" spans="2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1.23</v>
      </c>
      <c r="S34"/>
      <c r="T34" s="238"/>
      <c r="X34" s="231"/>
    </row>
    <row r="35" spans="2:24" s="230" customFormat="1" ht="17.399999999999999" x14ac:dyDescent="0.35">
      <c r="K35" s="259"/>
      <c r="L35" s="249"/>
      <c r="M35" s="14"/>
      <c r="N35" s="12"/>
      <c r="O35" s="12">
        <f>SUM(O29:O34)</f>
        <v>26490.880000000001</v>
      </c>
      <c r="P35" s="39" t="s">
        <v>23</v>
      </c>
      <c r="Q35" s="14"/>
      <c r="R35">
        <f>R33*R34</f>
        <v>3.7514999999999996</v>
      </c>
      <c r="S35"/>
      <c r="T35" s="238"/>
      <c r="X35" s="231"/>
    </row>
    <row r="36" spans="2:24" s="230" customFormat="1" ht="17.399999999999999" x14ac:dyDescent="0.35">
      <c r="L36" s="249"/>
      <c r="M36" s="253" t="s">
        <v>33</v>
      </c>
      <c r="N36" s="12"/>
      <c r="O36" s="254">
        <f>O35*2.2</f>
        <v>58279.936000000009</v>
      </c>
      <c r="P36" s="14" t="s">
        <v>137</v>
      </c>
      <c r="Q36" s="14"/>
      <c r="R36" s="40">
        <f>P27/R35</f>
        <v>0.13639344262295086</v>
      </c>
      <c r="S36"/>
      <c r="T36" s="256"/>
    </row>
    <row r="37" spans="2:24" s="230" customFormat="1" ht="17.399999999999999" x14ac:dyDescent="0.35">
      <c r="G37"/>
      <c r="H37" s="259"/>
      <c r="I37" s="259"/>
      <c r="J37" s="259"/>
      <c r="K37" s="230">
        <v>46000</v>
      </c>
      <c r="L37" s="249"/>
      <c r="M37" s="14"/>
      <c r="N37" s="12"/>
      <c r="O37" s="12">
        <f>O36/P25</f>
        <v>136679.0243902439</v>
      </c>
      <c r="P37" s="45" t="s">
        <v>24</v>
      </c>
      <c r="Q37" s="14"/>
      <c r="R37" s="14"/>
      <c r="S37"/>
      <c r="T37" s="238"/>
      <c r="U37" s="59" t="s">
        <v>154</v>
      </c>
      <c r="V37" s="291">
        <v>43650</v>
      </c>
    </row>
    <row r="38" spans="2:24" s="230" customFormat="1" ht="17.399999999999999" x14ac:dyDescent="0.35">
      <c r="G38"/>
      <c r="K38" s="230">
        <f>K37/1.19</f>
        <v>38655.462184873948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156</v>
      </c>
      <c r="V38" s="292" t="s">
        <v>155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157</v>
      </c>
      <c r="V39" s="293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152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49"/>
    </row>
    <row r="43" spans="2:24" x14ac:dyDescent="0.3">
      <c r="L43" s="249"/>
      <c r="T43" s="269"/>
    </row>
    <row r="44" spans="2:24" x14ac:dyDescent="0.3">
      <c r="L44" s="249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144</v>
      </c>
    </row>
    <row r="73" spans="3:3" x14ac:dyDescent="0.3">
      <c r="C73" t="s">
        <v>143</v>
      </c>
    </row>
    <row r="76" spans="3:3" x14ac:dyDescent="0.3">
      <c r="C76" t="s">
        <v>143</v>
      </c>
    </row>
    <row r="153" spans="3:3" x14ac:dyDescent="0.3">
      <c r="C153" t="s">
        <v>143</v>
      </c>
    </row>
    <row r="154" spans="3:3" x14ac:dyDescent="0.3">
      <c r="C154" t="s">
        <v>145</v>
      </c>
    </row>
    <row r="155" spans="3:3" x14ac:dyDescent="0.3">
      <c r="C155" t="s">
        <v>146</v>
      </c>
    </row>
    <row r="580" spans="3:3" x14ac:dyDescent="0.3">
      <c r="C580" t="s">
        <v>143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46008</v>
      </c>
    </row>
    <row r="6" spans="2:31" ht="16.2" thickBot="1" x14ac:dyDescent="0.35">
      <c r="B6" s="140" t="s">
        <v>2</v>
      </c>
      <c r="C6" s="139" t="str">
        <f>'2229'!C10</f>
        <v>PATRICIO MAUREIRA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6" t="s">
        <v>98</v>
      </c>
      <c r="I7" s="437"/>
      <c r="J7" s="437"/>
      <c r="K7" s="438"/>
      <c r="N7" s="75"/>
      <c r="O7" s="43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5609.377633212559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59279.936000000002</v>
      </c>
      <c r="E11" s="132">
        <f>D11*0.19</f>
        <v>11263.187840000001</v>
      </c>
      <c r="F11" s="131">
        <f>E11+D11</f>
        <v>70543.12384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111599.37763321256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56324.970787439612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93599.377633212556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2954.9652125603898</v>
      </c>
      <c r="E13" s="221">
        <f>(D11/D12)-1</f>
        <v>5.2462791746699766E-2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84599.377633212556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45599.377633212556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92936.201799275354</v>
      </c>
      <c r="F15" s="216">
        <f>E15-D12</f>
        <v>36611.231011835742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45599.377633212556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85599.377633212556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20000</v>
      </c>
      <c r="E18" s="123">
        <f>D18*0.19</f>
        <v>3800</v>
      </c>
      <c r="F18" s="120">
        <f>SUM(D18:E18)</f>
        <v>23800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4700</v>
      </c>
      <c r="E19" s="123">
        <f>D19*0.19</f>
        <v>893</v>
      </c>
      <c r="F19" s="120">
        <f>SUM(D19:E19)</f>
        <v>5593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1790.8800000000006</v>
      </c>
      <c r="E20" s="121">
        <f>D20*0.19</f>
        <v>340.26720000000012</v>
      </c>
      <c r="F20" s="120">
        <f>SUM(D20:E20)</f>
        <v>2131.1472000000008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26490.880000000001</v>
      </c>
      <c r="E21" s="116">
        <f>SUM(E18:E20)</f>
        <v>5033.2672000000002</v>
      </c>
      <c r="F21" s="115">
        <f>SUM(F18:F20)</f>
        <v>31524.147199999999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6229.9206400000003</v>
      </c>
    </row>
    <row r="41" spans="2:16" ht="15" thickBot="1" x14ac:dyDescent="0.35">
      <c r="H41" s="439" t="s">
        <v>60</v>
      </c>
      <c r="I41" s="440"/>
      <c r="J41" s="440"/>
      <c r="K41" s="440"/>
      <c r="L41" s="440"/>
      <c r="M41" s="44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59279.936000000002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26490.880000000001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2954.9652125603898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2954.9652125603898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9" workbookViewId="0">
      <selection activeCell="K21" sqref="K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11806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PATRICIO MAUREIRA</v>
      </c>
      <c r="D10" s="350"/>
      <c r="E10" s="350"/>
      <c r="F10" s="351" t="s">
        <v>166</v>
      </c>
      <c r="G10" s="352">
        <f>'2229'!G10</f>
        <v>46008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46015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178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292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+569 6347 2429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2" t="s">
        <v>173</v>
      </c>
      <c r="G17" s="442"/>
      <c r="H17" s="443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4" t="s">
        <v>174</v>
      </c>
      <c r="C20" s="445"/>
      <c r="D20" s="445"/>
      <c r="E20" s="445"/>
      <c r="F20" s="445"/>
      <c r="G20" s="445"/>
      <c r="H20" s="446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MESA 2L</v>
      </c>
      <c r="D22" s="321">
        <f>'2229'!D21*1000</f>
        <v>800</v>
      </c>
      <c r="E22" s="321">
        <f>'2229'!E21*1000</f>
        <v>500</v>
      </c>
      <c r="F22" s="322" t="str">
        <f>'2229'!F21</f>
        <v>NEW BLACK GRANITE</v>
      </c>
      <c r="G22" s="314">
        <f>'2229'!G21</f>
        <v>59279.936000000002</v>
      </c>
      <c r="H22" s="323">
        <f>G22*B22</f>
        <v>59279.936000000002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59279.936000000002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11263.187840000001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70543.12384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workbookViewId="0">
      <selection activeCell="D20" sqref="D20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7" t="s">
        <v>179</v>
      </c>
      <c r="C2" s="447"/>
      <c r="D2" s="447"/>
      <c r="E2" s="361"/>
      <c r="G2" s="447" t="s">
        <v>180</v>
      </c>
      <c r="H2" s="447"/>
      <c r="I2" s="447"/>
      <c r="P2" s="448" t="s">
        <v>181</v>
      </c>
      <c r="Q2" s="448"/>
      <c r="R2" s="448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182</v>
      </c>
      <c r="E4" s="246" t="s">
        <v>183</v>
      </c>
      <c r="G4" s="362">
        <v>50</v>
      </c>
      <c r="H4" s="362">
        <v>100</v>
      </c>
      <c r="I4" s="367" t="s">
        <v>182</v>
      </c>
      <c r="J4" s="54" t="s">
        <v>184</v>
      </c>
      <c r="K4" s="54"/>
      <c r="L4" s="54"/>
      <c r="M4" s="54"/>
      <c r="P4">
        <v>50</v>
      </c>
      <c r="Q4">
        <v>-30</v>
      </c>
      <c r="R4" t="s">
        <v>185</v>
      </c>
    </row>
    <row r="5" spans="2:18" x14ac:dyDescent="0.3">
      <c r="B5" s="365">
        <v>40</v>
      </c>
      <c r="C5" s="365">
        <v>90</v>
      </c>
      <c r="D5" s="366" t="s">
        <v>186</v>
      </c>
      <c r="E5" s="246" t="s">
        <v>187</v>
      </c>
      <c r="G5" s="362">
        <v>50</v>
      </c>
      <c r="H5" s="362"/>
      <c r="I5" s="367" t="s">
        <v>188</v>
      </c>
      <c r="J5" s="54" t="s">
        <v>189</v>
      </c>
      <c r="K5" s="54"/>
      <c r="L5" s="54"/>
      <c r="M5" s="54"/>
      <c r="P5">
        <v>50</v>
      </c>
      <c r="Q5">
        <v>-30</v>
      </c>
      <c r="R5" t="s">
        <v>185</v>
      </c>
    </row>
    <row r="6" spans="2:18" x14ac:dyDescent="0.3">
      <c r="B6" s="365">
        <v>40</v>
      </c>
      <c r="C6" s="365">
        <v>100</v>
      </c>
      <c r="D6" s="366" t="s">
        <v>190</v>
      </c>
      <c r="E6" s="246" t="s">
        <v>191</v>
      </c>
      <c r="G6" s="365">
        <v>50</v>
      </c>
      <c r="H6" s="365">
        <v>100</v>
      </c>
      <c r="I6" s="366" t="s">
        <v>190</v>
      </c>
      <c r="P6">
        <v>50</v>
      </c>
      <c r="Q6">
        <v>-30</v>
      </c>
      <c r="R6" t="s">
        <v>192</v>
      </c>
    </row>
    <row r="7" spans="2:18" x14ac:dyDescent="0.3">
      <c r="B7" s="365">
        <v>40</v>
      </c>
      <c r="C7" s="365">
        <v>150</v>
      </c>
      <c r="D7" s="366" t="s">
        <v>193</v>
      </c>
      <c r="E7" s="246" t="s">
        <v>194</v>
      </c>
      <c r="G7" s="365">
        <v>50</v>
      </c>
      <c r="H7" s="365"/>
      <c r="I7" s="366" t="s">
        <v>193</v>
      </c>
      <c r="P7">
        <v>50</v>
      </c>
      <c r="Q7">
        <v>-30</v>
      </c>
      <c r="R7" t="s">
        <v>195</v>
      </c>
    </row>
    <row r="8" spans="2:18" x14ac:dyDescent="0.3">
      <c r="B8" s="365">
        <v>40</v>
      </c>
      <c r="C8" s="365">
        <v>100</v>
      </c>
      <c r="D8" s="366" t="s">
        <v>196</v>
      </c>
      <c r="E8" s="246" t="s">
        <v>197</v>
      </c>
      <c r="G8" s="365">
        <v>50</v>
      </c>
      <c r="H8" s="365">
        <v>100</v>
      </c>
      <c r="I8" s="366" t="s">
        <v>196</v>
      </c>
      <c r="L8" s="448" t="s">
        <v>181</v>
      </c>
      <c r="M8" s="448"/>
      <c r="N8" s="448"/>
      <c r="P8">
        <v>50</v>
      </c>
      <c r="Q8">
        <v>-30</v>
      </c>
      <c r="R8" t="s">
        <v>198</v>
      </c>
    </row>
    <row r="9" spans="2:18" x14ac:dyDescent="0.3">
      <c r="B9" s="365">
        <v>40</v>
      </c>
      <c r="C9" s="365">
        <v>50</v>
      </c>
      <c r="D9" s="366" t="s">
        <v>199</v>
      </c>
      <c r="E9" s="246" t="s">
        <v>200</v>
      </c>
      <c r="G9" s="365">
        <v>50</v>
      </c>
      <c r="H9" s="365">
        <v>100</v>
      </c>
      <c r="I9" s="366" t="s">
        <v>201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202</v>
      </c>
    </row>
    <row r="10" spans="2:18" x14ac:dyDescent="0.3">
      <c r="B10" s="365">
        <v>40</v>
      </c>
      <c r="C10" s="365">
        <v>80</v>
      </c>
      <c r="D10" s="366" t="s">
        <v>203</v>
      </c>
      <c r="E10" s="246" t="s">
        <v>204</v>
      </c>
      <c r="G10" s="365">
        <v>50</v>
      </c>
      <c r="H10" s="365"/>
      <c r="I10" s="366" t="s">
        <v>205</v>
      </c>
      <c r="L10" s="365">
        <v>50</v>
      </c>
      <c r="M10" s="365">
        <v>-30</v>
      </c>
      <c r="N10" s="366" t="s">
        <v>185</v>
      </c>
      <c r="P10">
        <v>50</v>
      </c>
      <c r="Q10">
        <v>0</v>
      </c>
      <c r="R10" t="s">
        <v>206</v>
      </c>
    </row>
    <row r="11" spans="2:18" x14ac:dyDescent="0.3">
      <c r="B11" s="365">
        <v>40</v>
      </c>
      <c r="C11" s="365">
        <v>60</v>
      </c>
      <c r="D11" s="366" t="s">
        <v>207</v>
      </c>
      <c r="E11" s="246" t="s">
        <v>208</v>
      </c>
      <c r="G11" s="365">
        <v>50</v>
      </c>
      <c r="H11" s="365">
        <v>100</v>
      </c>
      <c r="I11" s="366" t="s">
        <v>199</v>
      </c>
      <c r="L11" s="365">
        <v>50</v>
      </c>
      <c r="M11" s="365">
        <v>0</v>
      </c>
      <c r="N11" s="366" t="s">
        <v>209</v>
      </c>
      <c r="P11">
        <v>50</v>
      </c>
      <c r="Q11">
        <v>0</v>
      </c>
      <c r="R11" t="s">
        <v>210</v>
      </c>
    </row>
    <row r="12" spans="2:18" x14ac:dyDescent="0.3">
      <c r="B12" s="365">
        <v>40</v>
      </c>
      <c r="C12" s="365">
        <v>100</v>
      </c>
      <c r="D12" s="366" t="s">
        <v>211</v>
      </c>
      <c r="E12" s="246" t="s">
        <v>212</v>
      </c>
      <c r="G12" s="365">
        <v>50</v>
      </c>
      <c r="H12" s="365"/>
      <c r="I12" s="366" t="s">
        <v>203</v>
      </c>
      <c r="L12" s="365">
        <v>50</v>
      </c>
      <c r="M12" s="365">
        <v>-2</v>
      </c>
      <c r="N12" s="366" t="s">
        <v>213</v>
      </c>
      <c r="P12">
        <v>50</v>
      </c>
      <c r="Q12">
        <v>0</v>
      </c>
      <c r="R12" t="s">
        <v>214</v>
      </c>
    </row>
    <row r="13" spans="2:18" x14ac:dyDescent="0.3">
      <c r="B13" s="365">
        <v>40</v>
      </c>
      <c r="C13" s="365">
        <v>130</v>
      </c>
      <c r="D13" s="366" t="s">
        <v>215</v>
      </c>
      <c r="E13" s="246" t="s">
        <v>216</v>
      </c>
      <c r="G13" s="365">
        <v>50</v>
      </c>
      <c r="H13" s="365">
        <v>-30</v>
      </c>
      <c r="I13" s="366" t="s">
        <v>185</v>
      </c>
      <c r="P13">
        <v>50</v>
      </c>
      <c r="Q13">
        <v>0</v>
      </c>
      <c r="R13" t="s">
        <v>217</v>
      </c>
    </row>
    <row r="14" spans="2:18" x14ac:dyDescent="0.3">
      <c r="B14" s="365">
        <v>40</v>
      </c>
      <c r="C14" s="365">
        <v>150</v>
      </c>
      <c r="D14" s="366" t="s">
        <v>192</v>
      </c>
      <c r="E14" s="246"/>
      <c r="G14" s="365">
        <v>50</v>
      </c>
      <c r="H14" s="365">
        <v>-30</v>
      </c>
      <c r="I14" s="366" t="s">
        <v>192</v>
      </c>
    </row>
    <row r="15" spans="2:18" x14ac:dyDescent="0.3">
      <c r="B15" s="365">
        <v>40</v>
      </c>
      <c r="C15" s="365">
        <v>150</v>
      </c>
      <c r="D15" s="366" t="s">
        <v>218</v>
      </c>
      <c r="E15" s="246" t="s">
        <v>219</v>
      </c>
      <c r="G15" s="365">
        <v>50</v>
      </c>
      <c r="H15" s="365">
        <v>-30</v>
      </c>
      <c r="I15" s="366" t="s">
        <v>195</v>
      </c>
      <c r="P15">
        <v>50</v>
      </c>
      <c r="Q15">
        <v>0</v>
      </c>
      <c r="R15" t="s">
        <v>220</v>
      </c>
    </row>
    <row r="16" spans="2:18" x14ac:dyDescent="0.3">
      <c r="B16" s="365">
        <v>40</v>
      </c>
      <c r="C16" s="365">
        <v>130</v>
      </c>
      <c r="D16" s="366" t="s">
        <v>221</v>
      </c>
      <c r="E16" s="246" t="s">
        <v>222</v>
      </c>
      <c r="G16" s="365">
        <v>50</v>
      </c>
      <c r="H16" s="365">
        <v>-30</v>
      </c>
      <c r="I16" s="366" t="s">
        <v>223</v>
      </c>
      <c r="P16">
        <v>50</v>
      </c>
      <c r="Q16">
        <v>0</v>
      </c>
      <c r="R16" t="s">
        <v>224</v>
      </c>
    </row>
    <row r="17" spans="2:18" x14ac:dyDescent="0.3">
      <c r="B17" s="365">
        <v>40</v>
      </c>
      <c r="C17" s="365">
        <v>150</v>
      </c>
      <c r="D17" s="366" t="s">
        <v>210</v>
      </c>
      <c r="E17" s="246" t="s">
        <v>225</v>
      </c>
      <c r="G17" s="365">
        <v>50</v>
      </c>
      <c r="H17" s="365"/>
      <c r="I17" s="366" t="s">
        <v>210</v>
      </c>
      <c r="P17">
        <v>50</v>
      </c>
      <c r="Q17">
        <v>0</v>
      </c>
      <c r="R17" t="s">
        <v>226</v>
      </c>
    </row>
    <row r="18" spans="2:18" x14ac:dyDescent="0.3">
      <c r="B18" s="365">
        <v>140</v>
      </c>
      <c r="C18" s="365">
        <v>150</v>
      </c>
      <c r="D18" s="366" t="s">
        <v>214</v>
      </c>
      <c r="E18" s="246" t="s">
        <v>227</v>
      </c>
      <c r="G18" s="365">
        <v>50</v>
      </c>
      <c r="H18" s="365"/>
      <c r="I18" s="366" t="s">
        <v>214</v>
      </c>
      <c r="P18">
        <v>50</v>
      </c>
      <c r="Q18">
        <v>0</v>
      </c>
      <c r="R18" t="s">
        <v>228</v>
      </c>
    </row>
    <row r="19" spans="2:18" x14ac:dyDescent="0.3">
      <c r="B19" s="365">
        <v>150</v>
      </c>
      <c r="C19" s="365">
        <v>150</v>
      </c>
      <c r="D19" s="366" t="s">
        <v>217</v>
      </c>
      <c r="E19" s="246" t="s">
        <v>229</v>
      </c>
      <c r="G19" s="365">
        <v>50</v>
      </c>
      <c r="H19" s="365"/>
      <c r="I19" s="366" t="s">
        <v>217</v>
      </c>
      <c r="P19">
        <v>50</v>
      </c>
      <c r="Q19">
        <v>0</v>
      </c>
      <c r="R19" t="s">
        <v>230</v>
      </c>
    </row>
    <row r="20" spans="2:18" x14ac:dyDescent="0.3">
      <c r="B20" s="365">
        <v>40</v>
      </c>
      <c r="C20" s="365">
        <v>100</v>
      </c>
      <c r="D20" s="366" t="s">
        <v>231</v>
      </c>
      <c r="E20" s="246" t="s">
        <v>232</v>
      </c>
      <c r="G20" s="365">
        <v>50</v>
      </c>
      <c r="H20" s="365">
        <v>0</v>
      </c>
      <c r="I20" s="366" t="s">
        <v>231</v>
      </c>
      <c r="J20" s="54" t="s">
        <v>233</v>
      </c>
      <c r="K20" s="54"/>
      <c r="L20" s="54"/>
      <c r="M20" s="54"/>
      <c r="P20">
        <v>50</v>
      </c>
      <c r="Q20">
        <v>0</v>
      </c>
      <c r="R20" t="s">
        <v>234</v>
      </c>
    </row>
    <row r="21" spans="2:18" x14ac:dyDescent="0.3">
      <c r="B21" s="365">
        <v>100</v>
      </c>
      <c r="C21" s="365">
        <v>100</v>
      </c>
      <c r="D21" s="366" t="s">
        <v>235</v>
      </c>
      <c r="E21" s="246" t="s">
        <v>236</v>
      </c>
      <c r="G21" s="365">
        <v>50</v>
      </c>
      <c r="H21" s="365">
        <v>0</v>
      </c>
      <c r="I21" s="366" t="s">
        <v>235</v>
      </c>
      <c r="P21">
        <v>50</v>
      </c>
      <c r="Q21">
        <v>0</v>
      </c>
      <c r="R21" t="s">
        <v>237</v>
      </c>
    </row>
    <row r="22" spans="2:18" x14ac:dyDescent="0.3">
      <c r="B22" s="365">
        <v>100</v>
      </c>
      <c r="C22" s="365">
        <v>100</v>
      </c>
      <c r="D22" s="366" t="s">
        <v>220</v>
      </c>
      <c r="E22" s="246" t="s">
        <v>238</v>
      </c>
      <c r="G22" s="362"/>
      <c r="H22" s="362"/>
      <c r="I22" s="367" t="s">
        <v>220</v>
      </c>
      <c r="P22">
        <v>50</v>
      </c>
      <c r="Q22">
        <v>0</v>
      </c>
      <c r="R22" t="s">
        <v>239</v>
      </c>
    </row>
    <row r="23" spans="2:18" x14ac:dyDescent="0.3">
      <c r="B23" s="365">
        <v>40</v>
      </c>
      <c r="C23" s="365">
        <v>150</v>
      </c>
      <c r="D23" s="366" t="s">
        <v>224</v>
      </c>
      <c r="E23" s="246" t="s">
        <v>240</v>
      </c>
      <c r="G23" s="365">
        <v>50</v>
      </c>
      <c r="H23" s="365"/>
      <c r="I23" s="366" t="s">
        <v>224</v>
      </c>
      <c r="R23" t="s">
        <v>241</v>
      </c>
    </row>
    <row r="24" spans="2:18" x14ac:dyDescent="0.3">
      <c r="B24" s="365">
        <v>140</v>
      </c>
      <c r="C24" s="365">
        <v>150</v>
      </c>
      <c r="D24" s="366" t="s">
        <v>226</v>
      </c>
      <c r="E24" s="246" t="s">
        <v>242</v>
      </c>
      <c r="G24" s="365">
        <v>50</v>
      </c>
      <c r="H24" s="365"/>
      <c r="I24" s="366" t="s">
        <v>226</v>
      </c>
      <c r="R24" t="s">
        <v>243</v>
      </c>
    </row>
    <row r="25" spans="2:18" x14ac:dyDescent="0.3">
      <c r="B25" s="365">
        <v>150</v>
      </c>
      <c r="C25" s="365">
        <v>150</v>
      </c>
      <c r="D25" s="366" t="s">
        <v>228</v>
      </c>
      <c r="E25" s="246" t="s">
        <v>244</v>
      </c>
      <c r="G25" s="365">
        <v>50</v>
      </c>
      <c r="H25" s="365"/>
      <c r="I25" s="366" t="s">
        <v>228</v>
      </c>
      <c r="R25" t="s">
        <v>190</v>
      </c>
    </row>
    <row r="26" spans="2:18" x14ac:dyDescent="0.3">
      <c r="B26" s="365">
        <v>40</v>
      </c>
      <c r="C26" s="365">
        <v>77</v>
      </c>
      <c r="D26" s="366" t="s">
        <v>230</v>
      </c>
      <c r="E26" s="246" t="s">
        <v>245</v>
      </c>
      <c r="G26" s="365">
        <v>50</v>
      </c>
      <c r="H26" s="365"/>
      <c r="I26" s="366" t="s">
        <v>230</v>
      </c>
      <c r="R26" t="s">
        <v>193</v>
      </c>
    </row>
    <row r="27" spans="2:18" x14ac:dyDescent="0.3">
      <c r="B27" s="365">
        <v>110</v>
      </c>
      <c r="C27" s="365">
        <v>77</v>
      </c>
      <c r="D27" s="366" t="s">
        <v>234</v>
      </c>
      <c r="E27" s="246" t="s">
        <v>246</v>
      </c>
      <c r="G27" s="365">
        <v>50</v>
      </c>
      <c r="H27" s="365"/>
      <c r="I27" s="366" t="s">
        <v>234</v>
      </c>
      <c r="R27" t="s">
        <v>196</v>
      </c>
    </row>
    <row r="28" spans="2:18" x14ac:dyDescent="0.3">
      <c r="B28" s="365">
        <v>120</v>
      </c>
      <c r="C28" s="365">
        <v>77</v>
      </c>
      <c r="D28" s="366" t="s">
        <v>237</v>
      </c>
      <c r="E28" s="246" t="s">
        <v>247</v>
      </c>
      <c r="G28" s="365">
        <v>50</v>
      </c>
      <c r="H28" s="365"/>
      <c r="I28" s="366" t="s">
        <v>237</v>
      </c>
      <c r="R28" t="s">
        <v>201</v>
      </c>
    </row>
    <row r="29" spans="2:18" x14ac:dyDescent="0.3">
      <c r="B29" s="365">
        <v>40</v>
      </c>
      <c r="C29" s="365">
        <v>50</v>
      </c>
      <c r="D29" s="366" t="s">
        <v>239</v>
      </c>
      <c r="E29" s="246" t="s">
        <v>248</v>
      </c>
      <c r="G29" s="365">
        <v>50</v>
      </c>
      <c r="H29" s="365"/>
      <c r="I29" s="366" t="s">
        <v>239</v>
      </c>
      <c r="R29" t="s">
        <v>205</v>
      </c>
    </row>
    <row r="30" spans="2:18" x14ac:dyDescent="0.3">
      <c r="B30" s="365">
        <v>40</v>
      </c>
      <c r="C30" s="365">
        <v>60</v>
      </c>
      <c r="D30" s="366" t="s">
        <v>249</v>
      </c>
      <c r="E30" s="246" t="s">
        <v>250</v>
      </c>
      <c r="G30" s="365">
        <v>50</v>
      </c>
      <c r="H30" s="365"/>
      <c r="I30" s="366" t="s">
        <v>206</v>
      </c>
      <c r="R30" t="s">
        <v>199</v>
      </c>
    </row>
    <row r="31" spans="2:18" x14ac:dyDescent="0.3">
      <c r="B31" s="365">
        <v>40</v>
      </c>
      <c r="C31" s="365">
        <v>100</v>
      </c>
      <c r="D31" s="366" t="s">
        <v>202</v>
      </c>
      <c r="E31" s="246" t="s">
        <v>251</v>
      </c>
      <c r="G31" s="365">
        <v>50</v>
      </c>
      <c r="H31" s="365"/>
      <c r="I31" s="366" t="s">
        <v>202</v>
      </c>
      <c r="R31" t="s">
        <v>203</v>
      </c>
    </row>
    <row r="32" spans="2:18" x14ac:dyDescent="0.3">
      <c r="B32" s="365">
        <v>40</v>
      </c>
      <c r="C32" s="365">
        <v>60</v>
      </c>
      <c r="D32" s="366" t="s">
        <v>252</v>
      </c>
      <c r="E32" s="246" t="s">
        <v>253</v>
      </c>
      <c r="G32" s="365">
        <v>50</v>
      </c>
      <c r="H32" s="365"/>
      <c r="I32" s="366" t="s">
        <v>252</v>
      </c>
      <c r="R32" t="s">
        <v>254</v>
      </c>
    </row>
    <row r="33" spans="2:18" x14ac:dyDescent="0.3">
      <c r="B33" s="365">
        <v>40</v>
      </c>
      <c r="C33" s="365">
        <v>90</v>
      </c>
      <c r="D33" s="366" t="s">
        <v>255</v>
      </c>
      <c r="E33" s="246" t="s">
        <v>256</v>
      </c>
      <c r="G33" s="365">
        <v>50</v>
      </c>
      <c r="H33" s="365">
        <v>-2</v>
      </c>
      <c r="I33" s="366" t="s">
        <v>255</v>
      </c>
      <c r="R33" t="s">
        <v>257</v>
      </c>
    </row>
    <row r="34" spans="2:18" x14ac:dyDescent="0.3">
      <c r="B34" s="365">
        <v>40</v>
      </c>
      <c r="C34" s="365">
        <v>90</v>
      </c>
      <c r="D34" s="366" t="s">
        <v>258</v>
      </c>
      <c r="E34" s="246"/>
      <c r="G34" s="365">
        <v>50</v>
      </c>
      <c r="H34" s="365">
        <v>-2</v>
      </c>
      <c r="I34" s="366" t="s">
        <v>258</v>
      </c>
    </row>
    <row r="35" spans="2:18" x14ac:dyDescent="0.3">
      <c r="B35" s="365">
        <v>40</v>
      </c>
      <c r="C35" s="365">
        <v>90</v>
      </c>
      <c r="D35" s="366" t="s">
        <v>254</v>
      </c>
      <c r="E35" s="246" t="s">
        <v>259</v>
      </c>
      <c r="G35" s="365">
        <v>50</v>
      </c>
      <c r="H35" s="365">
        <v>-2</v>
      </c>
      <c r="I35" s="366" t="s">
        <v>254</v>
      </c>
      <c r="R35" t="s">
        <v>260</v>
      </c>
    </row>
    <row r="36" spans="2:18" x14ac:dyDescent="0.3">
      <c r="B36" s="368">
        <v>40</v>
      </c>
      <c r="C36" s="368">
        <v>90</v>
      </c>
      <c r="D36" s="369" t="s">
        <v>257</v>
      </c>
      <c r="G36" s="365">
        <v>50</v>
      </c>
      <c r="H36" s="365">
        <v>-2</v>
      </c>
      <c r="I36" s="366" t="s">
        <v>257</v>
      </c>
      <c r="R36" t="s">
        <v>255</v>
      </c>
    </row>
    <row r="37" spans="2:18" x14ac:dyDescent="0.3">
      <c r="B37" s="368">
        <v>40</v>
      </c>
      <c r="C37" s="368">
        <v>90</v>
      </c>
      <c r="D37" s="369" t="s">
        <v>260</v>
      </c>
      <c r="G37" s="365">
        <v>50</v>
      </c>
      <c r="H37" s="365">
        <v>-2</v>
      </c>
      <c r="I37" s="366" t="s">
        <v>260</v>
      </c>
      <c r="R37" t="s">
        <v>258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sheetPr>
    <pageSetUpPr fitToPage="1"/>
  </sheetPr>
  <dimension ref="A1:N65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261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3" t="s">
        <v>262</v>
      </c>
      <c r="L3" s="453"/>
      <c r="M3" s="453" t="s">
        <v>263</v>
      </c>
      <c r="N3" s="453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264</v>
      </c>
      <c r="D5" s="372" t="str">
        <f>'NOTA DE VENTA'!$C$10</f>
        <v>PATRICIO MAUREIRA</v>
      </c>
      <c r="E5" s="320"/>
      <c r="F5" s="320"/>
      <c r="G5" s="138"/>
      <c r="K5">
        <f>LOOKUP(F14,REGLAS!$I$4:$I$37,REGLAS!$G$4:$G$37)+J14</f>
        <v>850</v>
      </c>
      <c r="L5">
        <f>LOOKUP(F14,REGLAS!$I$4:$I$37,REGLAS!$H$4:$H$37)+K14</f>
        <v>500</v>
      </c>
      <c r="M5" cm="1">
        <f t="array" ref="M5">INDEX(REGLAS!$B$4:$B$37,
MATCH(TRIM(CLEAN(F21)),
TRIM(CLEAN(REGLAS!$D$4:$D$37)),0))+J21</f>
        <v>840</v>
      </c>
      <c r="N5" cm="1">
        <f t="array" ref="N5">INDEX(REGLAS!$C$4:$C$37,
MATCH(TRIM(CLEAN(F14)),
TRIM(CLEAN(REGLAS!$D$4:$D$37)),0))+K21</f>
        <v>600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4">
        <f>'NOTA DE VENTA'!$G$10</f>
        <v>46008</v>
      </c>
      <c r="E7" s="138"/>
      <c r="F7" s="138"/>
      <c r="G7" s="138"/>
    </row>
    <row r="8" spans="1:14" ht="15.6" x14ac:dyDescent="0.3">
      <c r="A8" s="138"/>
      <c r="B8" s="138"/>
      <c r="C8" s="370" t="s">
        <v>265</v>
      </c>
      <c r="D8" s="403">
        <f>'NOTA DE VENTA'!$G$11</f>
        <v>46015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4" t="s">
        <v>262</v>
      </c>
      <c r="B10" s="454"/>
      <c r="C10" s="454"/>
      <c r="D10" s="454"/>
      <c r="E10" s="454"/>
      <c r="F10" s="454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f>LOOKUP(F14,REGLAS!$I$4:$I$37,REGLAS!$G$4:$G$37)</f>
        <v>50</v>
      </c>
      <c r="E13" s="378">
        <f>LOOKUP(F14,REGLAS!$I$4:$I$37,REGLAS!$H$4:$H$37)</f>
        <v>0</v>
      </c>
      <c r="F13" s="377" t="s">
        <v>266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850</v>
      </c>
      <c r="E14" s="382">
        <f>LOOKUP(F14,REGLAS!$I$4:$I$37,REGLAS!$H$4:$H$37)+K14</f>
        <v>500</v>
      </c>
      <c r="F14" s="383" t="str">
        <f>C27</f>
        <v>CUB MESA 2L</v>
      </c>
      <c r="G14" s="138"/>
      <c r="I14" s="384">
        <f>I21</f>
        <v>1</v>
      </c>
      <c r="J14" s="150">
        <f t="shared" ref="J14:K14" si="1">D27</f>
        <v>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4" t="s">
        <v>263</v>
      </c>
      <c r="B17" s="454"/>
      <c r="C17" s="454"/>
      <c r="D17" s="454"/>
      <c r="E17" s="454"/>
      <c r="F17" s="454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 cm="1">
        <f t="array" ref="D20">INDEX(REGLAS!$B$4:$B$37,
MATCH(TRIM(CLEAN(F21)),
TRIM(CLEAN(REGLAS!$D$4:$D$37)),0))</f>
        <v>40</v>
      </c>
      <c r="E20" s="388" cm="1">
        <f t="array" ref="E20">INDEX(REGLAS!$C$4:$C$37,
MATCH(TRIM(CLEAN(F14)),
TRIM(CLEAN(REGLAS!$D$4:$D$37)),0))</f>
        <v>100</v>
      </c>
      <c r="F20" s="387" t="s">
        <v>266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267</v>
      </c>
      <c r="B21" s="389">
        <f t="shared" ref="B21" si="2">I21</f>
        <v>1</v>
      </c>
      <c r="C21" s="389"/>
      <c r="D21" s="389" cm="1">
        <f t="array" ref="D21">INDEX(REGLAS!$B$4:$B$37,
MATCH(TRIM(CLEAN(F21)),
TRIM(CLEAN(REGLAS!$D$4:$D$37)),0))+J21</f>
        <v>840</v>
      </c>
      <c r="E21" s="389" cm="1">
        <f t="array" ref="E21">INDEX(REGLAS!$C$4:$C$37,
MATCH(TRIM(CLEAN(F14)),
TRIM(CLEAN(REGLAS!$D$4:$D$37)),0))+K21</f>
        <v>600</v>
      </c>
      <c r="F21" s="390" t="str">
        <f>C27</f>
        <v>CUB MESA 2L</v>
      </c>
      <c r="G21" s="138"/>
      <c r="I21" s="384">
        <f>B27</f>
        <v>1</v>
      </c>
      <c r="J21" s="150">
        <f>D27</f>
        <v>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268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266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 t="shared" ref="B27:C27" si="3">B49</f>
        <v>1</v>
      </c>
      <c r="C27" s="381" t="str">
        <f t="shared" si="3"/>
        <v>CUB MESA 2L</v>
      </c>
      <c r="D27" s="381">
        <f>D49</f>
        <v>800</v>
      </c>
      <c r="E27" s="381">
        <f>E49</f>
        <v>500</v>
      </c>
      <c r="F27" s="381" t="str">
        <f>F49</f>
        <v>NEW BLACK GRANITE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'NOTA DE VENTA'!G8</f>
        <v>0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264</v>
      </c>
      <c r="D40" s="372" t="str">
        <f>'NOTA DE VENTA'!C10</f>
        <v>PATRICIO MAUREIRA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'NOTA DE VENTA'!G11</f>
        <v>46015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4" t="s">
        <v>269</v>
      </c>
      <c r="B45" s="454"/>
      <c r="C45" s="454"/>
      <c r="D45" s="454"/>
      <c r="E45" s="454"/>
      <c r="F45" s="454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9" t="s">
        <v>95</v>
      </c>
      <c r="C47" s="450"/>
      <c r="D47" s="451"/>
      <c r="E47" s="451"/>
      <c r="F47" s="452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270</v>
      </c>
      <c r="G48" s="138"/>
    </row>
    <row r="49" spans="1:7" s="59" customFormat="1" ht="15" customHeight="1" x14ac:dyDescent="0.3">
      <c r="A49" s="380" t="s">
        <v>271</v>
      </c>
      <c r="B49" s="400">
        <f>'NOTA DE VENTA'!B22</f>
        <v>1</v>
      </c>
      <c r="C49" s="400" t="str">
        <f>'NOTA DE VENTA'!C22</f>
        <v>CUB MESA 2L</v>
      </c>
      <c r="D49" s="400">
        <f>'NOTA DE VENTA'!D22</f>
        <v>800</v>
      </c>
      <c r="E49" s="400">
        <f>'NOTA DE VENTA'!E22</f>
        <v>500</v>
      </c>
      <c r="F49" s="400" t="str">
        <f>'NOTA DE VENTA'!F22</f>
        <v>NEW BLACK GRANITE</v>
      </c>
      <c r="G49" s="138"/>
    </row>
    <row r="50" spans="1:7" s="59" customFormat="1" ht="15" customHeight="1" x14ac:dyDescent="0.3">
      <c r="A50" s="391"/>
      <c r="B50" s="333"/>
      <c r="C50" s="401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2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  <row r="65" customFormat="1" x14ac:dyDescent="0.3"/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scale="38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4"/>
  </cols>
  <sheetData>
    <row r="1" spans="1:13" x14ac:dyDescent="0.3">
      <c r="A1" s="411" t="s">
        <v>272</v>
      </c>
      <c r="B1" s="412" t="s">
        <v>273</v>
      </c>
      <c r="C1" s="411" t="s">
        <v>274</v>
      </c>
      <c r="D1" s="411" t="s">
        <v>275</v>
      </c>
      <c r="E1" s="411" t="s">
        <v>276</v>
      </c>
      <c r="F1" s="411" t="s">
        <v>95</v>
      </c>
      <c r="G1" s="411" t="s">
        <v>8</v>
      </c>
      <c r="H1" s="413" t="s">
        <v>28</v>
      </c>
      <c r="I1" s="413" t="s">
        <v>51</v>
      </c>
      <c r="J1" s="413" t="s">
        <v>6</v>
      </c>
      <c r="K1" s="413" t="s">
        <v>277</v>
      </c>
      <c r="L1" s="413" t="s">
        <v>278</v>
      </c>
      <c r="M1" s="411" t="s">
        <v>279</v>
      </c>
    </row>
    <row r="2" spans="1:13" x14ac:dyDescent="0.3">
      <c r="A2">
        <f>'NOTA DE VENTA'!$G$8</f>
        <v>0</v>
      </c>
      <c r="B2" t="str">
        <f>'NOTA DE VENTA'!$D$8</f>
        <v>N° 11806</v>
      </c>
      <c r="C2" s="1">
        <f>'NOTA DE VENTA'!$G$10</f>
        <v>46008</v>
      </c>
      <c r="D2" s="1">
        <f>'NOTA DE VENTA'!$G$11</f>
        <v>46015</v>
      </c>
      <c r="E2" t="str">
        <f>'NOTA DE VENTA'!$C$10</f>
        <v>PATRICIO MAUREIRA</v>
      </c>
      <c r="F2" t="str">
        <f>'NOTA DE VENTA'!$C$22</f>
        <v>CUB MESA 2L</v>
      </c>
      <c r="G2" t="str">
        <f>'NOTA DE VENTA'!$F$22</f>
        <v>NEW BLACK GRANITE</v>
      </c>
      <c r="H2" s="414">
        <f>'NOTA DE VENTA'!$H$25</f>
        <v>59279.936000000002</v>
      </c>
      <c r="I2" s="414">
        <f>H2*0.19</f>
        <v>11263.187840000001</v>
      </c>
      <c r="J2" s="414">
        <f>I2+H2</f>
        <v>70543.12384</v>
      </c>
      <c r="L2" s="61">
        <f>J2-K2</f>
        <v>70543.12384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2025-12-17T15:26:50Z</cp:lastPrinted>
  <dcterms:created xsi:type="dcterms:W3CDTF">2013-03-18T13:35:42Z</dcterms:created>
  <dcterms:modified xsi:type="dcterms:W3CDTF">2026-01-08T12:45:01Z</dcterms:modified>
</cp:coreProperties>
</file>