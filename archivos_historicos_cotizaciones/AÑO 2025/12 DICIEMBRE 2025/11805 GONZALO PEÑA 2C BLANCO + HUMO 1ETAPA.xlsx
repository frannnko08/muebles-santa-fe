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0D85BEEE-4EAE-4857-8311-4C64F95E5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U62" i="1"/>
  <c r="U54" i="1"/>
  <c r="U51" i="1"/>
  <c r="U27" i="1"/>
  <c r="U23" i="1"/>
  <c r="M23" i="1"/>
  <c r="N23" i="1"/>
  <c r="P23" i="1" s="1"/>
  <c r="Q23" i="1" s="1"/>
  <c r="O23" i="1"/>
  <c r="M24" i="1"/>
  <c r="N24" i="1"/>
  <c r="O24" i="1"/>
  <c r="U24" i="1" s="1"/>
  <c r="M25" i="1"/>
  <c r="N25" i="1"/>
  <c r="O25" i="1"/>
  <c r="U25" i="1" s="1"/>
  <c r="M26" i="1"/>
  <c r="T26" i="1" s="1"/>
  <c r="N26" i="1"/>
  <c r="O26" i="1"/>
  <c r="U26" i="1" s="1"/>
  <c r="M27" i="1"/>
  <c r="N27" i="1"/>
  <c r="P27" i="1" s="1"/>
  <c r="Q27" i="1" s="1"/>
  <c r="O27" i="1"/>
  <c r="M28" i="1"/>
  <c r="N28" i="1"/>
  <c r="O28" i="1"/>
  <c r="U28" i="1" s="1"/>
  <c r="M29" i="1"/>
  <c r="N29" i="1"/>
  <c r="O29" i="1"/>
  <c r="U29" i="1" s="1"/>
  <c r="M30" i="1"/>
  <c r="N30" i="1"/>
  <c r="O30" i="1"/>
  <c r="U30" i="1" s="1"/>
  <c r="M31" i="1"/>
  <c r="N31" i="1"/>
  <c r="P31" i="1" s="1"/>
  <c r="Q31" i="1" s="1"/>
  <c r="O31" i="1"/>
  <c r="U31" i="1" s="1"/>
  <c r="M32" i="1"/>
  <c r="N32" i="1"/>
  <c r="O32" i="1"/>
  <c r="U32" i="1" s="1"/>
  <c r="M33" i="1"/>
  <c r="N33" i="1"/>
  <c r="O33" i="1"/>
  <c r="U33" i="1" s="1"/>
  <c r="M34" i="1"/>
  <c r="N34" i="1"/>
  <c r="O34" i="1"/>
  <c r="U34" i="1" s="1"/>
  <c r="M35" i="1"/>
  <c r="N35" i="1"/>
  <c r="P35" i="1" s="1"/>
  <c r="Q35" i="1" s="1"/>
  <c r="O35" i="1"/>
  <c r="U35" i="1" s="1"/>
  <c r="M36" i="1"/>
  <c r="N36" i="1"/>
  <c r="O36" i="1"/>
  <c r="U36" i="1" s="1"/>
  <c r="M37" i="1"/>
  <c r="N37" i="1"/>
  <c r="O37" i="1"/>
  <c r="U37" i="1" s="1"/>
  <c r="M38" i="1"/>
  <c r="N38" i="1"/>
  <c r="O38" i="1"/>
  <c r="U38" i="1" s="1"/>
  <c r="M39" i="1"/>
  <c r="N39" i="1"/>
  <c r="P39" i="1" s="1"/>
  <c r="Q39" i="1" s="1"/>
  <c r="O39" i="1"/>
  <c r="M40" i="1"/>
  <c r="N40" i="1"/>
  <c r="O40" i="1"/>
  <c r="U40" i="1" s="1"/>
  <c r="M41" i="1"/>
  <c r="N41" i="1"/>
  <c r="O41" i="1"/>
  <c r="U41" i="1" s="1"/>
  <c r="M42" i="1"/>
  <c r="N42" i="1"/>
  <c r="O42" i="1"/>
  <c r="U42" i="1" s="1"/>
  <c r="M43" i="1"/>
  <c r="N43" i="1"/>
  <c r="P43" i="1" s="1"/>
  <c r="Q43" i="1" s="1"/>
  <c r="O43" i="1"/>
  <c r="U43" i="1" s="1"/>
  <c r="M44" i="1"/>
  <c r="N44" i="1"/>
  <c r="O44" i="1"/>
  <c r="U44" i="1" s="1"/>
  <c r="M45" i="1"/>
  <c r="N45" i="1"/>
  <c r="O45" i="1"/>
  <c r="U45" i="1" s="1"/>
  <c r="M46" i="1"/>
  <c r="N46" i="1"/>
  <c r="O46" i="1"/>
  <c r="U46" i="1" s="1"/>
  <c r="M47" i="1"/>
  <c r="N47" i="1"/>
  <c r="P47" i="1" s="1"/>
  <c r="Q47" i="1" s="1"/>
  <c r="O47" i="1"/>
  <c r="U47" i="1" s="1"/>
  <c r="M48" i="1"/>
  <c r="N48" i="1"/>
  <c r="O48" i="1"/>
  <c r="U48" i="1" s="1"/>
  <c r="M49" i="1"/>
  <c r="N49" i="1"/>
  <c r="O49" i="1"/>
  <c r="U49" i="1" s="1"/>
  <c r="M50" i="1"/>
  <c r="N50" i="1"/>
  <c r="O50" i="1"/>
  <c r="U50" i="1" s="1"/>
  <c r="M51" i="1"/>
  <c r="N51" i="1"/>
  <c r="P51" i="1" s="1"/>
  <c r="Q51" i="1" s="1"/>
  <c r="O51" i="1"/>
  <c r="M52" i="1"/>
  <c r="N52" i="1"/>
  <c r="O52" i="1"/>
  <c r="U52" i="1" s="1"/>
  <c r="M53" i="1"/>
  <c r="N53" i="1"/>
  <c r="O53" i="1"/>
  <c r="U53" i="1" s="1"/>
  <c r="M54" i="1"/>
  <c r="N54" i="1"/>
  <c r="O54" i="1"/>
  <c r="M55" i="1"/>
  <c r="N55" i="1"/>
  <c r="O55" i="1"/>
  <c r="U55" i="1" s="1"/>
  <c r="M56" i="1"/>
  <c r="N56" i="1"/>
  <c r="O56" i="1"/>
  <c r="U56" i="1" s="1"/>
  <c r="M57" i="1"/>
  <c r="N57" i="1"/>
  <c r="O57" i="1"/>
  <c r="U57" i="1" s="1"/>
  <c r="M58" i="1"/>
  <c r="N58" i="1"/>
  <c r="O58" i="1"/>
  <c r="U58" i="1" s="1"/>
  <c r="M59" i="1"/>
  <c r="N59" i="1"/>
  <c r="P59" i="1" s="1"/>
  <c r="Q59" i="1" s="1"/>
  <c r="O59" i="1"/>
  <c r="U59" i="1" s="1"/>
  <c r="M60" i="1"/>
  <c r="N60" i="1"/>
  <c r="O60" i="1"/>
  <c r="U60" i="1" s="1"/>
  <c r="M61" i="1"/>
  <c r="N61" i="1"/>
  <c r="O61" i="1"/>
  <c r="U61" i="1" s="1"/>
  <c r="M62" i="1"/>
  <c r="N62" i="1"/>
  <c r="O62" i="1"/>
  <c r="M63" i="1"/>
  <c r="N63" i="1"/>
  <c r="P63" i="1" s="1"/>
  <c r="Q63" i="1" s="1"/>
  <c r="O63" i="1"/>
  <c r="U63" i="1" s="1"/>
  <c r="M64" i="1"/>
  <c r="N64" i="1"/>
  <c r="P64" i="1" s="1"/>
  <c r="Q64" i="1" s="1"/>
  <c r="O64" i="1"/>
  <c r="U64" i="1" s="1"/>
  <c r="M65" i="1"/>
  <c r="N65" i="1"/>
  <c r="T65" i="1" s="1"/>
  <c r="O65" i="1"/>
  <c r="U65" i="1" s="1"/>
  <c r="M66" i="1"/>
  <c r="N66" i="1"/>
  <c r="P66" i="1" s="1"/>
  <c r="Q66" i="1" s="1"/>
  <c r="O66" i="1"/>
  <c r="U66" i="1" s="1"/>
  <c r="M67" i="1"/>
  <c r="N67" i="1"/>
  <c r="P67" i="1" s="1"/>
  <c r="Q67" i="1" s="1"/>
  <c r="O67" i="1"/>
  <c r="U67" i="1" s="1"/>
  <c r="M68" i="1"/>
  <c r="N68" i="1"/>
  <c r="T68" i="1" s="1"/>
  <c r="O68" i="1"/>
  <c r="U68" i="1" s="1"/>
  <c r="M69" i="1"/>
  <c r="N69" i="1"/>
  <c r="T69" i="1" s="1"/>
  <c r="O69" i="1"/>
  <c r="U69" i="1" s="1"/>
  <c r="M70" i="1"/>
  <c r="N70" i="1"/>
  <c r="P70" i="1" s="1"/>
  <c r="Q70" i="1" s="1"/>
  <c r="O70" i="1"/>
  <c r="U70" i="1" s="1"/>
  <c r="P55" i="1" l="1"/>
  <c r="Q55" i="1" s="1"/>
  <c r="T55" i="1"/>
  <c r="T23" i="1"/>
  <c r="T31" i="1"/>
  <c r="P60" i="1"/>
  <c r="Q60" i="1" s="1"/>
  <c r="P56" i="1"/>
  <c r="Q56" i="1" s="1"/>
  <c r="T56" i="1"/>
  <c r="P52" i="1"/>
  <c r="Q52" i="1" s="1"/>
  <c r="P48" i="1"/>
  <c r="Q48" i="1" s="1"/>
  <c r="P44" i="1"/>
  <c r="Q44" i="1" s="1"/>
  <c r="T40" i="1"/>
  <c r="P40" i="1"/>
  <c r="Q40" i="1" s="1"/>
  <c r="P36" i="1"/>
  <c r="Q36" i="1" s="1"/>
  <c r="T35" i="1"/>
  <c r="P32" i="1"/>
  <c r="Q32" i="1" s="1"/>
  <c r="T32" i="1"/>
  <c r="P28" i="1"/>
  <c r="Q28" i="1" s="1"/>
  <c r="P24" i="1"/>
  <c r="Q24" i="1" s="1"/>
  <c r="T28" i="1"/>
  <c r="P61" i="1"/>
  <c r="Q61" i="1" s="1"/>
  <c r="T61" i="1"/>
  <c r="P57" i="1"/>
  <c r="Q57" i="1" s="1"/>
  <c r="P53" i="1"/>
  <c r="Q53" i="1" s="1"/>
  <c r="P49" i="1"/>
  <c r="Q49" i="1" s="1"/>
  <c r="P45" i="1"/>
  <c r="Q45" i="1" s="1"/>
  <c r="P41" i="1"/>
  <c r="Q41" i="1" s="1"/>
  <c r="P37" i="1"/>
  <c r="Q37" i="1" s="1"/>
  <c r="P33" i="1"/>
  <c r="Q33" i="1" s="1"/>
  <c r="P29" i="1"/>
  <c r="Q29" i="1" s="1"/>
  <c r="T25" i="1"/>
  <c r="P25" i="1"/>
  <c r="Q25" i="1" s="1"/>
  <c r="T29" i="1"/>
  <c r="T57" i="1"/>
  <c r="T70" i="1"/>
  <c r="P69" i="1"/>
  <c r="Q69" i="1" s="1"/>
  <c r="P68" i="1"/>
  <c r="Q68" i="1" s="1"/>
  <c r="P65" i="1"/>
  <c r="Q65" i="1" s="1"/>
  <c r="P62" i="1"/>
  <c r="Q62" i="1" s="1"/>
  <c r="P58" i="1"/>
  <c r="Q58" i="1" s="1"/>
  <c r="T54" i="1"/>
  <c r="P54" i="1"/>
  <c r="Q54" i="1" s="1"/>
  <c r="P50" i="1"/>
  <c r="Q50" i="1" s="1"/>
  <c r="P46" i="1"/>
  <c r="Q46" i="1" s="1"/>
  <c r="T46" i="1"/>
  <c r="P42" i="1"/>
  <c r="Q42" i="1" s="1"/>
  <c r="P38" i="1"/>
  <c r="Q38" i="1" s="1"/>
  <c r="P34" i="1"/>
  <c r="Q34" i="1" s="1"/>
  <c r="T33" i="1"/>
  <c r="P30" i="1"/>
  <c r="Q30" i="1" s="1"/>
  <c r="P26" i="1"/>
  <c r="Q26" i="1" s="1"/>
  <c r="T24" i="1"/>
  <c r="T30" i="1"/>
  <c r="M22" i="1"/>
  <c r="N22" i="1"/>
  <c r="O22" i="1"/>
  <c r="U22" i="1" s="1"/>
  <c r="M21" i="1"/>
  <c r="N5" i="6"/>
  <c r="A2" i="7"/>
  <c r="P22" i="1" l="1"/>
  <c r="Q22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J14" i="6" s="1"/>
  <c r="C27" i="6"/>
  <c r="F21" i="6" s="1"/>
  <c r="B27" i="6"/>
  <c r="I21" i="6" s="1"/>
  <c r="K21" i="6"/>
  <c r="J21" i="6"/>
  <c r="K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T21" i="1" s="1"/>
  <c r="K5" i="6" l="1"/>
  <c r="D14" i="6"/>
  <c r="E14" i="6"/>
  <c r="E21" i="6"/>
  <c r="D21" i="6"/>
  <c r="L5" i="6"/>
  <c r="M5" i="6"/>
  <c r="D2" i="7"/>
  <c r="D8" i="6"/>
  <c r="N21" i="1"/>
  <c r="U21" i="1" s="1"/>
  <c r="N74" i="1" l="1"/>
  <c r="T75" i="1"/>
  <c r="U73" i="1"/>
  <c r="P21" i="1"/>
  <c r="Q21" i="1" s="1"/>
  <c r="Q74" i="1" s="1"/>
  <c r="L88" i="1"/>
  <c r="T76" i="1" l="1"/>
  <c r="T77" i="1"/>
  <c r="T78" i="1" s="1"/>
  <c r="W81" i="1"/>
  <c r="W82" i="1" s="1"/>
  <c r="Q75" i="1" l="1"/>
  <c r="O20" i="1"/>
  <c r="M20" i="1"/>
  <c r="Q76" i="1" l="1"/>
  <c r="Q77" i="1" s="1"/>
  <c r="N79" i="1" s="1"/>
  <c r="P81" i="1"/>
  <c r="S85" i="1"/>
  <c r="S86" i="1" l="1"/>
  <c r="P80" i="1" s="1"/>
  <c r="P8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84" i="1"/>
  <c r="P83" i="1"/>
  <c r="F18" i="3" l="1"/>
  <c r="P79" i="1" l="1"/>
  <c r="P85" i="1" s="1"/>
  <c r="P86" i="1" s="1"/>
  <c r="D20" i="3" l="1"/>
  <c r="E20" i="3" s="1"/>
  <c r="E21" i="3" s="1"/>
  <c r="P87" i="1" l="1"/>
  <c r="R20" i="1" s="1"/>
  <c r="D21" i="3"/>
  <c r="M43" i="3" s="1"/>
  <c r="D12" i="3" s="1"/>
  <c r="F20" i="3"/>
  <c r="F21" i="3" s="1"/>
  <c r="R22" i="1" l="1"/>
  <c r="S22" i="1" s="1"/>
  <c r="H22" i="1" s="1"/>
  <c r="I22" i="1" s="1"/>
  <c r="R70" i="1"/>
  <c r="S70" i="1" s="1"/>
  <c r="H70" i="1" s="1"/>
  <c r="I70" i="1" s="1"/>
  <c r="R66" i="1"/>
  <c r="S66" i="1" s="1"/>
  <c r="H66" i="1" s="1"/>
  <c r="I66" i="1" s="1"/>
  <c r="R62" i="1"/>
  <c r="S62" i="1" s="1"/>
  <c r="H62" i="1" s="1"/>
  <c r="I62" i="1" s="1"/>
  <c r="R58" i="1"/>
  <c r="S58" i="1" s="1"/>
  <c r="H58" i="1" s="1"/>
  <c r="I58" i="1" s="1"/>
  <c r="R54" i="1"/>
  <c r="S54" i="1" s="1"/>
  <c r="H54" i="1" s="1"/>
  <c r="I54" i="1" s="1"/>
  <c r="R50" i="1"/>
  <c r="S50" i="1" s="1"/>
  <c r="H50" i="1" s="1"/>
  <c r="I50" i="1" s="1"/>
  <c r="R46" i="1"/>
  <c r="S46" i="1" s="1"/>
  <c r="H46" i="1" s="1"/>
  <c r="I46" i="1" s="1"/>
  <c r="R42" i="1"/>
  <c r="S42" i="1" s="1"/>
  <c r="H42" i="1" s="1"/>
  <c r="I42" i="1" s="1"/>
  <c r="R38" i="1"/>
  <c r="S38" i="1" s="1"/>
  <c r="H38" i="1" s="1"/>
  <c r="I38" i="1" s="1"/>
  <c r="R34" i="1"/>
  <c r="S34" i="1" s="1"/>
  <c r="H34" i="1" s="1"/>
  <c r="I34" i="1" s="1"/>
  <c r="R30" i="1"/>
  <c r="S30" i="1" s="1"/>
  <c r="H30" i="1" s="1"/>
  <c r="I30" i="1" s="1"/>
  <c r="R26" i="1"/>
  <c r="S26" i="1" s="1"/>
  <c r="H26" i="1" s="1"/>
  <c r="I26" i="1" s="1"/>
  <c r="R64" i="1"/>
  <c r="S64" i="1" s="1"/>
  <c r="H64" i="1" s="1"/>
  <c r="I64" i="1" s="1"/>
  <c r="R56" i="1"/>
  <c r="S56" i="1" s="1"/>
  <c r="H56" i="1" s="1"/>
  <c r="I56" i="1" s="1"/>
  <c r="R48" i="1"/>
  <c r="S48" i="1" s="1"/>
  <c r="H48" i="1" s="1"/>
  <c r="I48" i="1" s="1"/>
  <c r="R40" i="1"/>
  <c r="S40" i="1" s="1"/>
  <c r="H40" i="1" s="1"/>
  <c r="I40" i="1" s="1"/>
  <c r="R32" i="1"/>
  <c r="S32" i="1" s="1"/>
  <c r="H32" i="1" s="1"/>
  <c r="I32" i="1" s="1"/>
  <c r="R24" i="1"/>
  <c r="S24" i="1" s="1"/>
  <c r="H24" i="1" s="1"/>
  <c r="I24" i="1" s="1"/>
  <c r="R67" i="1"/>
  <c r="S67" i="1" s="1"/>
  <c r="H67" i="1" s="1"/>
  <c r="I67" i="1" s="1"/>
  <c r="R59" i="1"/>
  <c r="S59" i="1" s="1"/>
  <c r="H59" i="1" s="1"/>
  <c r="I59" i="1" s="1"/>
  <c r="R51" i="1"/>
  <c r="S51" i="1" s="1"/>
  <c r="H51" i="1" s="1"/>
  <c r="I51" i="1" s="1"/>
  <c r="R43" i="1"/>
  <c r="S43" i="1" s="1"/>
  <c r="H43" i="1" s="1"/>
  <c r="I43" i="1" s="1"/>
  <c r="R35" i="1"/>
  <c r="S35" i="1" s="1"/>
  <c r="H35" i="1" s="1"/>
  <c r="I35" i="1" s="1"/>
  <c r="R27" i="1"/>
  <c r="S27" i="1" s="1"/>
  <c r="H27" i="1" s="1"/>
  <c r="I27" i="1" s="1"/>
  <c r="R69" i="1"/>
  <c r="S69" i="1" s="1"/>
  <c r="H69" i="1" s="1"/>
  <c r="I69" i="1" s="1"/>
  <c r="R65" i="1"/>
  <c r="S65" i="1" s="1"/>
  <c r="H65" i="1" s="1"/>
  <c r="I65" i="1" s="1"/>
  <c r="R61" i="1"/>
  <c r="S61" i="1" s="1"/>
  <c r="H61" i="1" s="1"/>
  <c r="I61" i="1" s="1"/>
  <c r="R57" i="1"/>
  <c r="S57" i="1" s="1"/>
  <c r="H57" i="1" s="1"/>
  <c r="I57" i="1" s="1"/>
  <c r="R53" i="1"/>
  <c r="S53" i="1" s="1"/>
  <c r="H53" i="1" s="1"/>
  <c r="I53" i="1" s="1"/>
  <c r="R49" i="1"/>
  <c r="S49" i="1" s="1"/>
  <c r="H49" i="1" s="1"/>
  <c r="I49" i="1" s="1"/>
  <c r="R45" i="1"/>
  <c r="S45" i="1" s="1"/>
  <c r="H45" i="1" s="1"/>
  <c r="I45" i="1" s="1"/>
  <c r="R41" i="1"/>
  <c r="S41" i="1" s="1"/>
  <c r="H41" i="1" s="1"/>
  <c r="I41" i="1" s="1"/>
  <c r="R37" i="1"/>
  <c r="S37" i="1" s="1"/>
  <c r="H37" i="1" s="1"/>
  <c r="I37" i="1" s="1"/>
  <c r="R33" i="1"/>
  <c r="S33" i="1" s="1"/>
  <c r="H33" i="1" s="1"/>
  <c r="I33" i="1" s="1"/>
  <c r="R29" i="1"/>
  <c r="S29" i="1" s="1"/>
  <c r="H29" i="1" s="1"/>
  <c r="I29" i="1" s="1"/>
  <c r="R25" i="1"/>
  <c r="S25" i="1" s="1"/>
  <c r="H25" i="1" s="1"/>
  <c r="I25" i="1" s="1"/>
  <c r="R68" i="1"/>
  <c r="S68" i="1" s="1"/>
  <c r="H68" i="1" s="1"/>
  <c r="I68" i="1" s="1"/>
  <c r="R60" i="1"/>
  <c r="S60" i="1" s="1"/>
  <c r="H60" i="1" s="1"/>
  <c r="I60" i="1" s="1"/>
  <c r="R52" i="1"/>
  <c r="S52" i="1" s="1"/>
  <c r="H52" i="1" s="1"/>
  <c r="I52" i="1" s="1"/>
  <c r="R44" i="1"/>
  <c r="S44" i="1" s="1"/>
  <c r="H44" i="1" s="1"/>
  <c r="I44" i="1" s="1"/>
  <c r="R36" i="1"/>
  <c r="S36" i="1" s="1"/>
  <c r="H36" i="1" s="1"/>
  <c r="I36" i="1" s="1"/>
  <c r="R28" i="1"/>
  <c r="S28" i="1" s="1"/>
  <c r="H28" i="1" s="1"/>
  <c r="I28" i="1" s="1"/>
  <c r="R63" i="1"/>
  <c r="S63" i="1" s="1"/>
  <c r="H63" i="1" s="1"/>
  <c r="I63" i="1" s="1"/>
  <c r="R55" i="1"/>
  <c r="S55" i="1" s="1"/>
  <c r="H55" i="1" s="1"/>
  <c r="I55" i="1" s="1"/>
  <c r="R47" i="1"/>
  <c r="S47" i="1" s="1"/>
  <c r="H47" i="1" s="1"/>
  <c r="I47" i="1" s="1"/>
  <c r="R39" i="1"/>
  <c r="S39" i="1" s="1"/>
  <c r="H39" i="1" s="1"/>
  <c r="I39" i="1" s="1"/>
  <c r="R31" i="1"/>
  <c r="S31" i="1" s="1"/>
  <c r="H31" i="1" s="1"/>
  <c r="I31" i="1" s="1"/>
  <c r="R23" i="1"/>
  <c r="S23" i="1" s="1"/>
  <c r="H23" i="1" s="1"/>
  <c r="I23" i="1" s="1"/>
  <c r="P88" i="1"/>
  <c r="E15" i="3"/>
  <c r="R21" i="1" l="1"/>
  <c r="F15" i="3"/>
  <c r="S21" i="1" l="1"/>
  <c r="H21" i="1" s="1"/>
  <c r="I21" i="1" l="1"/>
  <c r="I73" i="1" s="1"/>
  <c r="I74" i="1" s="1"/>
  <c r="G22" i="4" l="1"/>
  <c r="H22" i="4" s="1"/>
  <c r="H25" i="4" s="1"/>
  <c r="I7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<sst xmlns="http://schemas.openxmlformats.org/spreadsheetml/2006/main" count="636" uniqueCount="299">
  <si>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</si>
  <si>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</si>
  <si>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</si>
  <si>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</si>
  <si>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</si>
  <si>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</si>
  <si>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</si>
  <si>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</si>
  <si>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</si>
  <si>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</si>
  <si>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</si>
  <si>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</si>
  <si>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</si>
  <si>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</si>
  <si>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</si>
  <si>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</si>
  <si>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</si>
  <si>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</si>
  <si>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</si>
  <si>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</si>
  <si>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</si>
  <si>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</si>
  <si>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</si>
  <si>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</si>
  <si>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</si>
  <si>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</si>
  <si>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</si>
  <si>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</si>
  <si>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</si>
  <si>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</si>
  <si>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</si>
  <si>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</si>
  <si>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</si>
  <si>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</si>
  <si>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</si>
  <si>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</si>
  <si>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</si>
  <si>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</si>
  <si>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</si>
  <si>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</si>
  <si>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</si>
  <si>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</si>
  <si>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</si>
  <si>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</si>
  <si>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</si>
  <si>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</si>
  <si>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</si>
  <si>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</si>
  <si>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</si>
  <si>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</si>
  <si>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</si>
  <si>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</si>
  <si>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</si>
  <si>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</si>
  <si>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</si>
  <si>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</si>
  <si>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</si>
  <si>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</si>
  <si>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</si>
  <si>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</si>
  <si>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</si>
  <si>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</si>
  <si>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</si>
  <si>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</si>
  <si>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</si>
  <si>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</si>
  <si>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</si>
  <si>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</si>
  <si>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</si>
  <si>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</si>
  <si>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</si>
  <si>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</si>
  <si>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</si>
  <si>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</si>
  <si>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</si>
  <si>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</si>
  <si>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</si>
  <si>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</si>
  <si>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</si>
  <si>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</si>
  <si>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</si>
  <si>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</si>
  <si>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</si>
  <si>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</si>
  <si>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</si>
  <si>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</si>
  <si>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</si>
  <si>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</si>
  <si>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</si>
  <si>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</si>
  <si>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</si>
  <si>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</si>
  <si>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</si>
  <si>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</si>
  <si>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</si>
  <si>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</si>
  <si>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</si>
  <si>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</si>
  <si>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</si>
  <si>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</si>
  <si>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</si>
  <si>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</si>
  <si>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</si>
  <si>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</si>
  <si>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</si>
  <si>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</si>
  <si>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</si>
  <si>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</si>
  <si>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</si>
  <si>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</si>
  <si>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</si>
  <si>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</si>
  <si>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</si>
  <si>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</si>
  <si>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</si>
  <si>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</si>
  <si>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</si>
  <si>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</si>
  <si>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</si>
  <si>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</si>
  <si>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</si>
  <si>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</si>
  <si>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</si>
  <si>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</si>
  <si>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</si>
  <si>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</si>
  <si>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</si>
  <si>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</si>
  <si>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</si>
  <si>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</si>
  <si>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</si>
  <si>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</si>
  <si>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</si>
  <si>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</si>
  <si>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</si>
  <si>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</si>
  <si>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</si>
  <si>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</si>
  <si>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</si>
  <si>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</si>
  <si>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</si>
  <si>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</si>
  <si>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</si>
  <si>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</si>
  <si>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</si>
  <si>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</si>
  <si>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</si>
  <si>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</si>
  <si>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</si>
  <si>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</si>
  <si>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</si>
  <si>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</si>
  <si>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</si>
  <si>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</si>
  <si>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</si>
  <si>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</si>
  <si>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</si>
  <si>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</si>
  <si>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</si>
  <si>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</si>
  <si>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</si>
  <si>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</si>
  <si>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</si>
  <si>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</si>
  <si>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</si>
  <si>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</si>
  <si>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</si>
  <si>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</si>
  <si>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</si>
  <si>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</si>
  <si>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</si>
  <si>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</si>
  <si>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</si>
  <si>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</si>
  <si>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</si>
  <si>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</si>
  <si>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</si>
  <si>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</si>
  <si>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</si>
  <si>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</si>
  <si>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</si>
  <si>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</si>
  <si>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</si>
  <si>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</si>
  <si>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</si>
  <si>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</si>
  <si>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</si>
  <si>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</si>
  <si>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</si>
  <si>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</si>
  <si>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</si>
  <si>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</si>
  <si>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</si>
  <si>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</si>
  <si>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</si>
  <si>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</si>
  <si>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</si>
  <si>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</si>
  <si>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</si>
  <si>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</si>
  <si>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</si>
  <si>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</si>
  <si>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</si>
  <si>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</si>
  <si>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</si>
  <si>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</si>
  <si>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</si>
  <si>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</si>
  <si>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</si>
  <si>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</si>
  <si>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</si>
  <si>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</si>
  <si>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</si>
  <si>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</si>
  <si>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</si>
  <si>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</si>
  <si>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</si>
  <si>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</si>
  <si>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</si>
  <si>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</si>
  <si>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</si>
  <si>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</si>
  <si>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</si>
  <si>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</si>
  <si>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</si>
  <si>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</si>
  <si>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</si>
  <si>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</si>
  <si>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</si>
  <si>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</si>
  <si>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</si>
  <si>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</si>
  <si>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</si>
  <si>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</si>
  <si>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</si>
  <si>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</si>
  <si>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</si>
  <si>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</si>
  <si>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</si>
  <si>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</si>
  <si>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</si>
  <si>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</si>
  <si>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</si>
  <si>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</si>
  <si>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</si>
  <si>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</si>
  <si>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</si>
  <si>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</si>
  <si>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</si>
  <si>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</si>
  <si>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</si>
  <si>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</si>
  <si>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</si>
  <si>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</si>
  <si>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</si>
  <si>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</si>
  <si>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</si>
  <si>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</si>
  <si>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</si>
  <si>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</si>
  <si>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</si>
  <si>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</si>
  <si>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</si>
  <si>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</si>
  <si>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</si>
  <si>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</si>
  <si>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</si>
  <si>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</si>
  <si>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</si>
  <si>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</si>
  <si>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</si>
  <si>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</si>
  <si>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</si>
  <si>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</si>
  <si>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</si>
  <si>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</si>
  <si>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</si>
  <si>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</si>
  <si>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</si>
  <si>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</si>
  <si>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</si>
  <si>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</si>
  <si>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</si>
  <si>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</si>
  <si>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</si>
  <si>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</si>
  <si>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</si>
  <si>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ENCHAPE RECTO 2 CARAS MDF 18MM</t>
  </si>
  <si>
    <t>BLANCO - HUMO 2108 MT</t>
  </si>
  <si>
    <t>2A + 1L</t>
  </si>
  <si>
    <t>1A + 1L</t>
  </si>
  <si>
    <t>1A</t>
  </si>
  <si>
    <t>2A + 2L</t>
  </si>
  <si>
    <t>TAPACANTO 100 MTS 1,5X22</t>
  </si>
  <si>
    <t>GONZALO PEÑA</t>
  </si>
  <si>
    <t>N° 11805</t>
  </si>
  <si>
    <t>15 DIAS HABILES</t>
  </si>
  <si>
    <t>SI</t>
  </si>
  <si>
    <t>Cotizado por: Fernando Donoso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</si>
</sst>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76</xdr:row>
      <xdr:rowOff>8194</xdr:rowOff>
    </xdr:from>
    <xdr:to>
      <xdr:col>9</xdr:col>
      <xdr:colOff>8193</xdr:colOff>
      <xdr:row>79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78</xdr:row>
      <xdr:rowOff>154305</xdr:rowOff>
    </xdr:from>
    <xdr:to>
      <xdr:col>8</xdr:col>
      <xdr:colOff>853440</xdr:colOff>
      <xdr:row>78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76</xdr:row>
      <xdr:rowOff>9525</xdr:rowOff>
    </xdr:from>
    <xdr:to>
      <xdr:col>6</xdr:col>
      <xdr:colOff>1745226</xdr:colOff>
      <xdr:row>79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71</xdr:row>
      <xdr:rowOff>214364</xdr:rowOff>
    </xdr:from>
    <xdr:to>
      <xdr:col>6</xdr:col>
      <xdr:colOff>1728839</xdr:colOff>
      <xdr:row>74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1,5MM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630"/>
  <sheetViews>
    <sheetView tabSelected="1" topLeftCell="A7" zoomScale="93" zoomScaleNormal="93" workbookViewId="0">
      <selection activeCell="D71" sqref="D71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1.10937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295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294</v>
      </c>
      <c r="D10" s="243"/>
      <c r="E10" s="243"/>
      <c r="F10" s="243"/>
      <c r="G10" s="418" t="s">
        <v>275</v>
      </c>
      <c r="H10" s="275">
        <v>46006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296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297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298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P87</f>
        <v>65912.252938187317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20</v>
      </c>
      <c r="C21" s="430" t="s">
        <v>287</v>
      </c>
      <c r="D21" s="431">
        <v>0.66400000000000003</v>
      </c>
      <c r="E21" s="431">
        <v>0.309</v>
      </c>
      <c r="F21" s="431" t="s">
        <v>289</v>
      </c>
      <c r="G21" s="430" t="s">
        <v>288</v>
      </c>
      <c r="H21" s="432">
        <f>S21</f>
        <v>15832.629752197921</v>
      </c>
      <c r="I21" s="432">
        <f>H21*B21</f>
        <v>316652.5950439584</v>
      </c>
      <c r="J21" s="306"/>
      <c r="K21" s="264"/>
      <c r="L21" s="47"/>
      <c r="M21" s="47">
        <f>B21</f>
        <v>20</v>
      </c>
      <c r="N21" s="39">
        <f>D21+N$19</f>
        <v>0.68400000000000005</v>
      </c>
      <c r="O21" s="39">
        <f>E21+$O$19</f>
        <v>0.32900000000000001</v>
      </c>
      <c r="P21" s="260">
        <f t="shared" ref="P21" si="0">N21*O21</f>
        <v>0.22503600000000001</v>
      </c>
      <c r="Q21" s="258">
        <f t="shared" ref="Q21" si="1">P21*M21</f>
        <v>4.5007200000000003</v>
      </c>
      <c r="R21" s="251">
        <f t="shared" ref="R21" si="2">R$20*P21</f>
        <v>14832.629752197921</v>
      </c>
      <c r="S21" s="305">
        <f t="shared" ref="S21" si="3">R21+S$20</f>
        <v>15832.629752197921</v>
      </c>
      <c r="T21" s="290">
        <f>O21*2*M21</f>
        <v>13.16</v>
      </c>
      <c r="U21" s="46">
        <f>M21*N21</f>
        <v>13.680000000000001</v>
      </c>
      <c r="V21" s="9"/>
      <c r="Y21" s="4"/>
    </row>
    <row r="22" spans="2:26" ht="17.399999999999999" x14ac:dyDescent="0.3">
      <c r="B22" s="430">
        <v>20</v>
      </c>
      <c r="C22" s="430" t="s">
        <v>287</v>
      </c>
      <c r="D22" s="431">
        <v>0.66400000000000003</v>
      </c>
      <c r="E22" s="431">
        <v>0.28899999999999998</v>
      </c>
      <c r="F22" s="431" t="s">
        <v>291</v>
      </c>
      <c r="G22" s="430" t="s">
        <v>288</v>
      </c>
      <c r="H22" s="432">
        <f t="shared" ref="H22:H70" si="4">S22</f>
        <v>14930.95013200352</v>
      </c>
      <c r="I22" s="432">
        <f t="shared" ref="I22:I70" si="5">H22*B22</f>
        <v>298619.00264007039</v>
      </c>
      <c r="J22" s="306"/>
      <c r="K22" s="264"/>
      <c r="L22" s="47"/>
      <c r="M22" s="47">
        <f>B22</f>
        <v>20</v>
      </c>
      <c r="N22" s="39">
        <f>D22+N$19</f>
        <v>0.68400000000000005</v>
      </c>
      <c r="O22" s="39">
        <f>E22+$O$19</f>
        <v>0.309</v>
      </c>
      <c r="P22" s="260">
        <f t="shared" ref="P22" si="6">N22*O22</f>
        <v>0.21135600000000002</v>
      </c>
      <c r="Q22" s="258">
        <f t="shared" ref="Q22" si="7">P22*M22</f>
        <v>4.2271200000000002</v>
      </c>
      <c r="R22" s="251">
        <f t="shared" ref="R22" si="8">R$20*P22</f>
        <v>13930.95013200352</v>
      </c>
      <c r="S22" s="305">
        <f t="shared" ref="S22" si="9">R22+S$20</f>
        <v>14930.95013200352</v>
      </c>
      <c r="T22" s="290"/>
      <c r="U22" s="46">
        <f>O22*M22</f>
        <v>6.18</v>
      </c>
      <c r="V22" s="9"/>
      <c r="Y22" s="4"/>
    </row>
    <row r="23" spans="2:26" ht="17.399999999999999" x14ac:dyDescent="0.3">
      <c r="B23" s="430">
        <v>20</v>
      </c>
      <c r="C23" s="430" t="s">
        <v>287</v>
      </c>
      <c r="D23" s="431">
        <v>0.79700000000000004</v>
      </c>
      <c r="E23" s="431">
        <v>0.28899999999999998</v>
      </c>
      <c r="F23" s="431" t="s">
        <v>290</v>
      </c>
      <c r="G23" s="430" t="s">
        <v>288</v>
      </c>
      <c r="H23" s="432">
        <f t="shared" si="4"/>
        <v>17639.745991004205</v>
      </c>
      <c r="I23" s="432">
        <f t="shared" si="5"/>
        <v>352794.91982008412</v>
      </c>
      <c r="J23" s="306"/>
      <c r="K23" s="264"/>
      <c r="L23" s="47"/>
      <c r="M23" s="47">
        <f t="shared" ref="M23:M70" si="10">B23</f>
        <v>20</v>
      </c>
      <c r="N23" s="39">
        <f t="shared" ref="N23:N70" si="11">D23+N$19</f>
        <v>0.81700000000000006</v>
      </c>
      <c r="O23" s="39">
        <f t="shared" ref="O23:O70" si="12">E23+$O$19</f>
        <v>0.309</v>
      </c>
      <c r="P23" s="260">
        <f t="shared" ref="P23:P70" si="13">N23*O23</f>
        <v>0.25245300000000004</v>
      </c>
      <c r="Q23" s="258">
        <f t="shared" ref="Q23:Q70" si="14">P23*M23</f>
        <v>5.0490600000000008</v>
      </c>
      <c r="R23" s="251">
        <f t="shared" ref="R23:R70" si="15">R$20*P23</f>
        <v>16639.745991004205</v>
      </c>
      <c r="S23" s="305">
        <f t="shared" ref="S23:S70" si="16">R23+S$20</f>
        <v>17639.745991004205</v>
      </c>
      <c r="T23" s="290">
        <f>N23*M23</f>
        <v>16.34</v>
      </c>
      <c r="U23" s="46">
        <f>O23*M23</f>
        <v>6.18</v>
      </c>
      <c r="V23" s="9"/>
      <c r="Y23" s="4"/>
    </row>
    <row r="24" spans="2:26" ht="17.399999999999999" x14ac:dyDescent="0.3">
      <c r="B24" s="430">
        <v>20</v>
      </c>
      <c r="C24" s="430" t="s">
        <v>287</v>
      </c>
      <c r="D24" s="431">
        <v>0.79700000000000004</v>
      </c>
      <c r="E24" s="431">
        <v>0.28899999999999998</v>
      </c>
      <c r="F24" s="431" t="s">
        <v>290</v>
      </c>
      <c r="G24" s="430" t="s">
        <v>288</v>
      </c>
      <c r="H24" s="432">
        <f t="shared" si="4"/>
        <v>17639.745991004205</v>
      </c>
      <c r="I24" s="432">
        <f t="shared" si="5"/>
        <v>352794.91982008412</v>
      </c>
      <c r="J24" s="306"/>
      <c r="K24" s="264"/>
      <c r="L24" s="47"/>
      <c r="M24" s="47">
        <f t="shared" si="10"/>
        <v>20</v>
      </c>
      <c r="N24" s="39">
        <f t="shared" si="11"/>
        <v>0.81700000000000006</v>
      </c>
      <c r="O24" s="39">
        <f t="shared" si="12"/>
        <v>0.309</v>
      </c>
      <c r="P24" s="260">
        <f t="shared" si="13"/>
        <v>0.25245300000000004</v>
      </c>
      <c r="Q24" s="258">
        <f t="shared" si="14"/>
        <v>5.0490600000000008</v>
      </c>
      <c r="R24" s="251">
        <f t="shared" si="15"/>
        <v>16639.745991004205</v>
      </c>
      <c r="S24" s="305">
        <f t="shared" si="16"/>
        <v>17639.745991004205</v>
      </c>
      <c r="T24" s="290">
        <f t="shared" ref="T24:T25" si="17">N24*M24</f>
        <v>16.34</v>
      </c>
      <c r="U24" s="46">
        <f t="shared" ref="U24:U25" si="18">O24*M24</f>
        <v>6.18</v>
      </c>
      <c r="V24" s="9"/>
      <c r="Y24" s="4"/>
    </row>
    <row r="25" spans="2:26" ht="17.399999999999999" x14ac:dyDescent="0.3">
      <c r="B25" s="430">
        <v>40</v>
      </c>
      <c r="C25" s="430" t="s">
        <v>287</v>
      </c>
      <c r="D25" s="431">
        <v>0.7</v>
      </c>
      <c r="E25" s="431">
        <v>0.34599999999999997</v>
      </c>
      <c r="F25" s="431" t="s">
        <v>290</v>
      </c>
      <c r="G25" s="430" t="s">
        <v>288</v>
      </c>
      <c r="H25" s="432">
        <f t="shared" si="4"/>
        <v>18369.196894271121</v>
      </c>
      <c r="I25" s="432">
        <f t="shared" si="5"/>
        <v>734767.87577084487</v>
      </c>
      <c r="J25" s="306"/>
      <c r="K25" s="264"/>
      <c r="L25" s="47"/>
      <c r="M25" s="47">
        <f t="shared" si="10"/>
        <v>40</v>
      </c>
      <c r="N25" s="39">
        <f t="shared" si="11"/>
        <v>0.72</v>
      </c>
      <c r="O25" s="39">
        <f t="shared" si="12"/>
        <v>0.36599999999999999</v>
      </c>
      <c r="P25" s="260">
        <f t="shared" si="13"/>
        <v>0.26351999999999998</v>
      </c>
      <c r="Q25" s="258">
        <f t="shared" si="14"/>
        <v>10.540799999999999</v>
      </c>
      <c r="R25" s="251">
        <f t="shared" si="15"/>
        <v>17369.196894271121</v>
      </c>
      <c r="S25" s="305">
        <f t="shared" si="16"/>
        <v>18369.196894271121</v>
      </c>
      <c r="T25" s="290">
        <f t="shared" si="17"/>
        <v>28.799999999999997</v>
      </c>
      <c r="U25" s="46">
        <f t="shared" si="18"/>
        <v>14.64</v>
      </c>
      <c r="V25" s="9"/>
      <c r="Y25" s="4"/>
    </row>
    <row r="26" spans="2:26" ht="17.399999999999999" x14ac:dyDescent="0.3">
      <c r="B26" s="430">
        <v>26</v>
      </c>
      <c r="C26" s="430" t="s">
        <v>287</v>
      </c>
      <c r="D26" s="431">
        <v>0.66400000000000003</v>
      </c>
      <c r="E26" s="431">
        <v>0.309</v>
      </c>
      <c r="F26" s="431" t="s">
        <v>292</v>
      </c>
      <c r="G26" s="430" t="s">
        <v>288</v>
      </c>
      <c r="H26" s="432">
        <f t="shared" si="4"/>
        <v>15832.629752197921</v>
      </c>
      <c r="I26" s="432">
        <f t="shared" si="5"/>
        <v>411648.37355714594</v>
      </c>
      <c r="J26" s="306"/>
      <c r="K26" s="264"/>
      <c r="L26" s="47"/>
      <c r="M26" s="47">
        <f t="shared" si="10"/>
        <v>26</v>
      </c>
      <c r="N26" s="39">
        <f t="shared" si="11"/>
        <v>0.68400000000000005</v>
      </c>
      <c r="O26" s="39">
        <f t="shared" si="12"/>
        <v>0.32900000000000001</v>
      </c>
      <c r="P26" s="260">
        <f t="shared" si="13"/>
        <v>0.22503600000000001</v>
      </c>
      <c r="Q26" s="258">
        <f t="shared" si="14"/>
        <v>5.8509360000000008</v>
      </c>
      <c r="R26" s="251">
        <f t="shared" si="15"/>
        <v>14832.629752197921</v>
      </c>
      <c r="S26" s="305">
        <f t="shared" si="16"/>
        <v>15832.629752197921</v>
      </c>
      <c r="T26" s="290">
        <f>M26*N26*2</f>
        <v>35.568000000000005</v>
      </c>
      <c r="U26" s="46">
        <f>O26*M26*2</f>
        <v>17.108000000000001</v>
      </c>
      <c r="V26" s="9"/>
      <c r="Y26" s="4"/>
    </row>
    <row r="27" spans="2:26" ht="17.399999999999999" x14ac:dyDescent="0.3">
      <c r="B27" s="430">
        <v>26</v>
      </c>
      <c r="C27" s="430" t="s">
        <v>287</v>
      </c>
      <c r="D27" s="431">
        <v>0.66400000000000003</v>
      </c>
      <c r="E27" s="431">
        <v>0.28899999999999998</v>
      </c>
      <c r="F27" s="431" t="s">
        <v>291</v>
      </c>
      <c r="G27" s="430" t="s">
        <v>288</v>
      </c>
      <c r="H27" s="432">
        <f t="shared" si="4"/>
        <v>14930.95013200352</v>
      </c>
      <c r="I27" s="432">
        <f t="shared" si="5"/>
        <v>388204.70343209151</v>
      </c>
      <c r="J27" s="306"/>
      <c r="K27" s="264"/>
      <c r="L27" s="47"/>
      <c r="M27" s="47">
        <f t="shared" si="10"/>
        <v>26</v>
      </c>
      <c r="N27" s="39">
        <f t="shared" si="11"/>
        <v>0.68400000000000005</v>
      </c>
      <c r="O27" s="39">
        <f t="shared" si="12"/>
        <v>0.309</v>
      </c>
      <c r="P27" s="260">
        <f t="shared" si="13"/>
        <v>0.21135600000000002</v>
      </c>
      <c r="Q27" s="258">
        <f t="shared" si="14"/>
        <v>5.4952560000000004</v>
      </c>
      <c r="R27" s="251">
        <f t="shared" si="15"/>
        <v>13930.95013200352</v>
      </c>
      <c r="S27" s="305">
        <f t="shared" si="16"/>
        <v>14930.95013200352</v>
      </c>
      <c r="T27" s="290"/>
      <c r="U27" s="46">
        <f>O27*M27</f>
        <v>8.0340000000000007</v>
      </c>
      <c r="V27" s="9"/>
      <c r="Y27" s="4"/>
    </row>
    <row r="28" spans="2:26" ht="17.399999999999999" x14ac:dyDescent="0.3">
      <c r="B28" s="430">
        <v>26</v>
      </c>
      <c r="C28" s="430" t="s">
        <v>287</v>
      </c>
      <c r="D28" s="431">
        <v>0.79700000000000004</v>
      </c>
      <c r="E28" s="431">
        <v>0.28899999999999998</v>
      </c>
      <c r="F28" s="431" t="s">
        <v>290</v>
      </c>
      <c r="G28" s="430" t="s">
        <v>288</v>
      </c>
      <c r="H28" s="432">
        <f t="shared" si="4"/>
        <v>17639.745991004205</v>
      </c>
      <c r="I28" s="432">
        <f t="shared" si="5"/>
        <v>458633.39576610934</v>
      </c>
      <c r="J28" s="306"/>
      <c r="K28" s="264"/>
      <c r="L28" s="47"/>
      <c r="M28" s="47">
        <f t="shared" si="10"/>
        <v>26</v>
      </c>
      <c r="N28" s="39">
        <f t="shared" si="11"/>
        <v>0.81700000000000006</v>
      </c>
      <c r="O28" s="39">
        <f t="shared" si="12"/>
        <v>0.309</v>
      </c>
      <c r="P28" s="260">
        <f t="shared" si="13"/>
        <v>0.25245300000000004</v>
      </c>
      <c r="Q28" s="258">
        <f t="shared" si="14"/>
        <v>6.563778000000001</v>
      </c>
      <c r="R28" s="251">
        <f t="shared" si="15"/>
        <v>16639.745991004205</v>
      </c>
      <c r="S28" s="305">
        <f t="shared" si="16"/>
        <v>17639.745991004205</v>
      </c>
      <c r="T28" s="290">
        <f>M28*N28</f>
        <v>21.242000000000001</v>
      </c>
      <c r="U28" s="46">
        <f>O28*M28</f>
        <v>8.0340000000000007</v>
      </c>
      <c r="V28" s="9"/>
      <c r="Y28" s="4"/>
    </row>
    <row r="29" spans="2:26" ht="17.399999999999999" x14ac:dyDescent="0.3">
      <c r="B29" s="430">
        <v>26</v>
      </c>
      <c r="C29" s="430" t="s">
        <v>287</v>
      </c>
      <c r="D29" s="431">
        <v>0.79700000000000004</v>
      </c>
      <c r="E29" s="431">
        <v>0.28899999999999998</v>
      </c>
      <c r="F29" s="431" t="s">
        <v>290</v>
      </c>
      <c r="G29" s="430" t="s">
        <v>288</v>
      </c>
      <c r="H29" s="432">
        <f t="shared" si="4"/>
        <v>17639.745991004205</v>
      </c>
      <c r="I29" s="432">
        <f t="shared" si="5"/>
        <v>458633.39576610934</v>
      </c>
      <c r="J29" s="306"/>
      <c r="K29" s="264"/>
      <c r="L29" s="47"/>
      <c r="M29" s="47">
        <f t="shared" si="10"/>
        <v>26</v>
      </c>
      <c r="N29" s="39">
        <f t="shared" si="11"/>
        <v>0.81700000000000006</v>
      </c>
      <c r="O29" s="39">
        <f t="shared" si="12"/>
        <v>0.309</v>
      </c>
      <c r="P29" s="260">
        <f t="shared" si="13"/>
        <v>0.25245300000000004</v>
      </c>
      <c r="Q29" s="258">
        <f t="shared" si="14"/>
        <v>6.563778000000001</v>
      </c>
      <c r="R29" s="251">
        <f t="shared" si="15"/>
        <v>16639.745991004205</v>
      </c>
      <c r="S29" s="305">
        <f t="shared" si="16"/>
        <v>17639.745991004205</v>
      </c>
      <c r="T29" s="290">
        <f>M29*N29</f>
        <v>21.242000000000001</v>
      </c>
      <c r="U29" s="46">
        <f>O29*M29</f>
        <v>8.0340000000000007</v>
      </c>
      <c r="V29" s="9"/>
      <c r="Y29" s="4"/>
    </row>
    <row r="30" spans="2:26" ht="17.399999999999999" x14ac:dyDescent="0.3">
      <c r="B30" s="430">
        <v>2</v>
      </c>
      <c r="C30" s="430" t="s">
        <v>287</v>
      </c>
      <c r="D30" s="431">
        <v>0.14499999999999999</v>
      </c>
      <c r="E30" s="431">
        <v>0.53400000000000003</v>
      </c>
      <c r="F30" s="431" t="s">
        <v>292</v>
      </c>
      <c r="G30" s="430" t="s">
        <v>288</v>
      </c>
      <c r="H30" s="432">
        <f t="shared" si="4"/>
        <v>7025.0390410797017</v>
      </c>
      <c r="I30" s="432">
        <f t="shared" si="5"/>
        <v>14050.078082159403</v>
      </c>
      <c r="J30" s="306"/>
      <c r="K30" s="264"/>
      <c r="L30" s="47"/>
      <c r="M30" s="47">
        <f t="shared" si="10"/>
        <v>2</v>
      </c>
      <c r="N30" s="39">
        <f t="shared" si="11"/>
        <v>0.16499999999999998</v>
      </c>
      <c r="O30" s="39">
        <f t="shared" si="12"/>
        <v>0.55400000000000005</v>
      </c>
      <c r="P30" s="260">
        <f t="shared" si="13"/>
        <v>9.1409999999999991E-2</v>
      </c>
      <c r="Q30" s="258">
        <f t="shared" si="14"/>
        <v>0.18281999999999998</v>
      </c>
      <c r="R30" s="251">
        <f t="shared" si="15"/>
        <v>6025.0390410797017</v>
      </c>
      <c r="S30" s="305">
        <f t="shared" si="16"/>
        <v>7025.0390410797017</v>
      </c>
      <c r="T30" s="290">
        <f>N30*M30*2</f>
        <v>0.65999999999999992</v>
      </c>
      <c r="U30" s="46">
        <f>O30*M30*2</f>
        <v>2.2160000000000002</v>
      </c>
      <c r="V30" s="9"/>
      <c r="Y30" s="4"/>
    </row>
    <row r="31" spans="2:26" ht="17.399999999999999" x14ac:dyDescent="0.3">
      <c r="B31" s="430">
        <v>1</v>
      </c>
      <c r="C31" s="430" t="s">
        <v>287</v>
      </c>
      <c r="D31" s="431">
        <v>0.22800000000000001</v>
      </c>
      <c r="E31" s="431">
        <v>0.53400000000000003</v>
      </c>
      <c r="F31" s="431" t="s">
        <v>292</v>
      </c>
      <c r="G31" s="430" t="s">
        <v>288</v>
      </c>
      <c r="H31" s="432">
        <f t="shared" si="4"/>
        <v>10055.816255683432</v>
      </c>
      <c r="I31" s="432">
        <f t="shared" si="5"/>
        <v>10055.816255683432</v>
      </c>
      <c r="J31" s="306"/>
      <c r="K31" s="264"/>
      <c r="L31" s="47"/>
      <c r="M31" s="47">
        <f t="shared" si="10"/>
        <v>1</v>
      </c>
      <c r="N31" s="39">
        <f t="shared" si="11"/>
        <v>0.248</v>
      </c>
      <c r="O31" s="39">
        <f t="shared" si="12"/>
        <v>0.55400000000000005</v>
      </c>
      <c r="P31" s="260">
        <f t="shared" si="13"/>
        <v>0.13739200000000001</v>
      </c>
      <c r="Q31" s="258">
        <f t="shared" si="14"/>
        <v>0.13739200000000001</v>
      </c>
      <c r="R31" s="251">
        <f t="shared" si="15"/>
        <v>9055.8162556834322</v>
      </c>
      <c r="S31" s="305">
        <f t="shared" si="16"/>
        <v>10055.816255683432</v>
      </c>
      <c r="T31" s="290">
        <f>N31*M31*2</f>
        <v>0.496</v>
      </c>
      <c r="U31" s="46">
        <f>O31*M31*2</f>
        <v>1.1080000000000001</v>
      </c>
      <c r="V31" s="9"/>
      <c r="Y31" s="4"/>
    </row>
    <row r="32" spans="2:26" ht="17.399999999999999" x14ac:dyDescent="0.3">
      <c r="B32" s="430">
        <v>2</v>
      </c>
      <c r="C32" s="430" t="s">
        <v>287</v>
      </c>
      <c r="D32" s="431">
        <v>0.52400000000000002</v>
      </c>
      <c r="E32" s="431">
        <v>0.39100000000000001</v>
      </c>
      <c r="F32" s="431" t="s">
        <v>292</v>
      </c>
      <c r="G32" s="430" t="s">
        <v>288</v>
      </c>
      <c r="H32" s="432">
        <f t="shared" si="4"/>
        <v>15736.925160931676</v>
      </c>
      <c r="I32" s="432">
        <f t="shared" si="5"/>
        <v>31473.850321863352</v>
      </c>
      <c r="J32" s="306"/>
      <c r="K32" s="264"/>
      <c r="L32" s="47"/>
      <c r="M32" s="47">
        <f t="shared" si="10"/>
        <v>2</v>
      </c>
      <c r="N32" s="39">
        <f t="shared" si="11"/>
        <v>0.54400000000000004</v>
      </c>
      <c r="O32" s="39">
        <f t="shared" si="12"/>
        <v>0.41100000000000003</v>
      </c>
      <c r="P32" s="260">
        <f t="shared" si="13"/>
        <v>0.22358400000000003</v>
      </c>
      <c r="Q32" s="258">
        <f t="shared" si="14"/>
        <v>0.44716800000000007</v>
      </c>
      <c r="R32" s="251">
        <f t="shared" si="15"/>
        <v>14736.925160931676</v>
      </c>
      <c r="S32" s="305">
        <f t="shared" si="16"/>
        <v>15736.925160931676</v>
      </c>
      <c r="T32" s="290">
        <f>N32*M32*2</f>
        <v>2.1760000000000002</v>
      </c>
      <c r="U32" s="46">
        <f>O32*M32*2</f>
        <v>1.6440000000000001</v>
      </c>
      <c r="V32" s="9"/>
      <c r="Y32" s="4"/>
    </row>
    <row r="33" spans="2:25" ht="17.399999999999999" x14ac:dyDescent="0.3">
      <c r="B33" s="430">
        <v>18</v>
      </c>
      <c r="C33" s="430" t="s">
        <v>287</v>
      </c>
      <c r="D33" s="431">
        <v>0.53</v>
      </c>
      <c r="E33" s="431">
        <v>0.55000000000000004</v>
      </c>
      <c r="F33" s="431" t="s">
        <v>290</v>
      </c>
      <c r="G33" s="430" t="s">
        <v>288</v>
      </c>
      <c r="H33" s="432">
        <f t="shared" si="4"/>
        <v>21663.491296121727</v>
      </c>
      <c r="I33" s="432">
        <f t="shared" si="5"/>
        <v>389942.8433301911</v>
      </c>
      <c r="J33" s="306"/>
      <c r="K33" s="264"/>
      <c r="L33" s="47"/>
      <c r="M33" s="47">
        <f t="shared" si="10"/>
        <v>18</v>
      </c>
      <c r="N33" s="39">
        <f t="shared" si="11"/>
        <v>0.55000000000000004</v>
      </c>
      <c r="O33" s="39">
        <f t="shared" si="12"/>
        <v>0.57000000000000006</v>
      </c>
      <c r="P33" s="260">
        <f t="shared" si="13"/>
        <v>0.31350000000000006</v>
      </c>
      <c r="Q33" s="258">
        <f t="shared" si="14"/>
        <v>5.6430000000000007</v>
      </c>
      <c r="R33" s="251">
        <f t="shared" si="15"/>
        <v>20663.491296121727</v>
      </c>
      <c r="S33" s="305">
        <f t="shared" si="16"/>
        <v>21663.491296121727</v>
      </c>
      <c r="T33" s="290">
        <f>M33*N33</f>
        <v>9.9</v>
      </c>
      <c r="U33" s="46">
        <f>O33*M33</f>
        <v>10.260000000000002</v>
      </c>
      <c r="V33" s="9"/>
      <c r="Y33" s="4"/>
    </row>
    <row r="34" spans="2:25" ht="17.399999999999999" x14ac:dyDescent="0.3">
      <c r="B34" s="430">
        <v>9</v>
      </c>
      <c r="C34" s="430" t="s">
        <v>287</v>
      </c>
      <c r="D34" s="431">
        <v>0.53</v>
      </c>
      <c r="E34" s="431">
        <v>0.52300000000000002</v>
      </c>
      <c r="F34" s="431" t="s">
        <v>291</v>
      </c>
      <c r="G34" s="430" t="s">
        <v>288</v>
      </c>
      <c r="H34" s="432">
        <f t="shared" si="4"/>
        <v>20684.694339989645</v>
      </c>
      <c r="I34" s="432">
        <f t="shared" si="5"/>
        <v>186162.24905990681</v>
      </c>
      <c r="J34" s="306"/>
      <c r="K34" s="264"/>
      <c r="L34" s="47"/>
      <c r="M34" s="47">
        <f t="shared" si="10"/>
        <v>9</v>
      </c>
      <c r="N34" s="39">
        <f t="shared" si="11"/>
        <v>0.55000000000000004</v>
      </c>
      <c r="O34" s="39">
        <f t="shared" si="12"/>
        <v>0.54300000000000004</v>
      </c>
      <c r="P34" s="260">
        <f t="shared" si="13"/>
        <v>0.29865000000000003</v>
      </c>
      <c r="Q34" s="258">
        <f t="shared" si="14"/>
        <v>2.6878500000000001</v>
      </c>
      <c r="R34" s="251">
        <f t="shared" si="15"/>
        <v>19684.694339989645</v>
      </c>
      <c r="S34" s="305">
        <f t="shared" si="16"/>
        <v>20684.694339989645</v>
      </c>
      <c r="T34" s="290"/>
      <c r="U34" s="46">
        <f>O34*M34</f>
        <v>4.8870000000000005</v>
      </c>
      <c r="V34" s="9"/>
      <c r="Y34" s="4"/>
    </row>
    <row r="35" spans="2:25" ht="17.399999999999999" x14ac:dyDescent="0.3">
      <c r="B35" s="430">
        <v>18</v>
      </c>
      <c r="C35" s="430" t="s">
        <v>287</v>
      </c>
      <c r="D35" s="431">
        <v>0.14299999999999999</v>
      </c>
      <c r="E35" s="431">
        <v>0.376</v>
      </c>
      <c r="F35" s="431" t="s">
        <v>292</v>
      </c>
      <c r="G35" s="430" t="s">
        <v>288</v>
      </c>
      <c r="H35" s="432">
        <f t="shared" si="4"/>
        <v>5254.5041026541148</v>
      </c>
      <c r="I35" s="432">
        <f t="shared" si="5"/>
        <v>94581.073847774067</v>
      </c>
      <c r="J35" s="306"/>
      <c r="K35" s="264"/>
      <c r="L35" s="47"/>
      <c r="M35" s="47">
        <f t="shared" si="10"/>
        <v>18</v>
      </c>
      <c r="N35" s="39">
        <f t="shared" si="11"/>
        <v>0.16299999999999998</v>
      </c>
      <c r="O35" s="39">
        <f t="shared" si="12"/>
        <v>0.39600000000000002</v>
      </c>
      <c r="P35" s="260">
        <f t="shared" si="13"/>
        <v>6.4547999999999994E-2</v>
      </c>
      <c r="Q35" s="258">
        <f t="shared" si="14"/>
        <v>1.161864</v>
      </c>
      <c r="R35" s="251">
        <f t="shared" si="15"/>
        <v>4254.5041026541148</v>
      </c>
      <c r="S35" s="305">
        <f t="shared" si="16"/>
        <v>5254.5041026541148</v>
      </c>
      <c r="T35" s="290">
        <f>M35*N35*2</f>
        <v>5.8679999999999994</v>
      </c>
      <c r="U35" s="46">
        <f>O35*M35*2</f>
        <v>14.256</v>
      </c>
      <c r="V35" s="9"/>
      <c r="Y35" s="4"/>
    </row>
    <row r="36" spans="2:25" ht="17.399999999999999" x14ac:dyDescent="0.3">
      <c r="B36" s="430">
        <v>9</v>
      </c>
      <c r="C36" s="430" t="s">
        <v>287</v>
      </c>
      <c r="D36" s="431">
        <v>0.22800000000000001</v>
      </c>
      <c r="E36" s="431">
        <v>0.47599999999999998</v>
      </c>
      <c r="F36" s="431" t="s">
        <v>292</v>
      </c>
      <c r="G36" s="430" t="s">
        <v>288</v>
      </c>
      <c r="H36" s="432">
        <f t="shared" si="4"/>
        <v>9107.7344094205437</v>
      </c>
      <c r="I36" s="432">
        <f t="shared" si="5"/>
        <v>81969.609684784897</v>
      </c>
      <c r="J36" s="306"/>
      <c r="K36" s="264"/>
      <c r="L36" s="47"/>
      <c r="M36" s="47">
        <f t="shared" si="10"/>
        <v>9</v>
      </c>
      <c r="N36" s="39">
        <f t="shared" si="11"/>
        <v>0.248</v>
      </c>
      <c r="O36" s="39">
        <f t="shared" si="12"/>
        <v>0.496</v>
      </c>
      <c r="P36" s="260">
        <f t="shared" si="13"/>
        <v>0.12300799999999999</v>
      </c>
      <c r="Q36" s="258">
        <f t="shared" si="14"/>
        <v>1.1070719999999998</v>
      </c>
      <c r="R36" s="251">
        <f t="shared" si="15"/>
        <v>8107.7344094205446</v>
      </c>
      <c r="S36" s="305">
        <f t="shared" si="16"/>
        <v>9107.7344094205437</v>
      </c>
      <c r="T36" s="290"/>
      <c r="U36" s="46">
        <f>O36*M36</f>
        <v>4.4640000000000004</v>
      </c>
      <c r="V36" s="9"/>
      <c r="Y36" s="4"/>
    </row>
    <row r="37" spans="2:25" ht="17.399999999999999" x14ac:dyDescent="0.3">
      <c r="B37" s="430">
        <v>9</v>
      </c>
      <c r="C37" s="430" t="s">
        <v>287</v>
      </c>
      <c r="D37" s="431">
        <v>0.51400000000000001</v>
      </c>
      <c r="E37" s="431">
        <v>0.54100000000000004</v>
      </c>
      <c r="F37" s="431" t="s">
        <v>291</v>
      </c>
      <c r="G37" s="430" t="s">
        <v>288</v>
      </c>
      <c r="H37" s="432">
        <f t="shared" si="4"/>
        <v>20745.59726170453</v>
      </c>
      <c r="I37" s="432">
        <f t="shared" si="5"/>
        <v>186710.37535534077</v>
      </c>
      <c r="J37" s="306"/>
      <c r="K37" s="264"/>
      <c r="L37" s="47"/>
      <c r="M37" s="47">
        <f t="shared" si="10"/>
        <v>9</v>
      </c>
      <c r="N37" s="39">
        <f t="shared" si="11"/>
        <v>0.53400000000000003</v>
      </c>
      <c r="O37" s="39">
        <f t="shared" si="12"/>
        <v>0.56100000000000005</v>
      </c>
      <c r="P37" s="260">
        <f t="shared" si="13"/>
        <v>0.29957400000000006</v>
      </c>
      <c r="Q37" s="258">
        <f t="shared" si="14"/>
        <v>2.6961660000000007</v>
      </c>
      <c r="R37" s="251">
        <f t="shared" si="15"/>
        <v>19745.59726170453</v>
      </c>
      <c r="S37" s="305">
        <f t="shared" si="16"/>
        <v>20745.59726170453</v>
      </c>
      <c r="T37" s="290"/>
      <c r="U37" s="46">
        <f>O37*M37</f>
        <v>5.0490000000000004</v>
      </c>
      <c r="V37" s="9"/>
      <c r="Y37" s="4"/>
    </row>
    <row r="38" spans="2:25" ht="17.399999999999999" x14ac:dyDescent="0.3">
      <c r="B38" s="430">
        <v>18</v>
      </c>
      <c r="C38" s="430" t="s">
        <v>287</v>
      </c>
      <c r="D38" s="431">
        <v>0.53</v>
      </c>
      <c r="E38" s="431">
        <v>0.54100000000000004</v>
      </c>
      <c r="F38" s="431" t="s">
        <v>291</v>
      </c>
      <c r="G38" s="430" t="s">
        <v>288</v>
      </c>
      <c r="H38" s="432">
        <f t="shared" si="4"/>
        <v>21337.225644077698</v>
      </c>
      <c r="I38" s="432">
        <f t="shared" si="5"/>
        <v>384070.06159339857</v>
      </c>
      <c r="J38" s="306"/>
      <c r="K38" s="264"/>
      <c r="L38" s="47"/>
      <c r="M38" s="47">
        <f t="shared" si="10"/>
        <v>18</v>
      </c>
      <c r="N38" s="39">
        <f t="shared" si="11"/>
        <v>0.55000000000000004</v>
      </c>
      <c r="O38" s="39">
        <f t="shared" si="12"/>
        <v>0.56100000000000005</v>
      </c>
      <c r="P38" s="260">
        <f t="shared" si="13"/>
        <v>0.30855000000000005</v>
      </c>
      <c r="Q38" s="258">
        <f t="shared" si="14"/>
        <v>5.5539000000000005</v>
      </c>
      <c r="R38" s="251">
        <f t="shared" si="15"/>
        <v>20337.225644077698</v>
      </c>
      <c r="S38" s="305">
        <f t="shared" si="16"/>
        <v>21337.225644077698</v>
      </c>
      <c r="T38" s="290"/>
      <c r="U38" s="46">
        <f>O38*M38</f>
        <v>10.098000000000001</v>
      </c>
      <c r="V38" s="9"/>
      <c r="Y38" s="4"/>
    </row>
    <row r="39" spans="2:25" ht="17.399999999999999" x14ac:dyDescent="0.3">
      <c r="B39" s="430">
        <v>9</v>
      </c>
      <c r="C39" s="430" t="s">
        <v>287</v>
      </c>
      <c r="D39" s="431">
        <v>0.51400000000000001</v>
      </c>
      <c r="E39" s="431">
        <v>0.53100000000000003</v>
      </c>
      <c r="F39" s="431" t="s">
        <v>291</v>
      </c>
      <c r="G39" s="430" t="s">
        <v>288</v>
      </c>
      <c r="H39" s="432">
        <f t="shared" si="4"/>
        <v>20393.625831014611</v>
      </c>
      <c r="I39" s="432">
        <f t="shared" si="5"/>
        <v>183542.63247913151</v>
      </c>
      <c r="J39" s="306"/>
      <c r="K39" s="264"/>
      <c r="L39" s="47"/>
      <c r="M39" s="47">
        <f t="shared" si="10"/>
        <v>9</v>
      </c>
      <c r="N39" s="39">
        <f t="shared" si="11"/>
        <v>0.53400000000000003</v>
      </c>
      <c r="O39" s="39">
        <f t="shared" si="12"/>
        <v>0.55100000000000005</v>
      </c>
      <c r="P39" s="260">
        <f t="shared" si="13"/>
        <v>0.29423400000000005</v>
      </c>
      <c r="Q39" s="258">
        <f t="shared" si="14"/>
        <v>2.6481060000000003</v>
      </c>
      <c r="R39" s="251">
        <f t="shared" si="15"/>
        <v>19393.625831014611</v>
      </c>
      <c r="S39" s="305">
        <f t="shared" si="16"/>
        <v>20393.625831014611</v>
      </c>
      <c r="T39" s="290"/>
      <c r="U39" s="46"/>
      <c r="V39" s="9"/>
      <c r="Y39" s="4"/>
    </row>
    <row r="40" spans="2:25" ht="17.399999999999999" x14ac:dyDescent="0.3">
      <c r="B40" s="430">
        <v>18</v>
      </c>
      <c r="C40" s="430" t="s">
        <v>287</v>
      </c>
      <c r="D40" s="431">
        <v>0.52400000000000002</v>
      </c>
      <c r="E40" s="431">
        <v>0.36199999999999999</v>
      </c>
      <c r="F40" s="431" t="s">
        <v>292</v>
      </c>
      <c r="G40" s="430" t="s">
        <v>288</v>
      </c>
      <c r="H40" s="432">
        <f t="shared" si="4"/>
        <v>14697.093458578831</v>
      </c>
      <c r="I40" s="432">
        <f t="shared" si="5"/>
        <v>264547.68225441896</v>
      </c>
      <c r="J40" s="306"/>
      <c r="K40" s="264"/>
      <c r="L40" s="47"/>
      <c r="M40" s="47">
        <f t="shared" si="10"/>
        <v>18</v>
      </c>
      <c r="N40" s="39">
        <f t="shared" si="11"/>
        <v>0.54400000000000004</v>
      </c>
      <c r="O40" s="39">
        <f t="shared" si="12"/>
        <v>0.38200000000000001</v>
      </c>
      <c r="P40" s="260">
        <f t="shared" si="13"/>
        <v>0.20780800000000002</v>
      </c>
      <c r="Q40" s="258">
        <f t="shared" si="14"/>
        <v>3.7405440000000003</v>
      </c>
      <c r="R40" s="251">
        <f t="shared" si="15"/>
        <v>13697.093458578831</v>
      </c>
      <c r="S40" s="305">
        <f t="shared" si="16"/>
        <v>14697.093458578831</v>
      </c>
      <c r="T40" s="290">
        <f>N40*2*M40</f>
        <v>19.584000000000003</v>
      </c>
      <c r="U40" s="46">
        <f>O40*2*M40</f>
        <v>13.752000000000001</v>
      </c>
      <c r="V40" s="9"/>
      <c r="Y40" s="4"/>
    </row>
    <row r="41" spans="2:25" ht="17.399999999999999" x14ac:dyDescent="0.3">
      <c r="B41" s="430">
        <v>1</v>
      </c>
      <c r="C41" s="430" t="s">
        <v>287</v>
      </c>
      <c r="D41" s="431">
        <v>0.82</v>
      </c>
      <c r="E41" s="431">
        <v>0.56999999999999995</v>
      </c>
      <c r="F41" s="431" t="s">
        <v>291</v>
      </c>
      <c r="G41" s="430" t="s">
        <v>288</v>
      </c>
      <c r="H41" s="432">
        <f t="shared" si="4"/>
        <v>33666.11255616563</v>
      </c>
      <c r="I41" s="432">
        <f t="shared" si="5"/>
        <v>33666.11255616563</v>
      </c>
      <c r="J41" s="306"/>
      <c r="K41" s="264"/>
      <c r="L41" s="47"/>
      <c r="M41" s="47">
        <f t="shared" si="10"/>
        <v>1</v>
      </c>
      <c r="N41" s="39">
        <f t="shared" si="11"/>
        <v>0.84</v>
      </c>
      <c r="O41" s="39">
        <f t="shared" si="12"/>
        <v>0.59</v>
      </c>
      <c r="P41" s="260">
        <f t="shared" si="13"/>
        <v>0.49559999999999993</v>
      </c>
      <c r="Q41" s="258">
        <f t="shared" si="14"/>
        <v>0.49559999999999993</v>
      </c>
      <c r="R41" s="251">
        <f t="shared" si="15"/>
        <v>32666.11255616563</v>
      </c>
      <c r="S41" s="305">
        <f t="shared" si="16"/>
        <v>33666.11255616563</v>
      </c>
      <c r="T41" s="290"/>
      <c r="U41" s="46">
        <f>O41*M41</f>
        <v>0.59</v>
      </c>
      <c r="V41" s="9"/>
      <c r="Y41" s="4"/>
    </row>
    <row r="42" spans="2:25" ht="17.399999999999999" x14ac:dyDescent="0.3">
      <c r="B42" s="430">
        <v>1</v>
      </c>
      <c r="C42" s="430" t="s">
        <v>287</v>
      </c>
      <c r="D42" s="431">
        <v>0.192</v>
      </c>
      <c r="E42" s="431">
        <v>0.56699999999999995</v>
      </c>
      <c r="F42" s="431" t="s">
        <v>291</v>
      </c>
      <c r="G42" s="430" t="s">
        <v>288</v>
      </c>
      <c r="H42" s="432">
        <f t="shared" si="4"/>
        <v>9202.3844046397808</v>
      </c>
      <c r="I42" s="432">
        <f t="shared" si="5"/>
        <v>9202.3844046397808</v>
      </c>
      <c r="J42" s="306"/>
      <c r="K42" s="264"/>
      <c r="L42" s="47"/>
      <c r="M42" s="47">
        <f t="shared" si="10"/>
        <v>1</v>
      </c>
      <c r="N42" s="39">
        <f t="shared" si="11"/>
        <v>0.21199999999999999</v>
      </c>
      <c r="O42" s="39">
        <f t="shared" si="12"/>
        <v>0.58699999999999997</v>
      </c>
      <c r="P42" s="260">
        <f t="shared" si="13"/>
        <v>0.12444399999999999</v>
      </c>
      <c r="Q42" s="258">
        <f t="shared" si="14"/>
        <v>0.12444399999999999</v>
      </c>
      <c r="R42" s="251">
        <f t="shared" si="15"/>
        <v>8202.3844046397808</v>
      </c>
      <c r="S42" s="305">
        <f t="shared" si="16"/>
        <v>9202.3844046397808</v>
      </c>
      <c r="T42" s="290"/>
      <c r="U42" s="46">
        <f>O42*M42</f>
        <v>0.58699999999999997</v>
      </c>
      <c r="V42" s="9"/>
      <c r="Y42" s="4"/>
    </row>
    <row r="43" spans="2:25" ht="17.399999999999999" x14ac:dyDescent="0.3">
      <c r="B43" s="430">
        <v>2</v>
      </c>
      <c r="C43" s="430" t="s">
        <v>287</v>
      </c>
      <c r="D43" s="431">
        <v>0.71199999999999997</v>
      </c>
      <c r="E43" s="431">
        <v>0.56699999999999995</v>
      </c>
      <c r="F43" s="431" t="s">
        <v>291</v>
      </c>
      <c r="G43" s="430" t="s">
        <v>288</v>
      </c>
      <c r="H43" s="432">
        <f t="shared" si="4"/>
        <v>29321.440491492078</v>
      </c>
      <c r="I43" s="432">
        <f t="shared" si="5"/>
        <v>58642.880982984156</v>
      </c>
      <c r="J43" s="306"/>
      <c r="K43" s="264"/>
      <c r="L43" s="47"/>
      <c r="M43" s="47">
        <f t="shared" si="10"/>
        <v>2</v>
      </c>
      <c r="N43" s="39">
        <f t="shared" si="11"/>
        <v>0.73199999999999998</v>
      </c>
      <c r="O43" s="39">
        <f t="shared" si="12"/>
        <v>0.58699999999999997</v>
      </c>
      <c r="P43" s="260">
        <f t="shared" si="13"/>
        <v>0.42968399999999995</v>
      </c>
      <c r="Q43" s="258">
        <f t="shared" si="14"/>
        <v>0.85936799999999991</v>
      </c>
      <c r="R43" s="251">
        <f t="shared" si="15"/>
        <v>28321.440491492078</v>
      </c>
      <c r="S43" s="305">
        <f t="shared" si="16"/>
        <v>29321.440491492078</v>
      </c>
      <c r="T43" s="290"/>
      <c r="U43" s="46">
        <f>O43*M43</f>
        <v>1.1739999999999999</v>
      </c>
      <c r="V43" s="9"/>
      <c r="Y43" s="4"/>
    </row>
    <row r="44" spans="2:25" ht="17.399999999999999" x14ac:dyDescent="0.3">
      <c r="B44" s="430">
        <v>3</v>
      </c>
      <c r="C44" s="430" t="s">
        <v>287</v>
      </c>
      <c r="D44" s="431">
        <v>0.156</v>
      </c>
      <c r="E44" s="431">
        <v>0.55700000000000005</v>
      </c>
      <c r="F44" s="431" t="s">
        <v>291</v>
      </c>
      <c r="G44" s="430" t="s">
        <v>288</v>
      </c>
      <c r="H44" s="432">
        <f t="shared" si="4"/>
        <v>7693.5211103787988</v>
      </c>
      <c r="I44" s="432">
        <f t="shared" si="5"/>
        <v>23080.563331136396</v>
      </c>
      <c r="J44" s="306"/>
      <c r="K44" s="264"/>
      <c r="L44" s="47"/>
      <c r="M44" s="47">
        <f t="shared" si="10"/>
        <v>3</v>
      </c>
      <c r="N44" s="39">
        <f t="shared" si="11"/>
        <v>0.17599999999999999</v>
      </c>
      <c r="O44" s="39">
        <f t="shared" si="12"/>
        <v>0.57700000000000007</v>
      </c>
      <c r="P44" s="260">
        <f t="shared" si="13"/>
        <v>0.101552</v>
      </c>
      <c r="Q44" s="258">
        <f t="shared" si="14"/>
        <v>0.30465600000000004</v>
      </c>
      <c r="R44" s="251">
        <f t="shared" si="15"/>
        <v>6693.5211103787988</v>
      </c>
      <c r="S44" s="305">
        <f t="shared" si="16"/>
        <v>7693.5211103787988</v>
      </c>
      <c r="T44" s="290"/>
      <c r="U44" s="46">
        <f>O44*M44</f>
        <v>1.7310000000000003</v>
      </c>
      <c r="V44" s="9"/>
      <c r="Y44" s="4"/>
    </row>
    <row r="45" spans="2:25" ht="17.399999999999999" x14ac:dyDescent="0.3">
      <c r="B45" s="430">
        <v>1</v>
      </c>
      <c r="C45" s="430" t="s">
        <v>287</v>
      </c>
      <c r="D45" s="431">
        <v>7.0000000000000007E-2</v>
      </c>
      <c r="E45" s="431">
        <v>0.156</v>
      </c>
      <c r="F45" s="431" t="s">
        <v>291</v>
      </c>
      <c r="G45" s="430" t="s">
        <v>288</v>
      </c>
      <c r="H45" s="432">
        <f t="shared" si="4"/>
        <v>2044.0500865408872</v>
      </c>
      <c r="I45" s="432">
        <f t="shared" si="5"/>
        <v>2044.0500865408872</v>
      </c>
      <c r="J45" s="306"/>
      <c r="K45" s="264"/>
      <c r="L45" s="47"/>
      <c r="M45" s="47">
        <f t="shared" si="10"/>
        <v>1</v>
      </c>
      <c r="N45" s="39">
        <f t="shared" si="11"/>
        <v>9.0000000000000011E-2</v>
      </c>
      <c r="O45" s="39">
        <f t="shared" si="12"/>
        <v>0.17599999999999999</v>
      </c>
      <c r="P45" s="260">
        <f t="shared" si="13"/>
        <v>1.584E-2</v>
      </c>
      <c r="Q45" s="258">
        <f t="shared" si="14"/>
        <v>1.584E-2</v>
      </c>
      <c r="R45" s="251">
        <f t="shared" si="15"/>
        <v>1044.0500865408872</v>
      </c>
      <c r="S45" s="305">
        <f t="shared" si="16"/>
        <v>2044.0500865408872</v>
      </c>
      <c r="T45" s="290"/>
      <c r="U45" s="46">
        <f>O45*M45</f>
        <v>0.17599999999999999</v>
      </c>
      <c r="V45" s="9"/>
      <c r="Y45" s="4"/>
    </row>
    <row r="46" spans="2:25" ht="17.399999999999999" x14ac:dyDescent="0.3">
      <c r="B46" s="430">
        <v>2</v>
      </c>
      <c r="C46" s="430" t="s">
        <v>287</v>
      </c>
      <c r="D46" s="431">
        <v>0.69699999999999995</v>
      </c>
      <c r="E46" s="431">
        <v>0.378</v>
      </c>
      <c r="F46" s="431" t="s">
        <v>292</v>
      </c>
      <c r="G46" s="430" t="s">
        <v>288</v>
      </c>
      <c r="H46" s="432">
        <f t="shared" si="4"/>
        <v>19809.115971958763</v>
      </c>
      <c r="I46" s="432">
        <f t="shared" si="5"/>
        <v>39618.231943917526</v>
      </c>
      <c r="J46" s="306"/>
      <c r="K46" s="264"/>
      <c r="L46" s="47"/>
      <c r="M46" s="47">
        <f t="shared" si="10"/>
        <v>2</v>
      </c>
      <c r="N46" s="39">
        <f t="shared" si="11"/>
        <v>0.71699999999999997</v>
      </c>
      <c r="O46" s="39">
        <f t="shared" si="12"/>
        <v>0.39800000000000002</v>
      </c>
      <c r="P46" s="260">
        <f t="shared" si="13"/>
        <v>0.28536600000000001</v>
      </c>
      <c r="Q46" s="258">
        <f t="shared" si="14"/>
        <v>0.57073200000000002</v>
      </c>
      <c r="R46" s="251">
        <f t="shared" si="15"/>
        <v>18809.115971958763</v>
      </c>
      <c r="S46" s="305">
        <f t="shared" si="16"/>
        <v>19809.115971958763</v>
      </c>
      <c r="T46" s="290">
        <f>N46*2*M46</f>
        <v>2.8679999999999999</v>
      </c>
      <c r="U46" s="46">
        <f>O46*2*M46</f>
        <v>1.5920000000000001</v>
      </c>
      <c r="V46" s="9"/>
      <c r="Y46" s="4"/>
    </row>
    <row r="47" spans="2:25" ht="17.399999999999999" x14ac:dyDescent="0.3">
      <c r="B47" s="430">
        <v>4</v>
      </c>
      <c r="C47" s="430" t="s">
        <v>287</v>
      </c>
      <c r="D47" s="431">
        <v>0.17199999999999999</v>
      </c>
      <c r="E47" s="431">
        <v>0.503</v>
      </c>
      <c r="F47" s="431" t="s">
        <v>291</v>
      </c>
      <c r="G47" s="430" t="s">
        <v>288</v>
      </c>
      <c r="H47" s="432">
        <f t="shared" si="4"/>
        <v>7618.644791041017</v>
      </c>
      <c r="I47" s="432">
        <f t="shared" si="5"/>
        <v>30474.579164164068</v>
      </c>
      <c r="J47" s="306"/>
      <c r="K47" s="264"/>
      <c r="L47" s="47"/>
      <c r="M47" s="47">
        <f t="shared" si="10"/>
        <v>4</v>
      </c>
      <c r="N47" s="39">
        <f t="shared" si="11"/>
        <v>0.19199999999999998</v>
      </c>
      <c r="O47" s="39">
        <f t="shared" si="12"/>
        <v>0.52300000000000002</v>
      </c>
      <c r="P47" s="260">
        <f t="shared" si="13"/>
        <v>0.10041599999999999</v>
      </c>
      <c r="Q47" s="258">
        <f t="shared" si="14"/>
        <v>0.40166399999999997</v>
      </c>
      <c r="R47" s="251">
        <f t="shared" si="15"/>
        <v>6618.644791041017</v>
      </c>
      <c r="S47" s="305">
        <f t="shared" si="16"/>
        <v>7618.644791041017</v>
      </c>
      <c r="T47" s="290"/>
      <c r="U47" s="46">
        <f t="shared" ref="U47:U53" si="19">O47*M47</f>
        <v>2.0920000000000001</v>
      </c>
      <c r="V47" s="9"/>
      <c r="Y47" s="4"/>
    </row>
    <row r="48" spans="2:25" ht="17.399999999999999" x14ac:dyDescent="0.3">
      <c r="B48" s="430">
        <v>1</v>
      </c>
      <c r="C48" s="430" t="s">
        <v>287</v>
      </c>
      <c r="D48" s="431">
        <v>0.82</v>
      </c>
      <c r="E48" s="431">
        <v>0.56999999999999995</v>
      </c>
      <c r="F48" s="431" t="s">
        <v>291</v>
      </c>
      <c r="G48" s="430" t="s">
        <v>288</v>
      </c>
      <c r="H48" s="432">
        <f t="shared" si="4"/>
        <v>33666.11255616563</v>
      </c>
      <c r="I48" s="432">
        <f t="shared" si="5"/>
        <v>33666.11255616563</v>
      </c>
      <c r="J48" s="306"/>
      <c r="K48" s="264"/>
      <c r="L48" s="47"/>
      <c r="M48" s="47">
        <f t="shared" si="10"/>
        <v>1</v>
      </c>
      <c r="N48" s="39">
        <f t="shared" si="11"/>
        <v>0.84</v>
      </c>
      <c r="O48" s="39">
        <f t="shared" si="12"/>
        <v>0.59</v>
      </c>
      <c r="P48" s="260">
        <f t="shared" si="13"/>
        <v>0.49559999999999993</v>
      </c>
      <c r="Q48" s="258">
        <f t="shared" si="14"/>
        <v>0.49559999999999993</v>
      </c>
      <c r="R48" s="251">
        <f t="shared" si="15"/>
        <v>32666.11255616563</v>
      </c>
      <c r="S48" s="305">
        <f t="shared" si="16"/>
        <v>33666.11255616563</v>
      </c>
      <c r="T48" s="290"/>
      <c r="U48" s="46">
        <f t="shared" si="19"/>
        <v>0.59</v>
      </c>
      <c r="V48" s="9"/>
      <c r="Y48" s="4"/>
    </row>
    <row r="49" spans="2:25" ht="17.399999999999999" x14ac:dyDescent="0.3">
      <c r="B49" s="430">
        <v>1</v>
      </c>
      <c r="C49" s="430" t="s">
        <v>287</v>
      </c>
      <c r="D49" s="431">
        <v>0.23599999999999999</v>
      </c>
      <c r="E49" s="431">
        <v>0.56699999999999995</v>
      </c>
      <c r="F49" s="431" t="s">
        <v>291</v>
      </c>
      <c r="G49" s="430" t="s">
        <v>288</v>
      </c>
      <c r="H49" s="432">
        <f t="shared" si="4"/>
        <v>10904.766073527284</v>
      </c>
      <c r="I49" s="432">
        <f t="shared" si="5"/>
        <v>10904.766073527284</v>
      </c>
      <c r="J49" s="306"/>
      <c r="K49" s="264"/>
      <c r="L49" s="47"/>
      <c r="M49" s="47">
        <f t="shared" si="10"/>
        <v>1</v>
      </c>
      <c r="N49" s="39">
        <f t="shared" si="11"/>
        <v>0.25600000000000001</v>
      </c>
      <c r="O49" s="39">
        <f t="shared" si="12"/>
        <v>0.58699999999999997</v>
      </c>
      <c r="P49" s="260">
        <f t="shared" si="13"/>
        <v>0.15027199999999999</v>
      </c>
      <c r="Q49" s="258">
        <f t="shared" si="14"/>
        <v>0.15027199999999999</v>
      </c>
      <c r="R49" s="251">
        <f t="shared" si="15"/>
        <v>9904.7660735272839</v>
      </c>
      <c r="S49" s="305">
        <f t="shared" si="16"/>
        <v>10904.766073527284</v>
      </c>
      <c r="T49" s="290"/>
      <c r="U49" s="46">
        <f t="shared" si="19"/>
        <v>0.58699999999999997</v>
      </c>
      <c r="V49" s="9"/>
      <c r="Y49" s="4"/>
    </row>
    <row r="50" spans="2:25" ht="17.399999999999999" x14ac:dyDescent="0.3">
      <c r="B50" s="430">
        <v>2</v>
      </c>
      <c r="C50" s="430" t="s">
        <v>287</v>
      </c>
      <c r="D50" s="431">
        <v>0.71199999999999997</v>
      </c>
      <c r="E50" s="431">
        <v>0.56699999999999995</v>
      </c>
      <c r="F50" s="431" t="s">
        <v>291</v>
      </c>
      <c r="G50" s="430" t="s">
        <v>288</v>
      </c>
      <c r="H50" s="432">
        <f t="shared" si="4"/>
        <v>29321.440491492078</v>
      </c>
      <c r="I50" s="432">
        <f t="shared" si="5"/>
        <v>58642.880982984156</v>
      </c>
      <c r="J50" s="306"/>
      <c r="K50" s="264"/>
      <c r="L50" s="47"/>
      <c r="M50" s="47">
        <f t="shared" si="10"/>
        <v>2</v>
      </c>
      <c r="N50" s="39">
        <f t="shared" si="11"/>
        <v>0.73199999999999998</v>
      </c>
      <c r="O50" s="39">
        <f t="shared" si="12"/>
        <v>0.58699999999999997</v>
      </c>
      <c r="P50" s="260">
        <f t="shared" si="13"/>
        <v>0.42968399999999995</v>
      </c>
      <c r="Q50" s="258">
        <f t="shared" si="14"/>
        <v>0.85936799999999991</v>
      </c>
      <c r="R50" s="251">
        <f t="shared" si="15"/>
        <v>28321.440491492078</v>
      </c>
      <c r="S50" s="305">
        <f t="shared" si="16"/>
        <v>29321.440491492078</v>
      </c>
      <c r="T50" s="290"/>
      <c r="U50" s="46">
        <f t="shared" si="19"/>
        <v>1.1739999999999999</v>
      </c>
      <c r="V50" s="9"/>
      <c r="Y50" s="4"/>
    </row>
    <row r="51" spans="2:25" ht="17.399999999999999" x14ac:dyDescent="0.3">
      <c r="B51" s="430">
        <v>3</v>
      </c>
      <c r="C51" s="430" t="s">
        <v>287</v>
      </c>
      <c r="D51" s="431">
        <v>0.2</v>
      </c>
      <c r="E51" s="431">
        <v>0.55700000000000005</v>
      </c>
      <c r="F51" s="431" t="s">
        <v>291</v>
      </c>
      <c r="G51" s="430" t="s">
        <v>288</v>
      </c>
      <c r="H51" s="432">
        <f t="shared" si="4"/>
        <v>9366.9013879734994</v>
      </c>
      <c r="I51" s="432">
        <f t="shared" si="5"/>
        <v>28100.704163920498</v>
      </c>
      <c r="J51" s="306"/>
      <c r="K51" s="264"/>
      <c r="L51" s="47"/>
      <c r="M51" s="47">
        <f t="shared" si="10"/>
        <v>3</v>
      </c>
      <c r="N51" s="39">
        <f t="shared" si="11"/>
        <v>0.22</v>
      </c>
      <c r="O51" s="39">
        <f t="shared" si="12"/>
        <v>0.57700000000000007</v>
      </c>
      <c r="P51" s="260">
        <f t="shared" si="13"/>
        <v>0.12694000000000003</v>
      </c>
      <c r="Q51" s="258">
        <f t="shared" si="14"/>
        <v>0.38082000000000005</v>
      </c>
      <c r="R51" s="251">
        <f t="shared" si="15"/>
        <v>8366.9013879734994</v>
      </c>
      <c r="S51" s="305">
        <f t="shared" si="16"/>
        <v>9366.9013879734994</v>
      </c>
      <c r="T51" s="290"/>
      <c r="U51" s="46">
        <f t="shared" si="19"/>
        <v>1.7310000000000003</v>
      </c>
      <c r="V51" s="9"/>
      <c r="Y51" s="4"/>
    </row>
    <row r="52" spans="2:25" ht="17.399999999999999" x14ac:dyDescent="0.3">
      <c r="B52" s="430">
        <v>1</v>
      </c>
      <c r="C52" s="430" t="s">
        <v>287</v>
      </c>
      <c r="D52" s="431">
        <v>7.0000000000000007E-2</v>
      </c>
      <c r="E52" s="431">
        <v>0.2</v>
      </c>
      <c r="F52" s="431" t="s">
        <v>291</v>
      </c>
      <c r="G52" s="430" t="s">
        <v>288</v>
      </c>
      <c r="H52" s="432">
        <f t="shared" si="4"/>
        <v>2305.0626081761093</v>
      </c>
      <c r="I52" s="432">
        <f t="shared" si="5"/>
        <v>2305.0626081761093</v>
      </c>
      <c r="J52" s="306"/>
      <c r="K52" s="264"/>
      <c r="L52" s="47"/>
      <c r="M52" s="47">
        <f t="shared" si="10"/>
        <v>1</v>
      </c>
      <c r="N52" s="39">
        <f t="shared" si="11"/>
        <v>9.0000000000000011E-2</v>
      </c>
      <c r="O52" s="39">
        <f t="shared" si="12"/>
        <v>0.22</v>
      </c>
      <c r="P52" s="260">
        <f t="shared" si="13"/>
        <v>1.9800000000000002E-2</v>
      </c>
      <c r="Q52" s="258">
        <f t="shared" si="14"/>
        <v>1.9800000000000002E-2</v>
      </c>
      <c r="R52" s="251">
        <f t="shared" si="15"/>
        <v>1305.0626081761091</v>
      </c>
      <c r="S52" s="305">
        <f t="shared" si="16"/>
        <v>2305.0626081761093</v>
      </c>
      <c r="T52" s="290"/>
      <c r="U52" s="46">
        <f t="shared" si="19"/>
        <v>0.22</v>
      </c>
      <c r="V52" s="9"/>
      <c r="Y52" s="4"/>
    </row>
    <row r="53" spans="2:25" ht="17.399999999999999" x14ac:dyDescent="0.3">
      <c r="B53" s="430">
        <v>1</v>
      </c>
      <c r="C53" s="430" t="s">
        <v>287</v>
      </c>
      <c r="D53" s="431">
        <v>7.0000000000000007E-2</v>
      </c>
      <c r="E53" s="431">
        <v>1.294</v>
      </c>
      <c r="F53" s="431" t="s">
        <v>291</v>
      </c>
      <c r="G53" s="430" t="s">
        <v>288</v>
      </c>
      <c r="H53" s="432">
        <f t="shared" si="4"/>
        <v>8794.7830324700335</v>
      </c>
      <c r="I53" s="432">
        <f t="shared" si="5"/>
        <v>8794.7830324700335</v>
      </c>
      <c r="J53" s="306"/>
      <c r="K53" s="264"/>
      <c r="L53" s="47"/>
      <c r="M53" s="47">
        <f t="shared" si="10"/>
        <v>1</v>
      </c>
      <c r="N53" s="39">
        <f t="shared" si="11"/>
        <v>9.0000000000000011E-2</v>
      </c>
      <c r="O53" s="39">
        <f t="shared" si="12"/>
        <v>1.3140000000000001</v>
      </c>
      <c r="P53" s="260">
        <f t="shared" si="13"/>
        <v>0.11826000000000002</v>
      </c>
      <c r="Q53" s="258">
        <f t="shared" si="14"/>
        <v>0.11826000000000002</v>
      </c>
      <c r="R53" s="251">
        <f t="shared" si="15"/>
        <v>7794.7830324700335</v>
      </c>
      <c r="S53" s="305">
        <f t="shared" si="16"/>
        <v>8794.7830324700335</v>
      </c>
      <c r="T53" s="290"/>
      <c r="U53" s="46">
        <f t="shared" si="19"/>
        <v>1.3140000000000001</v>
      </c>
      <c r="V53" s="9"/>
      <c r="Y53" s="4"/>
    </row>
    <row r="54" spans="2:25" ht="17.399999999999999" x14ac:dyDescent="0.3">
      <c r="B54" s="430">
        <v>2</v>
      </c>
      <c r="C54" s="430" t="s">
        <v>287</v>
      </c>
      <c r="D54" s="431">
        <v>0.69699999999999995</v>
      </c>
      <c r="E54" s="431">
        <v>0.378</v>
      </c>
      <c r="F54" s="431" t="s">
        <v>292</v>
      </c>
      <c r="G54" s="430" t="s">
        <v>288</v>
      </c>
      <c r="H54" s="432">
        <f t="shared" si="4"/>
        <v>19809.115971958763</v>
      </c>
      <c r="I54" s="432">
        <f t="shared" si="5"/>
        <v>39618.231943917526</v>
      </c>
      <c r="J54" s="306"/>
      <c r="K54" s="264"/>
      <c r="L54" s="47"/>
      <c r="M54" s="47">
        <f t="shared" si="10"/>
        <v>2</v>
      </c>
      <c r="N54" s="39">
        <f t="shared" si="11"/>
        <v>0.71699999999999997</v>
      </c>
      <c r="O54" s="39">
        <f t="shared" si="12"/>
        <v>0.39800000000000002</v>
      </c>
      <c r="P54" s="260">
        <f t="shared" si="13"/>
        <v>0.28536600000000001</v>
      </c>
      <c r="Q54" s="258">
        <f t="shared" si="14"/>
        <v>0.57073200000000002</v>
      </c>
      <c r="R54" s="251">
        <f t="shared" si="15"/>
        <v>18809.115971958763</v>
      </c>
      <c r="S54" s="305">
        <f t="shared" si="16"/>
        <v>19809.115971958763</v>
      </c>
      <c r="T54" s="290">
        <f>N54*2+M54</f>
        <v>3.4340000000000002</v>
      </c>
      <c r="U54" s="46">
        <f>O54*2*M54</f>
        <v>1.5920000000000001</v>
      </c>
      <c r="V54" s="9"/>
      <c r="Y54" s="4"/>
    </row>
    <row r="55" spans="2:25" ht="17.399999999999999" x14ac:dyDescent="0.3">
      <c r="B55" s="430">
        <v>4</v>
      </c>
      <c r="C55" s="430" t="s">
        <v>287</v>
      </c>
      <c r="D55" s="431">
        <v>0.17199999999999999</v>
      </c>
      <c r="E55" s="431">
        <v>0.56299999999999994</v>
      </c>
      <c r="F55" s="431" t="s">
        <v>292</v>
      </c>
      <c r="G55" s="430" t="s">
        <v>288</v>
      </c>
      <c r="H55" s="432">
        <f t="shared" si="4"/>
        <v>8377.9539448889336</v>
      </c>
      <c r="I55" s="432">
        <f t="shared" si="5"/>
        <v>33511.815779555734</v>
      </c>
      <c r="J55" s="306"/>
      <c r="K55" s="264"/>
      <c r="L55" s="47"/>
      <c r="M55" s="47">
        <f t="shared" si="10"/>
        <v>4</v>
      </c>
      <c r="N55" s="39">
        <f t="shared" si="11"/>
        <v>0.19199999999999998</v>
      </c>
      <c r="O55" s="39">
        <f t="shared" si="12"/>
        <v>0.58299999999999996</v>
      </c>
      <c r="P55" s="260">
        <f t="shared" si="13"/>
        <v>0.11193599999999998</v>
      </c>
      <c r="Q55" s="258">
        <f t="shared" si="14"/>
        <v>0.44774399999999992</v>
      </c>
      <c r="R55" s="251">
        <f t="shared" si="15"/>
        <v>7377.9539448889345</v>
      </c>
      <c r="S55" s="305">
        <f t="shared" si="16"/>
        <v>8377.9539448889336</v>
      </c>
      <c r="T55" s="290">
        <f>N55*2+M55</f>
        <v>4.3840000000000003</v>
      </c>
      <c r="U55" s="46">
        <f>O55*2*M55</f>
        <v>4.6639999999999997</v>
      </c>
      <c r="V55" s="9"/>
      <c r="Y55" s="4"/>
    </row>
    <row r="56" spans="2:25" ht="17.399999999999999" x14ac:dyDescent="0.3">
      <c r="B56" s="430">
        <v>2</v>
      </c>
      <c r="C56" s="430" t="s">
        <v>287</v>
      </c>
      <c r="D56" s="431">
        <v>0.14499999999999999</v>
      </c>
      <c r="E56" s="431">
        <v>0.53400000000000003</v>
      </c>
      <c r="F56" s="431" t="s">
        <v>292</v>
      </c>
      <c r="G56" s="430" t="s">
        <v>288</v>
      </c>
      <c r="H56" s="432">
        <f t="shared" si="4"/>
        <v>7025.0390410797017</v>
      </c>
      <c r="I56" s="432">
        <f t="shared" si="5"/>
        <v>14050.078082159403</v>
      </c>
      <c r="J56" s="306"/>
      <c r="K56" s="264"/>
      <c r="L56" s="47"/>
      <c r="M56" s="47">
        <f t="shared" si="10"/>
        <v>2</v>
      </c>
      <c r="N56" s="39">
        <f t="shared" si="11"/>
        <v>0.16499999999999998</v>
      </c>
      <c r="O56" s="39">
        <f t="shared" si="12"/>
        <v>0.55400000000000005</v>
      </c>
      <c r="P56" s="260">
        <f t="shared" si="13"/>
        <v>9.1409999999999991E-2</v>
      </c>
      <c r="Q56" s="258">
        <f t="shared" si="14"/>
        <v>0.18281999999999998</v>
      </c>
      <c r="R56" s="251">
        <f t="shared" si="15"/>
        <v>6025.0390410797017</v>
      </c>
      <c r="S56" s="305">
        <f t="shared" si="16"/>
        <v>7025.0390410797017</v>
      </c>
      <c r="T56" s="290">
        <f t="shared" ref="T56:T57" si="20">N56*2+M56</f>
        <v>2.33</v>
      </c>
      <c r="U56" s="46">
        <f t="shared" ref="U56:U57" si="21">O56*2*M56</f>
        <v>2.2160000000000002</v>
      </c>
      <c r="V56" s="9"/>
      <c r="Y56" s="4"/>
    </row>
    <row r="57" spans="2:25" ht="17.399999999999999" x14ac:dyDescent="0.3">
      <c r="B57" s="430">
        <v>1</v>
      </c>
      <c r="C57" s="430" t="s">
        <v>287</v>
      </c>
      <c r="D57" s="431">
        <v>0.22800000000000001</v>
      </c>
      <c r="E57" s="431">
        <v>0.53400000000000003</v>
      </c>
      <c r="F57" s="431" t="s">
        <v>292</v>
      </c>
      <c r="G57" s="430" t="s">
        <v>288</v>
      </c>
      <c r="H57" s="432">
        <f t="shared" si="4"/>
        <v>10055.816255683432</v>
      </c>
      <c r="I57" s="432">
        <f t="shared" si="5"/>
        <v>10055.816255683432</v>
      </c>
      <c r="J57" s="306"/>
      <c r="K57" s="264"/>
      <c r="L57" s="47"/>
      <c r="M57" s="47">
        <f t="shared" si="10"/>
        <v>1</v>
      </c>
      <c r="N57" s="39">
        <f t="shared" si="11"/>
        <v>0.248</v>
      </c>
      <c r="O57" s="39">
        <f t="shared" si="12"/>
        <v>0.55400000000000005</v>
      </c>
      <c r="P57" s="260">
        <f t="shared" si="13"/>
        <v>0.13739200000000001</v>
      </c>
      <c r="Q57" s="258">
        <f t="shared" si="14"/>
        <v>0.13739200000000001</v>
      </c>
      <c r="R57" s="251">
        <f t="shared" si="15"/>
        <v>9055.8162556834322</v>
      </c>
      <c r="S57" s="305">
        <f t="shared" si="16"/>
        <v>10055.816255683432</v>
      </c>
      <c r="T57" s="290">
        <f t="shared" si="20"/>
        <v>1.496</v>
      </c>
      <c r="U57" s="46">
        <f t="shared" si="21"/>
        <v>1.1080000000000001</v>
      </c>
      <c r="V57" s="9"/>
      <c r="Y57" s="4"/>
    </row>
    <row r="58" spans="2:25" ht="17.399999999999999" x14ac:dyDescent="0.3">
      <c r="B58" s="430">
        <v>1</v>
      </c>
      <c r="C58" s="430" t="s">
        <v>287</v>
      </c>
      <c r="D58" s="431">
        <v>1.214</v>
      </c>
      <c r="E58" s="431">
        <v>0.1</v>
      </c>
      <c r="F58" s="431" t="s">
        <v>291</v>
      </c>
      <c r="G58" s="430" t="s">
        <v>288</v>
      </c>
      <c r="H58" s="432">
        <f t="shared" si="4"/>
        <v>10760.286415086779</v>
      </c>
      <c r="I58" s="432">
        <f t="shared" si="5"/>
        <v>10760.286415086779</v>
      </c>
      <c r="J58" s="306"/>
      <c r="K58" s="264"/>
      <c r="L58" s="47"/>
      <c r="M58" s="47">
        <f t="shared" si="10"/>
        <v>1</v>
      </c>
      <c r="N58" s="39">
        <f t="shared" si="11"/>
        <v>1.234</v>
      </c>
      <c r="O58" s="39">
        <f t="shared" si="12"/>
        <v>0.12000000000000001</v>
      </c>
      <c r="P58" s="260">
        <f t="shared" si="13"/>
        <v>0.14808000000000002</v>
      </c>
      <c r="Q58" s="258">
        <f t="shared" si="14"/>
        <v>0.14808000000000002</v>
      </c>
      <c r="R58" s="251">
        <f t="shared" si="15"/>
        <v>9760.286415086779</v>
      </c>
      <c r="S58" s="305">
        <f t="shared" si="16"/>
        <v>10760.286415086779</v>
      </c>
      <c r="T58" s="290"/>
      <c r="U58" s="46">
        <f t="shared" ref="U58:U60" si="22">O58*M58</f>
        <v>0.12000000000000001</v>
      </c>
      <c r="V58" s="9"/>
      <c r="Y58" s="4"/>
    </row>
    <row r="59" spans="2:25" ht="17.399999999999999" x14ac:dyDescent="0.3">
      <c r="B59" s="430">
        <v>1</v>
      </c>
      <c r="C59" s="430" t="s">
        <v>287</v>
      </c>
      <c r="D59" s="431">
        <v>1.214</v>
      </c>
      <c r="E59" s="431">
        <v>0.54100000000000004</v>
      </c>
      <c r="F59" s="431" t="s">
        <v>291</v>
      </c>
      <c r="G59" s="430" t="s">
        <v>288</v>
      </c>
      <c r="H59" s="432">
        <f t="shared" si="4"/>
        <v>46629.33899053069</v>
      </c>
      <c r="I59" s="432">
        <f t="shared" si="5"/>
        <v>46629.33899053069</v>
      </c>
      <c r="J59" s="306"/>
      <c r="K59" s="264"/>
      <c r="L59" s="47"/>
      <c r="M59" s="47">
        <f t="shared" si="10"/>
        <v>1</v>
      </c>
      <c r="N59" s="39">
        <f t="shared" si="11"/>
        <v>1.234</v>
      </c>
      <c r="O59" s="39">
        <f t="shared" si="12"/>
        <v>0.56100000000000005</v>
      </c>
      <c r="P59" s="260">
        <f t="shared" si="13"/>
        <v>0.69227400000000006</v>
      </c>
      <c r="Q59" s="258">
        <f t="shared" si="14"/>
        <v>0.69227400000000006</v>
      </c>
      <c r="R59" s="251">
        <f t="shared" si="15"/>
        <v>45629.33899053069</v>
      </c>
      <c r="S59" s="305">
        <f t="shared" si="16"/>
        <v>46629.33899053069</v>
      </c>
      <c r="T59" s="290"/>
      <c r="U59" s="46">
        <f t="shared" si="22"/>
        <v>0.56100000000000005</v>
      </c>
      <c r="V59" s="9"/>
      <c r="Y59" s="4"/>
    </row>
    <row r="60" spans="2:25" ht="17.399999999999999" x14ac:dyDescent="0.3">
      <c r="B60" s="430">
        <v>2</v>
      </c>
      <c r="C60" s="430" t="s">
        <v>287</v>
      </c>
      <c r="D60" s="431">
        <v>0.53</v>
      </c>
      <c r="E60" s="431">
        <v>0.54100000000000004</v>
      </c>
      <c r="F60" s="431" t="s">
        <v>291</v>
      </c>
      <c r="G60" s="430" t="s">
        <v>288</v>
      </c>
      <c r="H60" s="432">
        <f t="shared" si="4"/>
        <v>21337.225644077698</v>
      </c>
      <c r="I60" s="432">
        <f t="shared" si="5"/>
        <v>42674.451288155396</v>
      </c>
      <c r="J60" s="306"/>
      <c r="K60" s="264"/>
      <c r="L60" s="47"/>
      <c r="M60" s="47">
        <f t="shared" si="10"/>
        <v>2</v>
      </c>
      <c r="N60" s="39">
        <f t="shared" si="11"/>
        <v>0.55000000000000004</v>
      </c>
      <c r="O60" s="39">
        <f t="shared" si="12"/>
        <v>0.56100000000000005</v>
      </c>
      <c r="P60" s="260">
        <f t="shared" si="13"/>
        <v>0.30855000000000005</v>
      </c>
      <c r="Q60" s="258">
        <f t="shared" si="14"/>
        <v>0.61710000000000009</v>
      </c>
      <c r="R60" s="251">
        <f t="shared" si="15"/>
        <v>20337.225644077698</v>
      </c>
      <c r="S60" s="305">
        <f t="shared" si="16"/>
        <v>21337.225644077698</v>
      </c>
      <c r="T60" s="290"/>
      <c r="U60" s="46">
        <f t="shared" si="22"/>
        <v>1.1220000000000001</v>
      </c>
      <c r="V60" s="9"/>
      <c r="Y60" s="4"/>
    </row>
    <row r="61" spans="2:25" ht="17.399999999999999" x14ac:dyDescent="0.3">
      <c r="B61" s="430">
        <v>2</v>
      </c>
      <c r="C61" s="430" t="s">
        <v>287</v>
      </c>
      <c r="D61" s="431">
        <v>0.52400000000000002</v>
      </c>
      <c r="E61" s="431">
        <v>0.39100000000000001</v>
      </c>
      <c r="F61" s="431" t="s">
        <v>292</v>
      </c>
      <c r="G61" s="430" t="s">
        <v>288</v>
      </c>
      <c r="H61" s="432">
        <f t="shared" si="4"/>
        <v>15736.925160931676</v>
      </c>
      <c r="I61" s="432">
        <f t="shared" si="5"/>
        <v>31473.850321863352</v>
      </c>
      <c r="J61" s="306"/>
      <c r="K61" s="264"/>
      <c r="L61" s="47"/>
      <c r="M61" s="47">
        <f t="shared" si="10"/>
        <v>2</v>
      </c>
      <c r="N61" s="39">
        <f t="shared" si="11"/>
        <v>0.54400000000000004</v>
      </c>
      <c r="O61" s="39">
        <f t="shared" si="12"/>
        <v>0.41100000000000003</v>
      </c>
      <c r="P61" s="260">
        <f t="shared" si="13"/>
        <v>0.22358400000000003</v>
      </c>
      <c r="Q61" s="258">
        <f t="shared" si="14"/>
        <v>0.44716800000000007</v>
      </c>
      <c r="R61" s="251">
        <f t="shared" si="15"/>
        <v>14736.925160931676</v>
      </c>
      <c r="S61" s="305">
        <f t="shared" si="16"/>
        <v>15736.925160931676</v>
      </c>
      <c r="T61" s="290">
        <f t="shared" ref="T61" si="23">N61*2+M61</f>
        <v>3.0880000000000001</v>
      </c>
      <c r="U61" s="46">
        <f t="shared" ref="U61" si="24">O61*2*M61</f>
        <v>1.6440000000000001</v>
      </c>
      <c r="V61" s="9"/>
      <c r="Y61" s="4"/>
    </row>
    <row r="62" spans="2:25" ht="17.399999999999999" x14ac:dyDescent="0.3">
      <c r="B62" s="430">
        <v>1</v>
      </c>
      <c r="C62" s="430" t="s">
        <v>287</v>
      </c>
      <c r="D62" s="431">
        <v>1.1739999999999999</v>
      </c>
      <c r="E62" s="431">
        <v>0.1</v>
      </c>
      <c r="F62" s="431" t="s">
        <v>291</v>
      </c>
      <c r="G62" s="430" t="s">
        <v>288</v>
      </c>
      <c r="H62" s="432">
        <f t="shared" si="4"/>
        <v>10443.907600983481</v>
      </c>
      <c r="I62" s="432">
        <f t="shared" si="5"/>
        <v>10443.907600983481</v>
      </c>
      <c r="J62" s="306"/>
      <c r="K62" s="264"/>
      <c r="L62" s="47"/>
      <c r="M62" s="47">
        <f t="shared" si="10"/>
        <v>1</v>
      </c>
      <c r="N62" s="39">
        <f t="shared" si="11"/>
        <v>1.194</v>
      </c>
      <c r="O62" s="39">
        <f t="shared" si="12"/>
        <v>0.12000000000000001</v>
      </c>
      <c r="P62" s="260">
        <f t="shared" si="13"/>
        <v>0.14328000000000002</v>
      </c>
      <c r="Q62" s="258">
        <f t="shared" si="14"/>
        <v>0.14328000000000002</v>
      </c>
      <c r="R62" s="251">
        <f t="shared" si="15"/>
        <v>9443.9076009834807</v>
      </c>
      <c r="S62" s="305">
        <f t="shared" si="16"/>
        <v>10443.907600983481</v>
      </c>
      <c r="T62" s="290"/>
      <c r="U62" s="46">
        <f>O62</f>
        <v>0.12000000000000001</v>
      </c>
      <c r="V62" s="9"/>
      <c r="Y62" s="4"/>
    </row>
    <row r="63" spans="2:25" ht="17.399999999999999" x14ac:dyDescent="0.3">
      <c r="B63" s="430">
        <v>1</v>
      </c>
      <c r="C63" s="430" t="s">
        <v>287</v>
      </c>
      <c r="D63" s="431">
        <v>1.1739999999999999</v>
      </c>
      <c r="E63" s="431">
        <v>0.54100000000000004</v>
      </c>
      <c r="F63" s="431" t="s">
        <v>291</v>
      </c>
      <c r="G63" s="430" t="s">
        <v>288</v>
      </c>
      <c r="H63" s="432">
        <f t="shared" si="4"/>
        <v>45150.268034597764</v>
      </c>
      <c r="I63" s="432">
        <f t="shared" si="5"/>
        <v>45150.268034597764</v>
      </c>
      <c r="J63" s="306"/>
      <c r="K63" s="264"/>
      <c r="L63" s="47"/>
      <c r="M63" s="47">
        <f t="shared" si="10"/>
        <v>1</v>
      </c>
      <c r="N63" s="39">
        <f t="shared" si="11"/>
        <v>1.194</v>
      </c>
      <c r="O63" s="39">
        <f t="shared" si="12"/>
        <v>0.56100000000000005</v>
      </c>
      <c r="P63" s="260">
        <f t="shared" si="13"/>
        <v>0.66983400000000004</v>
      </c>
      <c r="Q63" s="258">
        <f t="shared" si="14"/>
        <v>0.66983400000000004</v>
      </c>
      <c r="R63" s="251">
        <f t="shared" si="15"/>
        <v>44150.268034597764</v>
      </c>
      <c r="S63" s="305">
        <f t="shared" si="16"/>
        <v>45150.268034597764</v>
      </c>
      <c r="T63" s="290"/>
      <c r="U63" s="46">
        <f t="shared" ref="U63" si="25">O63</f>
        <v>0.56100000000000005</v>
      </c>
      <c r="V63" s="9"/>
      <c r="Y63" s="4"/>
    </row>
    <row r="64" spans="2:25" ht="17.399999999999999" x14ac:dyDescent="0.3">
      <c r="B64" s="430">
        <v>2</v>
      </c>
      <c r="C64" s="430" t="s">
        <v>287</v>
      </c>
      <c r="D64" s="431">
        <v>0.53</v>
      </c>
      <c r="E64" s="431">
        <v>0.54100000000000004</v>
      </c>
      <c r="F64" s="431" t="s">
        <v>291</v>
      </c>
      <c r="G64" s="430" t="s">
        <v>288</v>
      </c>
      <c r="H64" s="432">
        <f t="shared" si="4"/>
        <v>21337.225644077698</v>
      </c>
      <c r="I64" s="432">
        <f t="shared" si="5"/>
        <v>42674.451288155396</v>
      </c>
      <c r="J64" s="306"/>
      <c r="K64" s="264"/>
      <c r="L64" s="47"/>
      <c r="M64" s="47">
        <f t="shared" si="10"/>
        <v>2</v>
      </c>
      <c r="N64" s="39">
        <f t="shared" si="11"/>
        <v>0.55000000000000004</v>
      </c>
      <c r="O64" s="39">
        <f t="shared" si="12"/>
        <v>0.56100000000000005</v>
      </c>
      <c r="P64" s="260">
        <f t="shared" si="13"/>
        <v>0.30855000000000005</v>
      </c>
      <c r="Q64" s="258">
        <f t="shared" si="14"/>
        <v>0.61710000000000009</v>
      </c>
      <c r="R64" s="251">
        <f t="shared" si="15"/>
        <v>20337.225644077698</v>
      </c>
      <c r="S64" s="305">
        <f t="shared" si="16"/>
        <v>21337.225644077698</v>
      </c>
      <c r="T64" s="290"/>
      <c r="U64" s="46">
        <f>O64*M64</f>
        <v>1.1220000000000001</v>
      </c>
      <c r="V64" s="9"/>
      <c r="Y64" s="4"/>
    </row>
    <row r="65" spans="1:25" ht="17.399999999999999" x14ac:dyDescent="0.3">
      <c r="B65" s="430">
        <v>4</v>
      </c>
      <c r="C65" s="430" t="s">
        <v>287</v>
      </c>
      <c r="D65" s="431">
        <v>0.69699999999999995</v>
      </c>
      <c r="E65" s="431">
        <v>0.45900000000000002</v>
      </c>
      <c r="F65" s="431" t="s">
        <v>292</v>
      </c>
      <c r="G65" s="430" t="s">
        <v>288</v>
      </c>
      <c r="H65" s="432">
        <f t="shared" si="4"/>
        <v>23637.101885849868</v>
      </c>
      <c r="I65" s="432">
        <f t="shared" si="5"/>
        <v>94548.407543399473</v>
      </c>
      <c r="J65" s="306"/>
      <c r="K65" s="264"/>
      <c r="L65" s="47"/>
      <c r="M65" s="47">
        <f t="shared" si="10"/>
        <v>4</v>
      </c>
      <c r="N65" s="39">
        <f t="shared" si="11"/>
        <v>0.71699999999999997</v>
      </c>
      <c r="O65" s="39">
        <f t="shared" si="12"/>
        <v>0.47900000000000004</v>
      </c>
      <c r="P65" s="260">
        <f t="shared" si="13"/>
        <v>0.343443</v>
      </c>
      <c r="Q65" s="258">
        <f t="shared" si="14"/>
        <v>1.373772</v>
      </c>
      <c r="R65" s="251">
        <f t="shared" si="15"/>
        <v>22637.101885849868</v>
      </c>
      <c r="S65" s="305">
        <f t="shared" si="16"/>
        <v>23637.101885849868</v>
      </c>
      <c r="T65" s="290">
        <f>N65*2+M65</f>
        <v>5.4340000000000002</v>
      </c>
      <c r="U65" s="46">
        <f t="shared" ref="U65" si="26">O65*2*M65</f>
        <v>3.8320000000000003</v>
      </c>
      <c r="V65" s="9"/>
      <c r="Y65" s="4"/>
    </row>
    <row r="66" spans="1:25" ht="17.399999999999999" x14ac:dyDescent="0.3">
      <c r="B66" s="430">
        <v>4</v>
      </c>
      <c r="C66" s="430" t="s">
        <v>287</v>
      </c>
      <c r="D66" s="431">
        <v>0.82</v>
      </c>
      <c r="E66" s="431">
        <v>0.56999999999999995</v>
      </c>
      <c r="F66" s="431" t="s">
        <v>291</v>
      </c>
      <c r="G66" s="430" t="s">
        <v>288</v>
      </c>
      <c r="H66" s="432">
        <f t="shared" si="4"/>
        <v>33666.11255616563</v>
      </c>
      <c r="I66" s="432">
        <f t="shared" si="5"/>
        <v>134664.45022466252</v>
      </c>
      <c r="J66" s="306"/>
      <c r="K66" s="264"/>
      <c r="L66" s="47"/>
      <c r="M66" s="47">
        <f t="shared" si="10"/>
        <v>4</v>
      </c>
      <c r="N66" s="39">
        <f t="shared" si="11"/>
        <v>0.84</v>
      </c>
      <c r="O66" s="39">
        <f t="shared" si="12"/>
        <v>0.59</v>
      </c>
      <c r="P66" s="260">
        <f t="shared" si="13"/>
        <v>0.49559999999999993</v>
      </c>
      <c r="Q66" s="258">
        <f t="shared" si="14"/>
        <v>1.9823999999999997</v>
      </c>
      <c r="R66" s="251">
        <f t="shared" si="15"/>
        <v>32666.11255616563</v>
      </c>
      <c r="S66" s="305">
        <f t="shared" si="16"/>
        <v>33666.11255616563</v>
      </c>
      <c r="T66" s="290"/>
      <c r="U66" s="46">
        <f>O66*M66</f>
        <v>2.36</v>
      </c>
      <c r="V66" s="9"/>
      <c r="Y66" s="4"/>
    </row>
    <row r="67" spans="1:25" ht="17.399999999999999" x14ac:dyDescent="0.3">
      <c r="B67" s="430">
        <v>2</v>
      </c>
      <c r="C67" s="430" t="s">
        <v>287</v>
      </c>
      <c r="D67" s="431">
        <v>7.0000000000000007E-2</v>
      </c>
      <c r="E67" s="431">
        <v>1.2150000000000001</v>
      </c>
      <c r="F67" s="431" t="s">
        <v>291</v>
      </c>
      <c r="G67" s="430" t="s">
        <v>288</v>
      </c>
      <c r="H67" s="432">
        <f t="shared" si="4"/>
        <v>8326.1469140795234</v>
      </c>
      <c r="I67" s="432">
        <f t="shared" si="5"/>
        <v>16652.293828159047</v>
      </c>
      <c r="J67" s="306"/>
      <c r="K67" s="264"/>
      <c r="L67" s="47"/>
      <c r="M67" s="47">
        <f t="shared" si="10"/>
        <v>2</v>
      </c>
      <c r="N67" s="39">
        <f t="shared" si="11"/>
        <v>9.0000000000000011E-2</v>
      </c>
      <c r="O67" s="39">
        <f t="shared" si="12"/>
        <v>1.2350000000000001</v>
      </c>
      <c r="P67" s="260">
        <f t="shared" si="13"/>
        <v>0.11115000000000003</v>
      </c>
      <c r="Q67" s="258">
        <f t="shared" si="14"/>
        <v>0.22230000000000005</v>
      </c>
      <c r="R67" s="251">
        <f t="shared" si="15"/>
        <v>7326.1469140795225</v>
      </c>
      <c r="S67" s="305">
        <f t="shared" si="16"/>
        <v>8326.1469140795234</v>
      </c>
      <c r="T67" s="290"/>
      <c r="U67" s="46">
        <f>O67*M67</f>
        <v>2.4700000000000002</v>
      </c>
      <c r="V67" s="9"/>
      <c r="Y67" s="4"/>
    </row>
    <row r="68" spans="1:25" ht="17.399999999999999" x14ac:dyDescent="0.3">
      <c r="B68" s="430">
        <v>4</v>
      </c>
      <c r="C68" s="430" t="s">
        <v>287</v>
      </c>
      <c r="D68" s="431">
        <v>0.69699999999999995</v>
      </c>
      <c r="E68" s="431">
        <v>0.45900000000000002</v>
      </c>
      <c r="F68" s="431" t="s">
        <v>292</v>
      </c>
      <c r="G68" s="430" t="s">
        <v>288</v>
      </c>
      <c r="H68" s="432">
        <f t="shared" si="4"/>
        <v>23637.101885849868</v>
      </c>
      <c r="I68" s="432">
        <f t="shared" si="5"/>
        <v>94548.407543399473</v>
      </c>
      <c r="J68" s="306"/>
      <c r="K68" s="264"/>
      <c r="L68" s="47"/>
      <c r="M68" s="47">
        <f t="shared" si="10"/>
        <v>4</v>
      </c>
      <c r="N68" s="39">
        <f t="shared" si="11"/>
        <v>0.71699999999999997</v>
      </c>
      <c r="O68" s="39">
        <f t="shared" si="12"/>
        <v>0.47900000000000004</v>
      </c>
      <c r="P68" s="260">
        <f t="shared" si="13"/>
        <v>0.343443</v>
      </c>
      <c r="Q68" s="258">
        <f t="shared" si="14"/>
        <v>1.373772</v>
      </c>
      <c r="R68" s="251">
        <f t="shared" si="15"/>
        <v>22637.101885849868</v>
      </c>
      <c r="S68" s="305">
        <f t="shared" si="16"/>
        <v>23637.101885849868</v>
      </c>
      <c r="T68" s="290">
        <f>N68*2*M68</f>
        <v>5.7359999999999998</v>
      </c>
      <c r="U68" s="46">
        <f>O68*2*M68</f>
        <v>3.8320000000000003</v>
      </c>
      <c r="V68" s="9"/>
      <c r="Y68" s="4"/>
    </row>
    <row r="69" spans="1:25" ht="17.399999999999999" x14ac:dyDescent="0.3">
      <c r="B69" s="430">
        <v>2</v>
      </c>
      <c r="C69" s="430" t="s">
        <v>287</v>
      </c>
      <c r="D69" s="431">
        <v>0.69699999999999995</v>
      </c>
      <c r="E69" s="431">
        <v>0.45300000000000001</v>
      </c>
      <c r="F69" s="431" t="s">
        <v>292</v>
      </c>
      <c r="G69" s="430" t="s">
        <v>288</v>
      </c>
      <c r="H69" s="432">
        <f t="shared" si="4"/>
        <v>23353.547373709785</v>
      </c>
      <c r="I69" s="432">
        <f t="shared" si="5"/>
        <v>46707.094747419571</v>
      </c>
      <c r="J69" s="306"/>
      <c r="K69" s="264"/>
      <c r="L69" s="47"/>
      <c r="M69" s="47">
        <f t="shared" si="10"/>
        <v>2</v>
      </c>
      <c r="N69" s="39">
        <f t="shared" si="11"/>
        <v>0.71699999999999997</v>
      </c>
      <c r="O69" s="39">
        <f t="shared" si="12"/>
        <v>0.47300000000000003</v>
      </c>
      <c r="P69" s="260">
        <f t="shared" si="13"/>
        <v>0.33914100000000003</v>
      </c>
      <c r="Q69" s="258">
        <f t="shared" si="14"/>
        <v>0.67828200000000005</v>
      </c>
      <c r="R69" s="251">
        <f t="shared" si="15"/>
        <v>22353.547373709785</v>
      </c>
      <c r="S69" s="305">
        <f t="shared" si="16"/>
        <v>23353.547373709785</v>
      </c>
      <c r="T69" s="290">
        <f t="shared" ref="T69:T70" si="27">N69*2*M69</f>
        <v>2.8679999999999999</v>
      </c>
      <c r="U69" s="46">
        <f t="shared" ref="U69:U70" si="28">O69*2*M69</f>
        <v>1.8920000000000001</v>
      </c>
      <c r="V69" s="9"/>
      <c r="Y69" s="4"/>
    </row>
    <row r="70" spans="1:25" ht="17.399999999999999" x14ac:dyDescent="0.3">
      <c r="B70" s="430">
        <v>8</v>
      </c>
      <c r="C70" s="430" t="s">
        <v>287</v>
      </c>
      <c r="D70" s="431">
        <v>0.17199999999999999</v>
      </c>
      <c r="E70" s="431">
        <v>0.503</v>
      </c>
      <c r="F70" s="431" t="s">
        <v>292</v>
      </c>
      <c r="G70" s="430" t="s">
        <v>288</v>
      </c>
      <c r="H70" s="432">
        <f t="shared" si="4"/>
        <v>7618.644791041017</v>
      </c>
      <c r="I70" s="432">
        <f t="shared" si="5"/>
        <v>60949.158328328136</v>
      </c>
      <c r="J70" s="306"/>
      <c r="K70" s="264"/>
      <c r="L70" s="47"/>
      <c r="M70" s="47">
        <f t="shared" si="10"/>
        <v>8</v>
      </c>
      <c r="N70" s="39">
        <f t="shared" si="11"/>
        <v>0.19199999999999998</v>
      </c>
      <c r="O70" s="39">
        <f t="shared" si="12"/>
        <v>0.52300000000000002</v>
      </c>
      <c r="P70" s="260">
        <f t="shared" si="13"/>
        <v>0.10041599999999999</v>
      </c>
      <c r="Q70" s="258">
        <f t="shared" si="14"/>
        <v>0.80332799999999993</v>
      </c>
      <c r="R70" s="251">
        <f t="shared" si="15"/>
        <v>6618.644791041017</v>
      </c>
      <c r="S70" s="305">
        <f t="shared" si="16"/>
        <v>7618.644791041017</v>
      </c>
      <c r="T70" s="290">
        <f t="shared" si="27"/>
        <v>3.0719999999999996</v>
      </c>
      <c r="U70" s="46">
        <f t="shared" si="28"/>
        <v>8.3680000000000003</v>
      </c>
      <c r="V70" s="9"/>
      <c r="Y70" s="4"/>
    </row>
    <row r="71" spans="1:25" ht="17.399999999999999" x14ac:dyDescent="0.3">
      <c r="B71" s="283">
        <f>SUM(B21:B70)</f>
        <v>403</v>
      </c>
      <c r="C71" s="283"/>
      <c r="D71" s="284"/>
      <c r="E71" s="284"/>
      <c r="F71" s="284"/>
      <c r="G71" s="283"/>
      <c r="H71" s="306"/>
      <c r="I71" s="306"/>
      <c r="J71" s="306"/>
      <c r="K71" s="264"/>
      <c r="L71" s="47"/>
      <c r="M71" s="47"/>
      <c r="N71" s="39"/>
      <c r="O71" s="39"/>
      <c r="P71" s="260"/>
      <c r="Q71" s="258"/>
      <c r="R71" s="251"/>
      <c r="S71" s="305"/>
      <c r="T71" s="290"/>
      <c r="U71" s="46"/>
      <c r="V71" s="9"/>
      <c r="Y71" s="4"/>
    </row>
    <row r="72" spans="1:25" ht="18" thickBot="1" x14ac:dyDescent="0.35">
      <c r="B72" s="283"/>
      <c r="C72" s="283"/>
      <c r="D72" s="284"/>
      <c r="E72" s="284"/>
      <c r="F72" s="284"/>
      <c r="G72" s="283"/>
      <c r="H72" s="264"/>
      <c r="I72" s="307"/>
      <c r="J72" s="309"/>
      <c r="K72" s="233"/>
      <c r="L72" s="47"/>
      <c r="M72" s="47"/>
      <c r="N72" s="39"/>
      <c r="O72" s="39"/>
      <c r="P72" s="260"/>
      <c r="Q72" s="258"/>
      <c r="R72" s="251"/>
      <c r="S72" s="257"/>
      <c r="T72" s="290"/>
      <c r="U72" s="14"/>
      <c r="V72" s="9"/>
      <c r="Y72" s="4"/>
    </row>
    <row r="73" spans="1:25" ht="17.399999999999999" x14ac:dyDescent="0.3">
      <c r="B73" s="283"/>
      <c r="C73" s="283"/>
      <c r="D73" s="284"/>
      <c r="E73" s="284"/>
      <c r="F73" s="284"/>
      <c r="G73" s="283"/>
      <c r="H73" s="310" t="s">
        <v>28</v>
      </c>
      <c r="I73" s="311">
        <f>SUM(I21:I72)</f>
        <v>6714110.8739839997</v>
      </c>
      <c r="J73" s="308"/>
      <c r="K73" s="264"/>
      <c r="L73" s="47">
        <v>2600000</v>
      </c>
      <c r="M73" s="47"/>
      <c r="N73" s="39"/>
      <c r="O73" s="39"/>
      <c r="P73" s="260"/>
      <c r="Q73" s="258"/>
      <c r="R73" s="251"/>
      <c r="S73" s="257"/>
      <c r="T73" s="290"/>
      <c r="U73" s="46">
        <f>SUM(U21:U72)</f>
        <v>206.94600000000011</v>
      </c>
      <c r="V73" s="9"/>
      <c r="Y73" s="4"/>
    </row>
    <row r="74" spans="1:25" ht="17.399999999999999" x14ac:dyDescent="0.3">
      <c r="B74" s="277"/>
      <c r="C74" s="280"/>
      <c r="D74" s="281"/>
      <c r="E74" s="281"/>
      <c r="F74" s="281"/>
      <c r="G74" s="282"/>
      <c r="H74" s="289" t="s">
        <v>51</v>
      </c>
      <c r="I74" s="287">
        <f>I73*19%</f>
        <v>1275681.06605696</v>
      </c>
      <c r="J74" s="308"/>
      <c r="K74" s="264"/>
      <c r="L74" s="47"/>
      <c r="M74" s="47"/>
      <c r="N74" s="39">
        <f>SUM(N21:N73)</f>
        <v>27.635999999999999</v>
      </c>
      <c r="O74" s="12"/>
      <c r="P74" s="12"/>
      <c r="Q74" s="252">
        <f>SUM(Q21:Q71)</f>
        <v>95.750191999999998</v>
      </c>
      <c r="R74" s="14"/>
      <c r="S74" s="12"/>
      <c r="T74" s="239"/>
      <c r="U74" s="46"/>
      <c r="V74" s="9"/>
      <c r="Y74" s="4"/>
    </row>
    <row r="75" spans="1:25" ht="18" thickBot="1" x14ac:dyDescent="0.35">
      <c r="B75" s="274"/>
      <c r="C75" s="279"/>
      <c r="D75" s="271"/>
      <c r="E75" s="271"/>
      <c r="F75" s="271"/>
      <c r="G75" s="272"/>
      <c r="H75" s="278" t="s">
        <v>6</v>
      </c>
      <c r="I75" s="288">
        <f>I73+I74</f>
        <v>7989791.94004096</v>
      </c>
      <c r="J75" s="308"/>
      <c r="K75" s="264"/>
      <c r="L75" s="47"/>
      <c r="M75" s="47"/>
      <c r="N75" s="39"/>
      <c r="O75" s="12"/>
      <c r="P75" s="12"/>
      <c r="Q75" s="252">
        <f>Q74</f>
        <v>95.750191999999998</v>
      </c>
      <c r="R75" s="14"/>
      <c r="S75" s="12"/>
      <c r="T75" s="239">
        <f>SUM(T21:T74)</f>
        <v>226.08599999999996</v>
      </c>
      <c r="U75" s="46"/>
      <c r="V75" s="9"/>
      <c r="Y75" s="4"/>
    </row>
    <row r="76" spans="1:25" ht="17.399999999999999" x14ac:dyDescent="0.3">
      <c r="B76" s="274"/>
      <c r="C76" s="270"/>
      <c r="D76" s="271"/>
      <c r="E76" s="271"/>
      <c r="F76" s="271"/>
      <c r="G76" s="272"/>
      <c r="K76" s="264"/>
      <c r="L76" s="47"/>
      <c r="M76" s="47"/>
      <c r="N76" s="14"/>
      <c r="O76" s="12"/>
      <c r="P76" s="12"/>
      <c r="Q76" s="39">
        <f>Q75*20%</f>
        <v>19.1500384</v>
      </c>
      <c r="R76" s="39" t="s">
        <v>128</v>
      </c>
      <c r="S76" s="42"/>
      <c r="T76" s="240">
        <f>T75+U73</f>
        <v>433.03200000000004</v>
      </c>
      <c r="U76" s="14"/>
      <c r="V76" s="9"/>
      <c r="Y76" s="4"/>
    </row>
    <row r="77" spans="1:25" ht="17.399999999999999" x14ac:dyDescent="0.35">
      <c r="B77" s="268"/>
      <c r="C77" s="230"/>
      <c r="D77" s="230"/>
      <c r="E77" s="233"/>
      <c r="F77" s="233"/>
      <c r="G77" s="234"/>
      <c r="H77" s="230"/>
      <c r="I77" s="273"/>
      <c r="J77" s="273"/>
      <c r="K77" s="264"/>
      <c r="L77" s="47"/>
      <c r="M77" s="47"/>
      <c r="N77" s="14"/>
      <c r="O77" s="12"/>
      <c r="P77" s="12"/>
      <c r="Q77" s="46">
        <f>Q75+Q76</f>
        <v>114.9002304</v>
      </c>
      <c r="R77" s="14"/>
      <c r="S77" s="14"/>
      <c r="T77" s="238">
        <f>T76*20%</f>
        <v>86.606400000000008</v>
      </c>
      <c r="U77" s="14"/>
      <c r="V77" s="9"/>
      <c r="Y77" s="4"/>
    </row>
    <row r="78" spans="1:25" ht="17.399999999999999" x14ac:dyDescent="0.35">
      <c r="B78" s="235"/>
      <c r="C78" s="236"/>
      <c r="D78" s="237"/>
      <c r="E78" s="235"/>
      <c r="F78" s="235"/>
      <c r="G78" s="230"/>
      <c r="H78" s="230"/>
      <c r="J78" s="273"/>
      <c r="K78" s="264"/>
      <c r="L78" s="47"/>
      <c r="M78" s="47"/>
      <c r="N78" s="14"/>
      <c r="O78" s="14"/>
      <c r="P78" s="14"/>
      <c r="Q78" s="14"/>
      <c r="R78" s="14"/>
      <c r="S78" s="14"/>
      <c r="T78" s="240">
        <f>T76+T77</f>
        <v>519.63840000000005</v>
      </c>
      <c r="U78" s="14"/>
      <c r="V78" s="294" t="s">
        <v>21</v>
      </c>
      <c r="W78" s="291" t="s">
        <v>148</v>
      </c>
      <c r="X78" s="295">
        <v>44971</v>
      </c>
      <c r="Y78" s="296"/>
    </row>
    <row r="79" spans="1:25" ht="17.399999999999999" x14ac:dyDescent="0.35">
      <c r="B79" s="230"/>
      <c r="C79" s="230"/>
      <c r="D79" s="230"/>
      <c r="E79" s="230"/>
      <c r="F79" s="230"/>
      <c r="G79" s="230"/>
      <c r="H79" s="230"/>
      <c r="K79" s="264"/>
      <c r="L79" s="47"/>
      <c r="M79" s="47"/>
      <c r="N79" s="39">
        <f>Q77*2</f>
        <v>229.8004608</v>
      </c>
      <c r="O79" s="12">
        <v>3500</v>
      </c>
      <c r="P79" s="12">
        <f t="shared" ref="P79:P84" si="29">N79*O79</f>
        <v>804301.6128</v>
      </c>
      <c r="Q79" s="14" t="s">
        <v>21</v>
      </c>
      <c r="R79" s="14"/>
      <c r="S79" s="14"/>
      <c r="T79" s="241"/>
      <c r="U79" s="14"/>
      <c r="V79" s="294" t="s">
        <v>149</v>
      </c>
      <c r="W79" s="291">
        <v>3625</v>
      </c>
      <c r="X79" s="59" t="s">
        <v>150</v>
      </c>
      <c r="Y79" s="296"/>
    </row>
    <row r="80" spans="1:25" ht="17.399999999999999" x14ac:dyDescent="0.35">
      <c r="A80" s="230"/>
      <c r="B80" s="230"/>
      <c r="C80" s="230"/>
      <c r="D80" s="230"/>
      <c r="E80" s="230"/>
      <c r="F80" s="230"/>
      <c r="G80" s="230"/>
      <c r="H80" s="230"/>
      <c r="I80" s="230"/>
      <c r="K80" s="264"/>
      <c r="L80" s="47"/>
      <c r="M80" s="47"/>
      <c r="N80" s="248">
        <v>31</v>
      </c>
      <c r="O80" s="12">
        <v>23500</v>
      </c>
      <c r="P80" s="12">
        <f t="shared" si="29"/>
        <v>728500</v>
      </c>
      <c r="Q80" s="39" t="s">
        <v>31</v>
      </c>
      <c r="R80" s="42"/>
      <c r="S80" s="14"/>
      <c r="T80" s="240"/>
      <c r="U80" s="14"/>
      <c r="V80" s="294"/>
      <c r="W80" s="59">
        <v>906.25</v>
      </c>
      <c r="X80" s="59" t="s">
        <v>151</v>
      </c>
      <c r="Y80" s="296"/>
    </row>
    <row r="81" spans="1:25" s="230" customFormat="1" ht="17.399999999999999" x14ac:dyDescent="0.35">
      <c r="B81" s="24" t="s">
        <v>147</v>
      </c>
      <c r="K81" s="261"/>
      <c r="L81" s="232"/>
      <c r="M81" s="249"/>
      <c r="N81" s="14">
        <v>30</v>
      </c>
      <c r="O81" s="249">
        <v>15700</v>
      </c>
      <c r="P81" s="12">
        <f t="shared" si="29"/>
        <v>471000</v>
      </c>
      <c r="Q81" s="39" t="s">
        <v>30</v>
      </c>
      <c r="R81" s="42"/>
      <c r="T81" s="240"/>
      <c r="U81" s="255"/>
      <c r="V81" s="59"/>
      <c r="W81" s="59">
        <f>W80*20%</f>
        <v>181.25</v>
      </c>
      <c r="X81" s="296" t="s">
        <v>152</v>
      </c>
      <c r="Y81" s="59"/>
    </row>
    <row r="82" spans="1:25" s="230" customFormat="1" ht="17.399999999999999" x14ac:dyDescent="0.35">
      <c r="B82" s="24" t="s">
        <v>161</v>
      </c>
      <c r="C82"/>
      <c r="D82"/>
      <c r="E82"/>
      <c r="F82"/>
      <c r="G82"/>
      <c r="K82" s="261"/>
      <c r="L82" s="232"/>
      <c r="M82" s="249"/>
      <c r="N82" s="14">
        <v>30</v>
      </c>
      <c r="O82" s="249">
        <v>28500</v>
      </c>
      <c r="P82" s="12">
        <f t="shared" si="29"/>
        <v>855000</v>
      </c>
      <c r="Q82" s="14" t="s">
        <v>138</v>
      </c>
      <c r="R82" s="17"/>
      <c r="T82" s="238"/>
      <c r="U82" s="255"/>
      <c r="V82" s="59"/>
      <c r="W82" s="59">
        <f>W80+W81</f>
        <v>1087.5</v>
      </c>
      <c r="X82" s="296" t="s">
        <v>153</v>
      </c>
      <c r="Y82" s="59"/>
    </row>
    <row r="83" spans="1:25" s="230" customFormat="1" ht="17.399999999999999" x14ac:dyDescent="0.35">
      <c r="A83" s="230" t="s">
        <v>281</v>
      </c>
      <c r="B83" s="29" t="s">
        <v>124</v>
      </c>
      <c r="C83"/>
      <c r="D83"/>
      <c r="E83"/>
      <c r="F83"/>
      <c r="G83" s="229" t="s">
        <v>15</v>
      </c>
      <c r="K83" s="261"/>
      <c r="L83" s="259"/>
      <c r="M83" s="249"/>
      <c r="N83" s="248">
        <v>520</v>
      </c>
      <c r="O83" s="249">
        <v>481</v>
      </c>
      <c r="P83" s="12">
        <f t="shared" si="29"/>
        <v>250120</v>
      </c>
      <c r="Q83" s="14" t="s">
        <v>293</v>
      </c>
      <c r="R83" s="14"/>
      <c r="S83" s="230">
        <v>3.05</v>
      </c>
      <c r="T83" s="238"/>
      <c r="U83" s="238"/>
    </row>
    <row r="84" spans="1:25" s="230" customFormat="1" ht="17.399999999999999" x14ac:dyDescent="0.35">
      <c r="K84" s="286"/>
      <c r="L84" s="259"/>
      <c r="M84" s="249"/>
      <c r="N84" s="265"/>
      <c r="O84" s="12">
        <v>1500</v>
      </c>
      <c r="P84" s="12">
        <f t="shared" si="29"/>
        <v>0</v>
      </c>
      <c r="Q84" s="14" t="s">
        <v>22</v>
      </c>
      <c r="R84" s="14"/>
      <c r="S84">
        <v>1.23</v>
      </c>
      <c r="T84"/>
      <c r="U84" s="238"/>
      <c r="Y84" s="231"/>
    </row>
    <row r="85" spans="1:25" s="230" customFormat="1" ht="17.399999999999999" x14ac:dyDescent="0.35">
      <c r="L85" s="259"/>
      <c r="M85" s="249"/>
      <c r="N85" s="14"/>
      <c r="O85" s="12"/>
      <c r="P85" s="12">
        <f>SUM(P79:P84)</f>
        <v>3108921.6128000002</v>
      </c>
      <c r="Q85" s="39" t="s">
        <v>23</v>
      </c>
      <c r="R85" s="14"/>
      <c r="S85">
        <f>S83*S84</f>
        <v>3.7514999999999996</v>
      </c>
      <c r="T85"/>
      <c r="U85" s="238"/>
      <c r="Y85" s="231"/>
    </row>
    <row r="86" spans="1:25" s="230" customFormat="1" ht="17.399999999999999" x14ac:dyDescent="0.35">
      <c r="M86" s="249"/>
      <c r="N86" s="253" t="s">
        <v>33</v>
      </c>
      <c r="O86" s="12"/>
      <c r="P86" s="254">
        <f>P85*2.03</f>
        <v>6311110.8739839997</v>
      </c>
      <c r="Q86" s="14" t="s">
        <v>137</v>
      </c>
      <c r="R86" s="14"/>
      <c r="S86" s="40">
        <f>Q77/S85</f>
        <v>30.627810315873653</v>
      </c>
      <c r="T86"/>
      <c r="U86" s="256"/>
    </row>
    <row r="87" spans="1:25" s="230" customFormat="1" ht="17.399999999999999" x14ac:dyDescent="0.35">
      <c r="H87"/>
      <c r="I87" s="259"/>
      <c r="J87" s="259"/>
      <c r="K87" s="259"/>
      <c r="L87" s="230">
        <v>46000</v>
      </c>
      <c r="M87" s="249"/>
      <c r="N87" s="14"/>
      <c r="O87" s="12"/>
      <c r="P87" s="12">
        <f>P86/Q75</f>
        <v>65912.252938187317</v>
      </c>
      <c r="Q87" s="45" t="s">
        <v>24</v>
      </c>
      <c r="R87" s="14"/>
      <c r="S87" s="14"/>
      <c r="T87"/>
      <c r="U87" s="238"/>
      <c r="V87" s="59" t="s">
        <v>154</v>
      </c>
      <c r="W87" s="291">
        <v>43650</v>
      </c>
    </row>
    <row r="88" spans="1:25" s="230" customFormat="1" ht="17.399999999999999" x14ac:dyDescent="0.35">
      <c r="H88"/>
      <c r="L88" s="230">
        <f>L87/1.19</f>
        <v>38655.462184873948</v>
      </c>
      <c r="M88" s="249"/>
      <c r="N88" s="13"/>
      <c r="O88" s="14"/>
      <c r="P88" s="17">
        <f>P86/P85</f>
        <v>2.0299999999999998</v>
      </c>
      <c r="Q88" s="15"/>
      <c r="R88"/>
      <c r="S88"/>
      <c r="T88"/>
      <c r="U88" s="238"/>
      <c r="V88" s="59" t="s">
        <v>156</v>
      </c>
      <c r="W88" s="292" t="s">
        <v>155</v>
      </c>
      <c r="X88" s="59">
        <v>2.4</v>
      </c>
    </row>
    <row r="89" spans="1:25" s="230" customFormat="1" ht="17.399999999999999" x14ac:dyDescent="0.35">
      <c r="H89" s="23"/>
      <c r="M89" s="12"/>
      <c r="U89" s="238"/>
      <c r="V89" s="59" t="s">
        <v>157</v>
      </c>
      <c r="W89" s="293">
        <v>395.37</v>
      </c>
    </row>
    <row r="90" spans="1:25" s="230" customFormat="1" ht="17.399999999999999" x14ac:dyDescent="0.35">
      <c r="B90"/>
      <c r="C90" s="228"/>
      <c r="D90" s="22"/>
      <c r="E90" s="22"/>
      <c r="F90" s="22"/>
      <c r="G90" s="21"/>
      <c r="H90" s="23"/>
      <c r="M90" s="12"/>
      <c r="U90" s="238"/>
      <c r="V90" s="59" t="s">
        <v>152</v>
      </c>
      <c r="W90" s="59">
        <v>474.45</v>
      </c>
    </row>
    <row r="91" spans="1:25" ht="14.4" customHeight="1" x14ac:dyDescent="0.3">
      <c r="M91" s="12"/>
      <c r="V91" s="59"/>
      <c r="W91" s="59"/>
    </row>
    <row r="92" spans="1:25" x14ac:dyDescent="0.3">
      <c r="M92" s="249"/>
    </row>
    <row r="93" spans="1:25" x14ac:dyDescent="0.3">
      <c r="M93" s="249"/>
      <c r="U93" s="269"/>
    </row>
    <row r="94" spans="1:25" x14ac:dyDescent="0.3">
      <c r="M94" s="249"/>
    </row>
    <row r="95" spans="1:25" ht="15" customHeight="1" x14ac:dyDescent="0.3"/>
    <row r="97" spans="16:21" x14ac:dyDescent="0.3">
      <c r="P97">
        <v>40935</v>
      </c>
      <c r="Q97" t="s">
        <v>16</v>
      </c>
      <c r="R97" t="s">
        <v>26</v>
      </c>
    </row>
    <row r="99" spans="16:21" x14ac:dyDescent="0.3">
      <c r="P99" s="54"/>
      <c r="Q99" s="54"/>
    </row>
    <row r="100" spans="16:21" x14ac:dyDescent="0.3">
      <c r="T100" s="18"/>
      <c r="U100" s="18"/>
    </row>
    <row r="101" spans="16:21" x14ac:dyDescent="0.3">
      <c r="T101" s="18"/>
      <c r="U101" s="18"/>
    </row>
    <row r="102" spans="16:21" x14ac:dyDescent="0.3">
      <c r="T102" s="18"/>
      <c r="U102" s="18"/>
    </row>
    <row r="103" spans="16:21" x14ac:dyDescent="0.3">
      <c r="T103" s="18"/>
      <c r="U103" s="18"/>
    </row>
    <row r="104" spans="16:21" x14ac:dyDescent="0.3">
      <c r="T104" s="18"/>
      <c r="U104" s="18"/>
    </row>
    <row r="105" spans="16:21" x14ac:dyDescent="0.3">
      <c r="T105" s="18"/>
      <c r="U105" s="18"/>
    </row>
    <row r="106" spans="16:21" x14ac:dyDescent="0.3">
      <c r="T106" s="18"/>
      <c r="U106" s="18"/>
    </row>
    <row r="107" spans="16:21" x14ac:dyDescent="0.3">
      <c r="T107" s="18"/>
      <c r="U107" s="18"/>
    </row>
    <row r="108" spans="16:21" x14ac:dyDescent="0.3">
      <c r="T108" s="18"/>
      <c r="U108" s="18"/>
    </row>
    <row r="111" spans="16:21" x14ac:dyDescent="0.3">
      <c r="P111" s="43"/>
    </row>
    <row r="112" spans="16:21" x14ac:dyDescent="0.3">
      <c r="P112" s="43"/>
    </row>
    <row r="113" spans="3:16" x14ac:dyDescent="0.3">
      <c r="P113" s="6"/>
    </row>
    <row r="114" spans="3:16" x14ac:dyDescent="0.3">
      <c r="P114" s="6"/>
    </row>
    <row r="122" spans="3:16" x14ac:dyDescent="0.3">
      <c r="C122" t="s">
        <v>144</v>
      </c>
    </row>
    <row r="123" spans="3:16" x14ac:dyDescent="0.3">
      <c r="C123" t="s">
        <v>143</v>
      </c>
    </row>
    <row r="126" spans="3:16" x14ac:dyDescent="0.3">
      <c r="C126" t="s">
        <v>143</v>
      </c>
    </row>
    <row r="203" spans="3:3" x14ac:dyDescent="0.3">
      <c r="C203" t="s">
        <v>143</v>
      </c>
    </row>
    <row r="204" spans="3:3" x14ac:dyDescent="0.3">
      <c r="C204" t="s">
        <v>145</v>
      </c>
    </row>
    <row r="205" spans="3:3" x14ac:dyDescent="0.3">
      <c r="C205" t="s">
        <v>146</v>
      </c>
    </row>
    <row r="630" spans="3:3" x14ac:dyDescent="0.3">
      <c r="C630" t="s">
        <v>143</v>
      </c>
    </row>
  </sheetData>
  <mergeCells count="1">
    <mergeCell ref="B19:I19"/>
  </mergeCells>
  <phoneticPr fontId="32" type="noConversion"/>
  <hyperlinks>
    <hyperlink ref="G8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4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46006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-559768.66051078739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'2229'!I73</f>
        <v>6714110.8739839997</v>
      </c>
      <c r="E11" s="132">
        <f>D11*0.19</f>
        <v>1275681.06605696</v>
      </c>
      <c r="F11" s="131">
        <f>E11+D11</f>
        <v>7989791.94004096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-453778.66051078739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2033635.7035874396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-471778.66051078739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4680475.1703965599</v>
      </c>
      <c r="E13" s="221">
        <f>(D11/D12)-1</f>
        <v>2.3015307816144048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-480778.66051078739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-519778.66051078739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3355498.9109192751</v>
      </c>
      <c r="F15" s="216">
        <f>E15-D12</f>
        <v>1321863.2073318355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-519778.66051078739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-479778.66051078739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'2229'!P81</f>
        <v>471000</v>
      </c>
      <c r="E18" s="123">
        <f>D18*0.19</f>
        <v>89490</v>
      </c>
      <c r="F18" s="120">
        <f>SUM(D18:E18)</f>
        <v>560490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'2229'!P80</f>
        <v>728500</v>
      </c>
      <c r="E19" s="123">
        <f>D19*0.19</f>
        <v>138415</v>
      </c>
      <c r="F19" s="120">
        <f>SUM(D19:E19)</f>
        <v>866915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'2229'!P79</f>
        <v>804301.6128</v>
      </c>
      <c r="E20" s="121">
        <f>D20*0.19</f>
        <v>152817.30643200001</v>
      </c>
      <c r="F20" s="120">
        <f>SUM(D20:E20)</f>
        <v>957118.91923200001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2003801.6128</v>
      </c>
      <c r="E21" s="116">
        <f>SUM(E18:E20)</f>
        <v>380722.30643200001</v>
      </c>
      <c r="F21" s="115">
        <f>SUM(F18:F20)</f>
        <v>2384523.9192320001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894958.75962496002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6714110.8739839997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2003801.6128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4680475.1703965599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4680475.1703965599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11805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46013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20</v>
      </c>
      <c r="C22" s="313" t="str">
        <f>'2229'!C21</f>
        <v>ENCHAPE RECTO 2 CARAS MDF 18MM</v>
      </c>
      <c r="D22" s="321">
        <f>'2229'!D21*1000</f>
        <v>664</v>
      </c>
      <c r="E22" s="321">
        <f>'2229'!E21*1000</f>
        <v>309</v>
      </c>
      <c r="F22" s="322" t="str">
        <f>'2229'!G21</f>
        <v>BLANCO - HUMO 2108 MT</v>
      </c>
      <c r="G22" s="314">
        <f>'2229'!H21</f>
        <v>15832.629752197921</v>
      </c>
      <c r="H22" s="323">
        <f>G22*B22</f>
        <v>316652.5950439584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316652.5950439584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60163.993058352098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376816.58810231049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46006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11805</v>
      </c>
      <c r="C2" s="1">
        <f>'NOTA DE VENTA'!$G$10</f>
        <v>46006</v>
      </c>
      <c r="D2" s="1">
        <f>'NOTA DE VENTA'!$G$11</f>
        <v>46013</v>
      </c>
      <c r="E2" t="str">
        <f>'NOTA DE VENTA'!$C$10</f>
        <v>GONZALO PEÑA</v>
      </c>
      <c r="F2" t="str">
        <f>'NOTA DE VENTA'!$C$22</f>
        <v>ENCHAPE RECTO 2 CARAS MDF 18MM</v>
      </c>
      <c r="G2" t="str">
        <f>'NOTA DE VENTA'!$F$22</f>
        <v>BLANCO - HUMO 2108 MT</v>
      </c>
      <c r="H2" s="416">
        <f>'NOTA DE VENTA'!$H$25</f>
        <v>316652.5950439584</v>
      </c>
      <c r="I2" s="416">
        <f>H2*0.19</f>
        <v>60163.993058352098</v>
      </c>
      <c r="J2" s="416">
        <f>I2+H2</f>
        <v>376816.58810231049</v>
      </c>
      <c r="L2" s="61">
        <f>J2-K2</f>
        <v>376816.58810231049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2025-12-18T01:01:34Z</cp:lastPrinted>
  <dcterms:created xsi:type="dcterms:W3CDTF">2013-03-18T13:35:42Z</dcterms:created>
  <dcterms:modified xsi:type="dcterms:W3CDTF">2025-12-18T01:13:39Z</dcterms:modified>
</cp:coreProperties>
</file>