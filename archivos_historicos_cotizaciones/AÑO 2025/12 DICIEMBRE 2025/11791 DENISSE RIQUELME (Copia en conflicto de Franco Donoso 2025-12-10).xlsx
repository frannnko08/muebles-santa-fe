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5\"/>
    </mc:Choice>
  </mc:AlternateContent>
  <xr:revisionPtr revIDLastSave="0" documentId="13_ncr:1_{D42D4434-4A5C-428A-9C2B-8525E766A59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G22" i="4" s="1"/>
  <c r="H22" i="4" s="1"/>
  <c r="H25" i="4" s="1"/>
  <c r="H2" i="7" l="1"/>
  <c r="I2" i="7" s="1"/>
  <c r="J2" i="7" s="1"/>
  <c r="L2" i="7" s="1"/>
  <c r="H26" i="4"/>
  <c r="H27" i="4" s="1"/>
  <c r="H21" i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<sst xmlns="http://schemas.openxmlformats.org/spreadsheetml/2006/main" count="487" uniqueCount="296">
  <si>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</si>
  <si>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</si>
  <si>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</si>
  <si>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</si>
  <si>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</si>
  <si>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</si>
  <si>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</si>
  <si>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</si>
  <si>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</si>
  <si>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</si>
  <si>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</si>
  <si>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</si>
  <si>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</si>
  <si>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</si>
  <si>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</si>
  <si>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</si>
  <si>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</si>
  <si>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</si>
  <si>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</si>
  <si>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</si>
  <si>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</si>
  <si>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</si>
  <si>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</si>
  <si>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</si>
  <si>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</si>
  <si>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</si>
  <si>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</si>
  <si>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</si>
  <si>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</si>
  <si>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</si>
  <si>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</si>
  <si>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</si>
  <si>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</si>
  <si>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</si>
  <si>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</si>
  <si>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</si>
  <si>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</si>
  <si>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</si>
  <si>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</si>
  <si>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</si>
  <si>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</si>
  <si>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</si>
  <si>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</si>
  <si>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</si>
  <si>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</si>
  <si>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</si>
  <si>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</si>
  <si>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</si>
  <si>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</si>
  <si>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</si>
  <si>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</si>
  <si>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</si>
  <si>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</si>
  <si>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</si>
  <si>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</si>
  <si>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</si>
  <si>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</si>
  <si>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</si>
  <si>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</si>
  <si>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</si>
  <si>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</si>
  <si>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</si>
  <si>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</si>
  <si>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</si>
  <si>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</si>
  <si>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</si>
  <si>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</si>
  <si>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</si>
  <si>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</si>
  <si>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</si>
  <si>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</si>
  <si>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</si>
  <si>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</si>
  <si>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</si>
  <si>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</si>
  <si>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</si>
  <si>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</si>
  <si>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</si>
  <si>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</si>
  <si>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</si>
  <si>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</si>
  <si>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</si>
  <si>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</si>
  <si>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</si>
  <si>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</si>
  <si>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</si>
  <si>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</si>
  <si>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</si>
  <si>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</si>
  <si>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</si>
  <si>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</si>
  <si>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</si>
  <si>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</si>
  <si>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</si>
  <si>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</si>
  <si>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</si>
  <si>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</si>
  <si>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</si>
  <si>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</si>
  <si>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</si>
  <si>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</si>
  <si>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</si>
  <si>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</si>
  <si>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</si>
  <si>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</si>
  <si>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</si>
  <si>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</si>
  <si>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</si>
  <si>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</si>
  <si>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</si>
  <si>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</si>
  <si>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</si>
  <si>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</si>
  <si>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</si>
  <si>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</si>
  <si>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</si>
  <si>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</si>
  <si>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</si>
  <si>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</si>
  <si>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</si>
  <si>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</si>
  <si>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</si>
  <si>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</si>
  <si>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</si>
  <si>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</si>
  <si>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</si>
  <si>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</si>
  <si>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</si>
  <si>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</si>
  <si>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</si>
  <si>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</si>
  <si>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</si>
  <si>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</si>
  <si>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</si>
  <si>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</si>
  <si>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</si>
  <si>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</si>
  <si>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</si>
  <si>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</si>
  <si>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</si>
  <si>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</si>
  <si>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</si>
  <si>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</si>
  <si>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</si>
  <si>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</si>
  <si>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</si>
  <si>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</si>
  <si>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</si>
  <si>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</si>
  <si>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</si>
  <si>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</si>
  <si>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</si>
  <si>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</si>
  <si>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</si>
  <si>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</si>
  <si>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</si>
  <si>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</si>
  <si>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</si>
  <si>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</si>
  <si>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</si>
  <si>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</si>
  <si>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</si>
  <si>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</si>
  <si>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</si>
  <si>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</si>
  <si>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</si>
  <si>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</si>
  <si>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</si>
  <si>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</si>
  <si>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</si>
  <si>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</si>
  <si>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</si>
  <si>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</si>
  <si>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</si>
  <si>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</si>
  <si>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</si>
  <si>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</si>
  <si>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</si>
  <si>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</si>
  <si>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</si>
  <si>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</si>
  <si>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</si>
  <si>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</si>
  <si>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</si>
  <si>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</si>
  <si>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</si>
  <si>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</si>
  <si>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</si>
  <si>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</si>
  <si>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</si>
  <si>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</si>
  <si>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</si>
  <si>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</si>
  <si>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</si>
  <si>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</si>
  <si>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</si>
  <si>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</si>
  <si>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</si>
  <si>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</si>
  <si>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</si>
  <si>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</si>
  <si>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</si>
  <si>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</si>
  <si>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</si>
  <si>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</si>
  <si>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</si>
  <si>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</si>
  <si>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</si>
  <si>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</si>
  <si>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</si>
  <si>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</si>
  <si>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</si>
  <si>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</si>
  <si>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</si>
  <si>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</si>
  <si>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</si>
  <si>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</si>
  <si>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</si>
  <si>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</si>
  <si>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</si>
  <si>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</si>
  <si>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</si>
  <si>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</si>
  <si>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</si>
  <si>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</si>
  <si>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</si>
  <si>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</si>
  <si>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</si>
  <si>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</si>
  <si>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</si>
  <si>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</si>
  <si>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</si>
  <si>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</si>
  <si>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</si>
  <si>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</si>
  <si>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</si>
  <si>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</si>
  <si>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</si>
  <si>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</si>
  <si>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</si>
  <si>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</si>
  <si>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</si>
  <si>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</si>
  <si>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</si>
  <si>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</si>
  <si>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</si>
  <si>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</si>
  <si>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</si>
  <si>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</si>
  <si>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</si>
  <si>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</si>
  <si>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</si>
  <si>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</si>
  <si>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</si>
  <si>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</si>
  <si>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</si>
  <si>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</si>
  <si>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</si>
  <si>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</si>
  <si>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</si>
  <si>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</si>
  <si>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</si>
  <si>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</si>
  <si>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</si>
  <si>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</si>
  <si>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</si>
  <si>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</si>
  <si>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</si>
  <si>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</si>
  <si>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</si>
  <si>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</si>
  <si>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</si>
  <si>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</si>
  <si>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</si>
  <si>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</si>
  <si>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</si>
  <si>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</si>
  <si>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</si>
  <si>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</si>
  <si>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</si>
  <si>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</si>
  <si>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</si>
  <si>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</si>
  <si>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</si>
  <si>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</si>
  <si>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5 DIAS HABILES</t>
  </si>
  <si>
    <t>INSTALACIÓN</t>
  </si>
  <si>
    <t>DESPACHO</t>
  </si>
  <si>
    <t>PLAZO ENTREGA</t>
  </si>
  <si>
    <t>N° 11790</t>
  </si>
  <si>
    <t>NEW BLACK GRANITE BRILLO</t>
  </si>
  <si>
    <t>DENISE RIQUELME</t>
  </si>
  <si>
    <t>+569 9912 9660</t>
  </si>
  <si>
    <t>DENISE_MRP@YAHOO.COM</t>
  </si>
  <si>
    <t>CUB SIN RESPALDO FRENTE 180°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</si>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</sst>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ENCHAPADA</a:t>
          </a:r>
        </a:p>
        <a:p>
          <a:pPr algn="l"/>
          <a:r>
            <a:rPr lang="es-CL" sz="1200" b="1" baseline="0"/>
            <a:t>DESPACHO A ÑUÑOA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ISE_MRP@YAHOO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opLeftCell="A9" zoomScale="93" zoomScaleNormal="93" workbookViewId="0">
      <selection activeCell="H34" sqref="H34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291</v>
      </c>
      <c r="D10" s="243"/>
      <c r="E10" s="243"/>
      <c r="F10" s="420" t="s">
        <v>278</v>
      </c>
      <c r="G10" s="275">
        <v>46000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1" t="s">
        <v>12</v>
      </c>
      <c r="C11" s="422"/>
      <c r="F11" s="29" t="s">
        <v>288</v>
      </c>
      <c r="G11" s="423" t="s">
        <v>285</v>
      </c>
      <c r="H11" s="424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1" t="s">
        <v>143</v>
      </c>
      <c r="F13" s="29" t="s">
        <v>134</v>
      </c>
      <c r="G13" s="425" t="s">
        <v>295</v>
      </c>
      <c r="H13" s="424"/>
      <c r="Q13" s="19"/>
      <c r="R13" s="25"/>
      <c r="S13" s="19"/>
    </row>
    <row r="14" spans="2:24" x14ac:dyDescent="0.3">
      <c r="B14" s="245" t="s">
        <v>137</v>
      </c>
      <c r="C14" s="431" t="s">
        <v>293</v>
      </c>
      <c r="D14" s="246"/>
      <c r="E14" s="246"/>
      <c r="F14" s="302" t="s">
        <v>287</v>
      </c>
      <c r="G14" s="286" t="s">
        <v>295</v>
      </c>
      <c r="H14" s="247"/>
      <c r="K14" s="29"/>
      <c r="Q14" s="20"/>
      <c r="R14" s="26" t="s">
        <v>17</v>
      </c>
      <c r="S14" s="20"/>
    </row>
    <row r="15" spans="2:24" ht="15.6" x14ac:dyDescent="0.3">
      <c r="B15" s="421" t="s">
        <v>4</v>
      </c>
      <c r="C15" s="426" t="s">
        <v>292</v>
      </c>
      <c r="D15" s="427"/>
      <c r="F15" s="29" t="s">
        <v>286</v>
      </c>
      <c r="G15" s="75" t="s">
        <v>133</v>
      </c>
      <c r="H15" s="424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8" t="s">
        <v>13</v>
      </c>
      <c r="C17" s="300" t="s">
        <v>162</v>
      </c>
      <c r="D17" s="301"/>
      <c r="E17" s="119"/>
      <c r="F17" s="429" t="s">
        <v>180</v>
      </c>
      <c r="G17" s="429" t="s">
        <v>181</v>
      </c>
      <c r="H17" s="430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66869.31034482758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3">
        <v>1</v>
      </c>
      <c r="C21" s="314" t="s">
        <v>294</v>
      </c>
      <c r="D21" s="315">
        <v>2.2400000000000002</v>
      </c>
      <c r="E21" s="315">
        <v>0.55000000000000004</v>
      </c>
      <c r="F21" s="314" t="s">
        <v>290</v>
      </c>
      <c r="G21" s="316">
        <f>R21</f>
        <v>90325.24</v>
      </c>
      <c r="H21" s="432">
        <f>G21*B21</f>
        <v>90325.24</v>
      </c>
      <c r="I21" s="307"/>
      <c r="J21" s="264"/>
      <c r="K21" s="47"/>
      <c r="L21" s="47">
        <f>B21</f>
        <v>1</v>
      </c>
      <c r="M21" s="39">
        <f>D21+M$19</f>
        <v>2.3200000000000003</v>
      </c>
      <c r="N21" s="39">
        <f>E21+$N$19</f>
        <v>0.55000000000000004</v>
      </c>
      <c r="O21" s="260">
        <f t="shared" ref="O21" si="1">M21*N21</f>
        <v>1.2760000000000002</v>
      </c>
      <c r="P21" s="258">
        <f t="shared" ref="P21" si="2">O21*L21</f>
        <v>1.2760000000000002</v>
      </c>
      <c r="Q21" s="251">
        <f t="shared" ref="Q21" si="3">Q$20*O21</f>
        <v>85325.24</v>
      </c>
      <c r="R21" s="306">
        <f t="shared" ref="R21" si="4">Q21+R$20</f>
        <v>90325.24</v>
      </c>
      <c r="S21" s="291">
        <f>L21*M21*2</f>
        <v>4.6400000000000006</v>
      </c>
      <c r="T21" s="46">
        <f>N21*2*L21*2</f>
        <v>2.2000000000000002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8" thickBot="1" x14ac:dyDescent="0.35">
      <c r="B23" s="284"/>
      <c r="C23" s="284"/>
      <c r="D23" s="285"/>
      <c r="E23" s="285"/>
      <c r="F23" s="284"/>
      <c r="G23" s="264"/>
      <c r="H23" s="308"/>
      <c r="I23" s="310"/>
      <c r="J23" s="233"/>
      <c r="K23" s="47"/>
      <c r="L23" s="47"/>
      <c r="M23" s="39"/>
      <c r="N23" s="39"/>
      <c r="O23" s="260"/>
      <c r="P23" s="258"/>
      <c r="Q23" s="251"/>
      <c r="R23" s="257"/>
      <c r="S23" s="291"/>
      <c r="T23" s="14"/>
      <c r="U23" s="9"/>
      <c r="X23" s="4"/>
    </row>
    <row r="24" spans="1:25" ht="17.399999999999999" x14ac:dyDescent="0.3">
      <c r="B24" s="284"/>
      <c r="C24" s="284"/>
      <c r="D24" s="285"/>
      <c r="E24" s="285"/>
      <c r="F24" s="284"/>
      <c r="G24" s="311" t="s">
        <v>28</v>
      </c>
      <c r="H24" s="312">
        <f>SUM(H21:H23)</f>
        <v>90325.24</v>
      </c>
      <c r="I24" s="309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1"/>
      <c r="T24" s="46">
        <f>SUM(T21:T23)</f>
        <v>2.2000000000000002</v>
      </c>
      <c r="U24" s="9"/>
      <c r="X24" s="4"/>
    </row>
    <row r="25" spans="1:25" ht="17.399999999999999" x14ac:dyDescent="0.3">
      <c r="B25" s="278"/>
      <c r="C25" s="281"/>
      <c r="D25" s="282"/>
      <c r="E25" s="282"/>
      <c r="F25" s="283"/>
      <c r="G25" s="290" t="s">
        <v>51</v>
      </c>
      <c r="H25" s="288">
        <f>H24*19%</f>
        <v>17161.795600000001</v>
      </c>
      <c r="I25" s="309"/>
      <c r="J25" s="264"/>
      <c r="K25" s="47"/>
      <c r="L25" s="47"/>
      <c r="M25" s="39">
        <f>SUM(M21:M24)</f>
        <v>2.3200000000000003</v>
      </c>
      <c r="N25" s="12"/>
      <c r="O25" s="12"/>
      <c r="P25" s="252">
        <f>SUM(P21:P21)</f>
        <v>1.2760000000000002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80"/>
      <c r="D26" s="271"/>
      <c r="E26" s="271"/>
      <c r="F26" s="272"/>
      <c r="G26" s="279" t="s">
        <v>6</v>
      </c>
      <c r="H26" s="289">
        <f>H24+H25</f>
        <v>107487.0356</v>
      </c>
      <c r="I26" s="309"/>
      <c r="J26" s="264"/>
      <c r="K26" s="47"/>
      <c r="L26" s="47"/>
      <c r="M26" s="39"/>
      <c r="N26" s="12"/>
      <c r="O26" s="12"/>
      <c r="P26" s="252">
        <f>P25</f>
        <v>1.2760000000000002</v>
      </c>
      <c r="Q26" s="14"/>
      <c r="R26" s="12"/>
      <c r="S26" s="239">
        <f>SUM(S21:S25)</f>
        <v>4.6400000000000006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0.25520000000000004</v>
      </c>
      <c r="Q27" s="39" t="s">
        <v>129</v>
      </c>
      <c r="R27" s="42"/>
      <c r="S27" s="240">
        <f>S26+T24</f>
        <v>6.8400000000000007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1.5312000000000003</v>
      </c>
      <c r="Q28" s="14"/>
      <c r="R28" s="14"/>
      <c r="S28" s="238">
        <f>S27*20%</f>
        <v>1.3680000000000003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8.208000000000002</v>
      </c>
      <c r="T29" s="14"/>
      <c r="U29" s="295" t="s">
        <v>21</v>
      </c>
      <c r="V29" s="292" t="s">
        <v>149</v>
      </c>
      <c r="W29" s="296">
        <v>44971</v>
      </c>
      <c r="X29" s="297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1.5312000000000003</v>
      </c>
      <c r="N30" s="12">
        <v>3500</v>
      </c>
      <c r="O30" s="12">
        <f t="shared" ref="O30:O35" si="5">M30*N30</f>
        <v>5359.2000000000016</v>
      </c>
      <c r="P30" s="14" t="s">
        <v>21</v>
      </c>
      <c r="Q30" s="14"/>
      <c r="R30" s="14"/>
      <c r="S30" s="241"/>
      <c r="T30" s="14"/>
      <c r="U30" s="295" t="s">
        <v>150</v>
      </c>
      <c r="V30" s="292">
        <v>3625</v>
      </c>
      <c r="W30" s="59" t="s">
        <v>151</v>
      </c>
      <c r="X30" s="297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5"/>
        <v>7050</v>
      </c>
      <c r="P31" s="39" t="s">
        <v>31</v>
      </c>
      <c r="Q31" s="42"/>
      <c r="R31" s="14"/>
      <c r="S31" s="240"/>
      <c r="T31" s="14"/>
      <c r="U31" s="295"/>
      <c r="V31" s="59">
        <v>906.25</v>
      </c>
      <c r="W31" s="59" t="s">
        <v>152</v>
      </c>
      <c r="X31" s="297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71000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7" t="s">
        <v>153</v>
      </c>
      <c r="X32" s="59"/>
    </row>
    <row r="33" spans="1:24" s="230" customFormat="1" ht="17.399999999999999" x14ac:dyDescent="0.35">
      <c r="B33" s="24" t="s">
        <v>163</v>
      </c>
      <c r="C33"/>
      <c r="D33"/>
      <c r="E33"/>
      <c r="F33"/>
      <c r="J33" s="261"/>
      <c r="K33" s="232"/>
      <c r="L33" s="249"/>
      <c r="M33" s="14">
        <v>1</v>
      </c>
      <c r="N33" s="249">
        <v>23000</v>
      </c>
      <c r="O33" s="12">
        <f t="shared" si="5"/>
        <v>23000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7" t="s">
        <v>154</v>
      </c>
      <c r="X33" s="59"/>
    </row>
    <row r="34" spans="1:24" s="230" customFormat="1" ht="17.399999999999999" x14ac:dyDescent="0.35">
      <c r="A34" s="230" t="s">
        <v>284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7"/>
      <c r="K35" s="259"/>
      <c r="L35" s="249"/>
      <c r="M35" s="265">
        <v>2.25</v>
      </c>
      <c r="N35" s="12">
        <v>1500</v>
      </c>
      <c r="O35" s="12">
        <f t="shared" si="5"/>
        <v>3375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38784.199999999997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85325.24</v>
      </c>
      <c r="P37" s="14" t="s">
        <v>138</v>
      </c>
      <c r="Q37" s="14"/>
      <c r="R37" s="40">
        <f>P28/R36</f>
        <v>0.41285591026747204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28500</v>
      </c>
      <c r="L38" s="249"/>
      <c r="M38" s="14"/>
      <c r="N38" s="12"/>
      <c r="O38" s="12">
        <f>O37/P26</f>
        <v>66869.31034482758</v>
      </c>
      <c r="P38" s="45" t="s">
        <v>24</v>
      </c>
      <c r="Q38" s="14"/>
      <c r="R38" s="14"/>
      <c r="S38"/>
      <c r="T38" s="238"/>
      <c r="U38" s="59" t="s">
        <v>155</v>
      </c>
      <c r="V38" s="292">
        <v>43650</v>
      </c>
    </row>
    <row r="39" spans="1:24" s="230" customFormat="1" ht="17.399999999999999" x14ac:dyDescent="0.35">
      <c r="G39"/>
      <c r="K39" s="230">
        <f>K38/1.19</f>
        <v>23949.579831932773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3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4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  <hyperlink ref="C14" r:id="rId2" xr:uid="{E4012815-C0FC-4808-9B52-70ED03AFDE4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46000</v>
      </c>
    </row>
    <row r="6" spans="2:31" ht="16.2" thickBot="1" x14ac:dyDescent="0.35">
      <c r="B6" s="140" t="s">
        <v>2</v>
      </c>
      <c r="C6" s="139" t="str">
        <f>'2229'!C10</f>
        <v>DENISE RIQUELME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-3437.3017001207722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90325.24</v>
      </c>
      <c r="E11" s="132">
        <f>D11*0.19</f>
        <v>17161.795600000001</v>
      </c>
      <c r="F11" s="131">
        <f>E11+D11</f>
        <v>107487.0356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102552.69829987922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42243.290787439619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84552.698299879223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48081.949212560387</v>
      </c>
      <c r="E13" s="221">
        <f>(D11/D12)-1</f>
        <v>1.1382150470828565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75552.698299879223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36552.69829987923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69701.429799275371</v>
      </c>
      <c r="F15" s="216">
        <f>E15-D12</f>
        <v>27458.139011835752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36552.69829987923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76552.698299879223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5359.2000000000016</v>
      </c>
      <c r="E20" s="121">
        <f>D20*0.19</f>
        <v>1018.2480000000003</v>
      </c>
      <c r="F20" s="120">
        <f>SUM(D20:E20)</f>
        <v>6377.4480000000021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12409.2</v>
      </c>
      <c r="E21" s="116">
        <f>SUM(E18:E20)</f>
        <v>2357.7480000000005</v>
      </c>
      <c r="F21" s="115">
        <f>SUM(F18:F20)</f>
        <v>14766.948000000002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14804.047600000002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90325.24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12409.2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48081.949212560387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48081.949212560387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11790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DENISE RIQUELME</v>
      </c>
      <c r="D10" s="352"/>
      <c r="E10" s="352"/>
      <c r="F10" s="353" t="s">
        <v>168</v>
      </c>
      <c r="G10" s="354">
        <f>'2229'!G10</f>
        <v>46000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46007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SI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>DENISE_MRP@YAHOO.COM</v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+569 9912 9660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43" t="s">
        <v>176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177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SIN RESPALDO FRENTE 180°</v>
      </c>
      <c r="D22" s="323">
        <f>'2229'!D21*1000</f>
        <v>2240</v>
      </c>
      <c r="E22" s="323">
        <f>'2229'!E21*1000</f>
        <v>550</v>
      </c>
      <c r="F22" s="324" t="str">
        <f>'2229'!F21</f>
        <v>NEW BLACK GRANITE BRILLO</v>
      </c>
      <c r="G22" s="316">
        <f>'2229'!G21</f>
        <v>90325.24</v>
      </c>
      <c r="H22" s="325">
        <f>G22*B22</f>
        <v>90325.24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90325.24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17161.795600000001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107487.0356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183</v>
      </c>
      <c r="C2" s="448"/>
      <c r="D2" s="448"/>
      <c r="E2" s="363"/>
      <c r="G2" s="448" t="s">
        <v>184</v>
      </c>
      <c r="H2" s="448"/>
      <c r="I2" s="448"/>
      <c r="P2" s="449" t="s">
        <v>185</v>
      </c>
      <c r="Q2" s="449"/>
      <c r="R2" s="449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49" t="s">
        <v>185</v>
      </c>
      <c r="M8" s="449"/>
      <c r="N8" s="449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tabSelected="1"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266</v>
      </c>
      <c r="L3" s="454"/>
      <c r="M3" s="454" t="s">
        <v>267</v>
      </c>
      <c r="N3" s="454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DENISE RIQUELME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266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267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273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11790</v>
      </c>
      <c r="C2" s="1">
        <f>'NOTA DE VENTA'!$G$10</f>
        <v>46000</v>
      </c>
      <c r="D2" s="1">
        <f>'NOTA DE VENTA'!$G$11</f>
        <v>46007</v>
      </c>
      <c r="E2" t="str">
        <f>'NOTA DE VENTA'!$C$10</f>
        <v>DENISE RIQUELME</v>
      </c>
      <c r="F2" t="str">
        <f>'NOTA DE VENTA'!$C$22</f>
        <v>CUB SIN RESPALDO FRENTE 180°</v>
      </c>
      <c r="G2" t="str">
        <f>'NOTA DE VENTA'!$F$22</f>
        <v>NEW BLACK GRANITE BRILLO</v>
      </c>
      <c r="H2" s="418">
        <f>'NOTA DE VENTA'!$H$25</f>
        <v>90325.24</v>
      </c>
      <c r="I2" s="418">
        <f>H2*0.19</f>
        <v>17161.795600000001</v>
      </c>
      <c r="J2" s="418">
        <f>I2+H2</f>
        <v>107487.0356</v>
      </c>
      <c r="L2" s="61">
        <f>J2-K2</f>
        <v>107487.0356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2025-12-10T12:35:50Z</cp:lastPrinted>
  <dcterms:created xsi:type="dcterms:W3CDTF">2013-03-18T13:35:42Z</dcterms:created>
  <dcterms:modified xsi:type="dcterms:W3CDTF">2025-12-10T12:36:00Z</dcterms:modified>
</cp:coreProperties>
</file>