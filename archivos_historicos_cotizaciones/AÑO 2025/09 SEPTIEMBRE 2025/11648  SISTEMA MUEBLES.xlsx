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9 SEPTIEMBRE 2025\"/>
    </mc:Choice>
  </mc:AlternateContent>
  <xr:revisionPtr revIDLastSave="0" documentId="13_ncr:1_{F337C38B-5CCD-4EF8-84F1-72584F768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6" i="1" l="1"/>
  <c r="M64" i="1" l="1"/>
  <c r="M69" i="1"/>
  <c r="M57" i="1"/>
  <c r="N57" i="1"/>
  <c r="O57" i="1"/>
  <c r="P57" i="1"/>
  <c r="M58" i="1"/>
  <c r="O58" i="1" s="1"/>
  <c r="P58" i="1" s="1"/>
  <c r="N58" i="1"/>
  <c r="M59" i="1"/>
  <c r="N59" i="1"/>
  <c r="O59" i="1"/>
  <c r="P59" i="1"/>
  <c r="M60" i="1"/>
  <c r="O60" i="1" s="1"/>
  <c r="P60" i="1" s="1"/>
  <c r="N60" i="1"/>
  <c r="N56" i="1"/>
  <c r="M56" i="1"/>
  <c r="S56" i="1" s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O56" i="1" l="1"/>
  <c r="P56" i="1" s="1"/>
  <c r="K74" i="1"/>
  <c r="L21" i="1"/>
  <c r="L22" i="1"/>
  <c r="N22" i="1"/>
  <c r="L23" i="1"/>
  <c r="N23" i="1"/>
  <c r="N21" i="1"/>
  <c r="O22" i="1" l="1"/>
  <c r="P22" i="1" s="1"/>
  <c r="S22" i="1"/>
  <c r="S23" i="1"/>
  <c r="O23" i="1"/>
  <c r="P23" i="1" s="1"/>
  <c r="O21" i="1"/>
  <c r="P21" i="1" s="1"/>
  <c r="S21" i="1"/>
  <c r="P64" i="1" l="1"/>
  <c r="S64" i="1"/>
  <c r="T63" i="1"/>
  <c r="V71" i="1" l="1"/>
  <c r="V72" i="1" s="1"/>
  <c r="O70" i="1" l="1"/>
  <c r="P65" i="1" l="1"/>
  <c r="N20" i="1"/>
  <c r="L20" i="1"/>
  <c r="P66" i="1" l="1"/>
  <c r="O71" i="1"/>
  <c r="R75" i="1"/>
  <c r="P67" i="1" l="1"/>
  <c r="O72" i="1"/>
  <c r="R76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74" i="1"/>
  <c r="O73" i="1"/>
  <c r="F18" i="3" l="1"/>
  <c r="O69" i="1" l="1"/>
  <c r="O75" i="1" s="1"/>
  <c r="O7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56" i="1" l="1"/>
  <c r="R56" i="1" s="1"/>
  <c r="Q57" i="1"/>
  <c r="R57" i="1" s="1"/>
  <c r="Q59" i="1"/>
  <c r="R59" i="1" s="1"/>
  <c r="Q58" i="1"/>
  <c r="R58" i="1" s="1"/>
  <c r="Q60" i="1"/>
  <c r="R60" i="1" s="1"/>
  <c r="Q22" i="1"/>
  <c r="Q23" i="1"/>
  <c r="Q21" i="1"/>
  <c r="O78" i="1"/>
  <c r="R22" i="1" l="1"/>
  <c r="H22" i="1"/>
  <c r="R23" i="1"/>
  <c r="H23" i="1"/>
  <c r="R21" i="1"/>
  <c r="H21" i="1" s="1"/>
  <c r="F15" i="3"/>
  <c r="H63" i="1" l="1"/>
  <c r="H64" i="1" s="1"/>
  <c r="D11" i="3" l="1"/>
  <c r="X9" i="3" s="1"/>
  <c r="X15" i="3" s="1"/>
  <c r="H65" i="1"/>
  <c r="E11" i="3" l="1"/>
  <c r="D40" i="3" s="1"/>
  <c r="M42" i="3"/>
  <c r="M46" i="3" s="1"/>
  <c r="M49" i="3" s="1"/>
  <c r="X12" i="3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<sst xmlns="http://schemas.openxmlformats.org/spreadsheetml/2006/main" count="307" uniqueCount="180">
  <si>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</si>
  <si>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</si>
  <si>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</si>
  <si>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</si>
  <si>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</si>
  <si>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</si>
  <si>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</si>
  <si>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</si>
  <si>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</si>
  <si>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</si>
  <si>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</si>
  <si>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</si>
  <si>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</si>
  <si>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</si>
  <si>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</si>
  <si>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</si>
  <si>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</si>
  <si>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</si>
  <si>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</si>
  <si>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</si>
  <si>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</si>
  <si>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</si>
  <si>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</si>
  <si>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</si>
  <si>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</si>
  <si>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</si>
  <si>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</si>
  <si>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</si>
  <si>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</si>
  <si>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</si>
  <si>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</si>
  <si>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</si>
  <si>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</si>
  <si>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</si>
  <si>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</si>
  <si>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</si>
  <si>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</si>
  <si>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</si>
  <si>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</si>
  <si>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</si>
  <si>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</si>
  <si>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</si>
  <si>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</si>
  <si>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</si>
  <si>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</si>
  <si>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</si>
  <si>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</si>
  <si>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</si>
  <si>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</si>
  <si>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</si>
  <si>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</si>
  <si>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</si>
  <si>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</si>
  <si>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</si>
  <si>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</si>
  <si>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</si>
  <si>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</si>
  <si>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</si>
  <si>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</si>
  <si>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</si>
  <si>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</si>
  <si>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</si>
  <si>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</si>
  <si>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</si>
  <si>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</si>
  <si>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</si>
  <si>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</si>
  <si>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</si>
  <si>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</si>
  <si>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</si>
  <si>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</si>
  <si>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</si>
  <si>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</si>
  <si>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</si>
  <si>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</si>
  <si>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</si>
  <si>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</si>
  <si>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</si>
  <si>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</si>
  <si>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</si>
  <si>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</si>
  <si>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</si>
  <si>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</si>
  <si>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</si>
  <si>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</si>
  <si>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</si>
  <si>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</si>
  <si>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</si>
  <si>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</si>
  <si>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</si>
  <si>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</si>
  <si>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</si>
  <si>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</si>
  <si>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</si>
  <si>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</si>
  <si>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</si>
  <si>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</si>
  <si>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</si>
  <si>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</si>
  <si>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</si>
  <si>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</si>
  <si>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</si>
  <si>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</si>
  <si>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</si>
  <si>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</si>
  <si>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</si>
  <si>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</si>
  <si>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</si>
  <si>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</si>
  <si>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</si>
  <si>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</si>
  <si>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</si>
  <si>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</si>
  <si>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</si>
  <si>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</si>
  <si>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</si>
  <si>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</si>
  <si>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</si>
  <si>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</si>
  <si>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</si>
  <si>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</si>
  <si>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</si>
  <si>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</si>
  <si>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</si>
  <si>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</si>
  <si>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</si>
  <si>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</si>
  <si>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</si>
  <si>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</si>
  <si>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</si>
  <si>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</si>
  <si>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</si>
  <si>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</si>
  <si>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</si>
  <si>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</si>
  <si>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</si>
  <si>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</si>
  <si>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</si>
  <si>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</si>
  <si>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</si>
  <si>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</si>
  <si>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</si>
  <si>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</si>
  <si>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</si>
  <si>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</si>
  <si>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</si>
  <si>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</si>
  <si>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</si>
  <si>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</si>
  <si>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</si>
  <si>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</si>
  <si>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</si>
  <si>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</si>
  <si>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</si>
  <si>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</si>
  <si>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</si>
  <si>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</si>
  <si>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</si>
  <si>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</si>
  <si>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</si>
  <si>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</si>
  <si>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</si>
  <si>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</si>
  <si>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</si>
  <si>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</si>
  <si>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</si>
  <si>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</si>
  <si>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</si>
  <si>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</si>
  <si>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SISTEMA MUEBLES</t>
  </si>
  <si>
    <t>CONSTANZA VELIZ</t>
  </si>
  <si>
    <t>+56 9 89269000</t>
  </si>
  <si>
    <t>CUB CON RESPALDO 10 CMS FRENTE 180°</t>
  </si>
  <si>
    <t>CUB SIN RESPALDO FRENTE 180°</t>
  </si>
  <si>
    <t>CUB MESA 180° 2 LADOS</t>
  </si>
  <si>
    <t>CUB CON RESPALDO10 CMS FRENTE 190° MDF 25MM</t>
  </si>
  <si>
    <t>QUARZITE 3044 PT</t>
  </si>
  <si>
    <t>GLACIAL WHITE 22191 SF</t>
  </si>
  <si>
    <t>15 DIAS HABILES</t>
  </si>
  <si>
    <t>N° 11648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</si>
</sst>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66</xdr:row>
      <xdr:rowOff>8194</xdr:rowOff>
    </xdr:from>
    <xdr:to>
      <xdr:col>8</xdr:col>
      <xdr:colOff>8193</xdr:colOff>
      <xdr:row>69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68</xdr:row>
      <xdr:rowOff>154305</xdr:rowOff>
    </xdr:from>
    <xdr:to>
      <xdr:col>7</xdr:col>
      <xdr:colOff>853440</xdr:colOff>
      <xdr:row>68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66</xdr:row>
      <xdr:rowOff>9525</xdr:rowOff>
    </xdr:from>
    <xdr:to>
      <xdr:col>5</xdr:col>
      <xdr:colOff>1745226</xdr:colOff>
      <xdr:row>69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9525</xdr:rowOff>
    </xdr:from>
    <xdr:to>
      <xdr:col>5</xdr:col>
      <xdr:colOff>1728839</xdr:colOff>
      <xdr:row>65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 TODAS LAS CUBIERTAS LLEVAN TRASCARA BALANCE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20"/>
  <sheetViews>
    <sheetView tabSelected="1" topLeftCell="A2" zoomScale="93" zoomScaleNormal="93" workbookViewId="0">
      <selection activeCell="D15" sqref="D15"/>
    </sheetView>
  </sheetViews>
  <sheetFormatPr baseColWidth="10" defaultRowHeight="14.4" x14ac:dyDescent="0.3"/>
  <cols>
    <col min="1" max="1" width="6" customWidth="1"/>
    <col min="2" max="2" width="10.5546875" customWidth="1"/>
    <col min="3" max="3" width="50.664062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305" t="s">
        <v>169</v>
      </c>
      <c r="D10" s="240"/>
      <c r="E10" s="240"/>
      <c r="F10" s="241" t="s">
        <v>166</v>
      </c>
      <c r="G10" s="271">
        <v>45940</v>
      </c>
      <c r="H10" s="329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165</v>
      </c>
      <c r="G11" s="307" t="s">
        <v>178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170</v>
      </c>
      <c r="F13" t="s">
        <v>164</v>
      </c>
      <c r="G13" s="311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167</v>
      </c>
      <c r="G15" s="316" t="s">
        <v>133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128</v>
      </c>
      <c r="G16" s="319" t="s">
        <v>159</v>
      </c>
      <c r="H16" s="243"/>
    </row>
    <row r="17" spans="2:25" ht="15" thickBot="1" x14ac:dyDescent="0.35">
      <c r="B17" s="294" t="s">
        <v>13</v>
      </c>
      <c r="C17" s="295" t="s">
        <v>162</v>
      </c>
      <c r="D17" s="296"/>
      <c r="E17" s="116"/>
      <c r="F17" s="333" t="s">
        <v>161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O77</f>
        <v>95649.615384615376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172</v>
      </c>
      <c r="D21" s="331">
        <v>1</v>
      </c>
      <c r="E21" s="331">
        <v>0.6</v>
      </c>
      <c r="F21" s="330" t="s">
        <v>176</v>
      </c>
      <c r="G21" s="332">
        <v>112324</v>
      </c>
      <c r="H21" s="332">
        <f t="shared" ref="H21:H23" si="1">G21*B21</f>
        <v>112324</v>
      </c>
      <c r="I21" s="299"/>
      <c r="J21" s="260"/>
      <c r="K21" s="44"/>
      <c r="L21" s="44">
        <f t="shared" ref="L21:L60" si="2">B21</f>
        <v>1</v>
      </c>
      <c r="M21" s="36"/>
      <c r="N21" s="36">
        <f t="shared" ref="N21" si="3">E21+$N$19</f>
        <v>0.6</v>
      </c>
      <c r="O21" s="256">
        <f t="shared" ref="O21" si="4">M21*N21</f>
        <v>0</v>
      </c>
      <c r="P21" s="254">
        <f>O21*L21</f>
        <v>0</v>
      </c>
      <c r="Q21" s="247">
        <f t="shared" ref="Q21" si="5">Q$20*O21</f>
        <v>0</v>
      </c>
      <c r="R21" s="298">
        <f t="shared" ref="R21" si="6">Q21+R$20</f>
        <v>3000</v>
      </c>
      <c r="S21" s="286">
        <f t="shared" ref="S21" si="7">M21*L21</f>
        <v>0</v>
      </c>
      <c r="T21" s="43"/>
      <c r="U21" s="9"/>
      <c r="X21" s="4"/>
    </row>
    <row r="22" spans="2:25" ht="17.399999999999999" x14ac:dyDescent="0.3">
      <c r="B22" s="330">
        <v>1</v>
      </c>
      <c r="C22" s="330" t="s">
        <v>172</v>
      </c>
      <c r="D22" s="331">
        <v>1.5</v>
      </c>
      <c r="E22" s="331">
        <v>0.6</v>
      </c>
      <c r="F22" s="330" t="s">
        <v>176</v>
      </c>
      <c r="G22" s="332">
        <v>160025</v>
      </c>
      <c r="H22" s="332">
        <f t="shared" si="1"/>
        <v>160025</v>
      </c>
      <c r="I22" s="299"/>
      <c r="J22" s="260"/>
      <c r="K22" s="44"/>
      <c r="L22" s="44">
        <f t="shared" si="2"/>
        <v>1</v>
      </c>
      <c r="M22" s="36"/>
      <c r="N22" s="36">
        <f t="shared" ref="N22:N23" si="8">E22+$N$19</f>
        <v>0.6</v>
      </c>
      <c r="O22" s="256">
        <f t="shared" ref="O22:O23" si="9">M22*N22</f>
        <v>0</v>
      </c>
      <c r="P22" s="254">
        <f t="shared" ref="P22:P23" si="10">O22*L22</f>
        <v>0</v>
      </c>
      <c r="Q22" s="247">
        <f t="shared" ref="Q22:Q23" si="11">Q$20*O22</f>
        <v>0</v>
      </c>
      <c r="R22" s="298">
        <f t="shared" ref="R22:R23" si="12">Q22+R$20</f>
        <v>3000</v>
      </c>
      <c r="S22" s="286">
        <f t="shared" ref="S22:S23" si="13">M22*L22</f>
        <v>0</v>
      </c>
      <c r="T22" s="43"/>
      <c r="U22" s="9"/>
      <c r="X22" s="4"/>
    </row>
    <row r="23" spans="2:25" ht="17.399999999999999" x14ac:dyDescent="0.3">
      <c r="B23" s="330">
        <v>1</v>
      </c>
      <c r="C23" s="330" t="s">
        <v>172</v>
      </c>
      <c r="D23" s="331">
        <v>2</v>
      </c>
      <c r="E23" s="331">
        <v>0.6</v>
      </c>
      <c r="F23" s="330" t="s">
        <v>176</v>
      </c>
      <c r="G23" s="332">
        <v>171069</v>
      </c>
      <c r="H23" s="332">
        <f t="shared" si="1"/>
        <v>171069</v>
      </c>
      <c r="I23" s="299"/>
      <c r="J23" s="260"/>
      <c r="K23" s="44"/>
      <c r="L23" s="44">
        <f t="shared" si="2"/>
        <v>1</v>
      </c>
      <c r="M23" s="36"/>
      <c r="N23" s="36">
        <f t="shared" si="8"/>
        <v>0.6</v>
      </c>
      <c r="O23" s="256">
        <f t="shared" si="9"/>
        <v>0</v>
      </c>
      <c r="P23" s="254">
        <f t="shared" si="10"/>
        <v>0</v>
      </c>
      <c r="Q23" s="247">
        <f t="shared" si="11"/>
        <v>0</v>
      </c>
      <c r="R23" s="298">
        <f t="shared" si="12"/>
        <v>3000</v>
      </c>
      <c r="S23" s="286">
        <f t="shared" si="13"/>
        <v>0</v>
      </c>
      <c r="T23" s="43"/>
      <c r="U23" s="9"/>
      <c r="X23" s="4"/>
    </row>
    <row r="24" spans="2:25" ht="17.399999999999999" x14ac:dyDescent="0.3">
      <c r="B24" s="330">
        <v>1</v>
      </c>
      <c r="C24" s="330" t="s">
        <v>172</v>
      </c>
      <c r="D24" s="331">
        <v>2.5</v>
      </c>
      <c r="E24" s="331">
        <v>0.6</v>
      </c>
      <c r="F24" s="330" t="s">
        <v>176</v>
      </c>
      <c r="G24" s="332">
        <v>184313</v>
      </c>
      <c r="H24" s="332">
        <f t="shared" ref="H24:H60" si="14">G24*B24</f>
        <v>184313</v>
      </c>
      <c r="I24" s="299"/>
      <c r="J24" s="260"/>
      <c r="K24" s="44"/>
      <c r="L24" s="44">
        <f t="shared" si="2"/>
        <v>1</v>
      </c>
      <c r="M24" s="36"/>
      <c r="N24" s="36"/>
      <c r="O24" s="256"/>
      <c r="P24" s="254"/>
      <c r="Q24" s="247"/>
      <c r="R24" s="298"/>
      <c r="S24" s="286"/>
      <c r="T24" s="43"/>
      <c r="U24" s="9"/>
      <c r="X24" s="4"/>
    </row>
    <row r="25" spans="2:25" ht="17.399999999999999" x14ac:dyDescent="0.3">
      <c r="B25" s="330">
        <v>1</v>
      </c>
      <c r="C25" s="330" t="s">
        <v>172</v>
      </c>
      <c r="D25" s="331">
        <v>3</v>
      </c>
      <c r="E25" s="331">
        <v>0.6</v>
      </c>
      <c r="F25" s="330" t="s">
        <v>176</v>
      </c>
      <c r="G25" s="332">
        <v>197007</v>
      </c>
      <c r="H25" s="332">
        <f t="shared" si="14"/>
        <v>197007</v>
      </c>
      <c r="I25" s="299"/>
      <c r="J25" s="260"/>
      <c r="K25" s="44"/>
      <c r="L25" s="44">
        <f t="shared" si="2"/>
        <v>1</v>
      </c>
      <c r="M25" s="36"/>
      <c r="N25" s="36"/>
      <c r="O25" s="256"/>
      <c r="P25" s="254"/>
      <c r="Q25" s="247"/>
      <c r="R25" s="298"/>
      <c r="S25" s="286"/>
      <c r="T25" s="43"/>
      <c r="U25" s="9"/>
      <c r="X25" s="4"/>
    </row>
    <row r="26" spans="2:25" ht="17.399999999999999" x14ac:dyDescent="0.3">
      <c r="B26" s="330">
        <v>1</v>
      </c>
      <c r="C26" s="330" t="s">
        <v>173</v>
      </c>
      <c r="D26" s="331">
        <v>1</v>
      </c>
      <c r="E26" s="331">
        <v>0.6</v>
      </c>
      <c r="F26" s="330" t="s">
        <v>176</v>
      </c>
      <c r="G26" s="332">
        <v>108760</v>
      </c>
      <c r="H26" s="332">
        <f t="shared" si="14"/>
        <v>108760</v>
      </c>
      <c r="I26" s="299"/>
      <c r="J26" s="260"/>
      <c r="K26" s="44"/>
      <c r="L26" s="44">
        <f t="shared" si="2"/>
        <v>1</v>
      </c>
      <c r="M26" s="36"/>
      <c r="N26" s="36"/>
      <c r="O26" s="256"/>
      <c r="P26" s="254"/>
      <c r="Q26" s="247"/>
      <c r="R26" s="298"/>
      <c r="S26" s="286"/>
      <c r="T26" s="43"/>
      <c r="U26" s="9"/>
      <c r="X26" s="4"/>
    </row>
    <row r="27" spans="2:25" ht="17.399999999999999" x14ac:dyDescent="0.3">
      <c r="B27" s="330">
        <v>1</v>
      </c>
      <c r="C27" s="330" t="s">
        <v>173</v>
      </c>
      <c r="D27" s="331">
        <v>1.5</v>
      </c>
      <c r="E27" s="331">
        <v>0.6</v>
      </c>
      <c r="F27" s="330" t="s">
        <v>176</v>
      </c>
      <c r="G27" s="332">
        <v>154811</v>
      </c>
      <c r="H27" s="332">
        <f t="shared" si="14"/>
        <v>154811</v>
      </c>
      <c r="I27" s="299"/>
      <c r="J27" s="260"/>
      <c r="K27" s="44"/>
      <c r="L27" s="44">
        <f t="shared" si="2"/>
        <v>1</v>
      </c>
      <c r="M27" s="36"/>
      <c r="N27" s="36"/>
      <c r="O27" s="256"/>
      <c r="P27" s="254"/>
      <c r="Q27" s="247"/>
      <c r="R27" s="298"/>
      <c r="S27" s="286"/>
      <c r="T27" s="43"/>
      <c r="U27" s="9"/>
      <c r="X27" s="4"/>
    </row>
    <row r="28" spans="2:25" ht="17.399999999999999" x14ac:dyDescent="0.3">
      <c r="B28" s="330">
        <v>1</v>
      </c>
      <c r="C28" s="330" t="s">
        <v>173</v>
      </c>
      <c r="D28" s="331">
        <v>2</v>
      </c>
      <c r="E28" s="331">
        <v>0.6</v>
      </c>
      <c r="F28" s="330" t="s">
        <v>176</v>
      </c>
      <c r="G28" s="332">
        <v>164205</v>
      </c>
      <c r="H28" s="332">
        <f t="shared" si="14"/>
        <v>164205</v>
      </c>
      <c r="I28" s="299"/>
      <c r="J28" s="260"/>
      <c r="K28" s="44"/>
      <c r="L28" s="44">
        <f t="shared" si="2"/>
        <v>1</v>
      </c>
      <c r="M28" s="36"/>
      <c r="N28" s="36"/>
      <c r="O28" s="256"/>
      <c r="P28" s="254"/>
      <c r="Q28" s="247"/>
      <c r="R28" s="298"/>
      <c r="S28" s="286"/>
      <c r="T28" s="43"/>
      <c r="U28" s="9"/>
      <c r="X28" s="4"/>
    </row>
    <row r="29" spans="2:25" ht="17.399999999999999" x14ac:dyDescent="0.3">
      <c r="B29" s="330">
        <v>1</v>
      </c>
      <c r="C29" s="330" t="s">
        <v>173</v>
      </c>
      <c r="D29" s="331">
        <v>2.5</v>
      </c>
      <c r="E29" s="331">
        <v>0.6</v>
      </c>
      <c r="F29" s="330" t="s">
        <v>176</v>
      </c>
      <c r="G29" s="332">
        <v>175799</v>
      </c>
      <c r="H29" s="332">
        <f t="shared" si="14"/>
        <v>175799</v>
      </c>
      <c r="I29" s="299"/>
      <c r="J29" s="260"/>
      <c r="K29" s="44"/>
      <c r="L29" s="44">
        <f t="shared" si="2"/>
        <v>1</v>
      </c>
      <c r="M29" s="36"/>
      <c r="N29" s="36"/>
      <c r="O29" s="256"/>
      <c r="P29" s="254"/>
      <c r="Q29" s="247"/>
      <c r="R29" s="298"/>
      <c r="S29" s="286"/>
      <c r="T29" s="43"/>
      <c r="U29" s="9"/>
      <c r="X29" s="4"/>
    </row>
    <row r="30" spans="2:25" ht="17.399999999999999" x14ac:dyDescent="0.3">
      <c r="B30" s="330">
        <v>1</v>
      </c>
      <c r="C30" s="330" t="s">
        <v>173</v>
      </c>
      <c r="D30" s="331">
        <v>3</v>
      </c>
      <c r="E30" s="331">
        <v>0.6</v>
      </c>
      <c r="F30" s="330" t="s">
        <v>176</v>
      </c>
      <c r="G30" s="332">
        <v>186843</v>
      </c>
      <c r="H30" s="332">
        <f t="shared" si="14"/>
        <v>186843</v>
      </c>
      <c r="I30" s="299"/>
      <c r="J30" s="260"/>
      <c r="K30" s="44"/>
      <c r="L30" s="44">
        <f t="shared" si="2"/>
        <v>1</v>
      </c>
      <c r="M30" s="36"/>
      <c r="N30" s="36"/>
      <c r="O30" s="256"/>
      <c r="P30" s="254"/>
      <c r="Q30" s="247"/>
      <c r="R30" s="298"/>
      <c r="S30" s="286"/>
      <c r="T30" s="43"/>
      <c r="U30" s="9"/>
      <c r="X30" s="4"/>
    </row>
    <row r="31" spans="2:25" ht="17.399999999999999" x14ac:dyDescent="0.3">
      <c r="B31" s="330">
        <v>1</v>
      </c>
      <c r="C31" s="330" t="s">
        <v>174</v>
      </c>
      <c r="D31" s="331">
        <v>1</v>
      </c>
      <c r="E31" s="331">
        <v>0.6</v>
      </c>
      <c r="F31" s="330" t="s">
        <v>176</v>
      </c>
      <c r="G31" s="332">
        <v>113567</v>
      </c>
      <c r="H31" s="332">
        <f t="shared" si="14"/>
        <v>113567</v>
      </c>
      <c r="I31" s="299"/>
      <c r="J31" s="260"/>
      <c r="K31" s="44"/>
      <c r="L31" s="44">
        <f t="shared" si="2"/>
        <v>1</v>
      </c>
      <c r="M31" s="36"/>
      <c r="N31" s="36"/>
      <c r="O31" s="256"/>
      <c r="P31" s="254"/>
      <c r="Q31" s="247"/>
      <c r="R31" s="298"/>
      <c r="S31" s="286"/>
      <c r="T31" s="43"/>
      <c r="U31" s="9"/>
      <c r="X31" s="4"/>
    </row>
    <row r="32" spans="2:25" ht="17.399999999999999" x14ac:dyDescent="0.3">
      <c r="B32" s="330">
        <v>1</v>
      </c>
      <c r="C32" s="330" t="s">
        <v>174</v>
      </c>
      <c r="D32" s="331">
        <v>1.5</v>
      </c>
      <c r="E32" s="331">
        <v>0.6</v>
      </c>
      <c r="F32" s="330" t="s">
        <v>176</v>
      </c>
      <c r="G32" s="332">
        <v>161712</v>
      </c>
      <c r="H32" s="332">
        <f t="shared" si="14"/>
        <v>161712</v>
      </c>
      <c r="I32" s="299"/>
      <c r="J32" s="260"/>
      <c r="K32" s="44"/>
      <c r="L32" s="44">
        <f t="shared" si="2"/>
        <v>1</v>
      </c>
      <c r="M32" s="36"/>
      <c r="N32" s="36"/>
      <c r="O32" s="256"/>
      <c r="P32" s="254"/>
      <c r="Q32" s="247"/>
      <c r="R32" s="298"/>
      <c r="S32" s="286"/>
      <c r="T32" s="43"/>
      <c r="U32" s="9"/>
      <c r="X32" s="4"/>
    </row>
    <row r="33" spans="2:24" ht="17.399999999999999" x14ac:dyDescent="0.3">
      <c r="B33" s="330">
        <v>1</v>
      </c>
      <c r="C33" s="330" t="s">
        <v>174</v>
      </c>
      <c r="D33" s="331">
        <v>2</v>
      </c>
      <c r="E33" s="331">
        <v>0.6</v>
      </c>
      <c r="F33" s="330" t="s">
        <v>176</v>
      </c>
      <c r="G33" s="332">
        <v>171533</v>
      </c>
      <c r="H33" s="332">
        <f t="shared" si="14"/>
        <v>171533</v>
      </c>
      <c r="I33" s="299"/>
      <c r="J33" s="260"/>
      <c r="K33" s="44"/>
      <c r="L33" s="44">
        <f t="shared" si="2"/>
        <v>1</v>
      </c>
      <c r="M33" s="36"/>
      <c r="N33" s="36"/>
      <c r="O33" s="256"/>
      <c r="P33" s="254"/>
      <c r="Q33" s="247"/>
      <c r="R33" s="298"/>
      <c r="S33" s="286"/>
      <c r="T33" s="43"/>
      <c r="U33" s="9"/>
      <c r="X33" s="4"/>
    </row>
    <row r="34" spans="2:24" ht="17.399999999999999" x14ac:dyDescent="0.3">
      <c r="B34" s="330">
        <v>1</v>
      </c>
      <c r="C34" s="330" t="s">
        <v>174</v>
      </c>
      <c r="D34" s="331">
        <v>2.5</v>
      </c>
      <c r="E34" s="331">
        <v>0.6</v>
      </c>
      <c r="F34" s="330" t="s">
        <v>176</v>
      </c>
      <c r="G34" s="332">
        <v>181296</v>
      </c>
      <c r="H34" s="332">
        <f t="shared" si="14"/>
        <v>181296</v>
      </c>
      <c r="I34" s="299"/>
      <c r="J34" s="260"/>
      <c r="K34" s="44"/>
      <c r="L34" s="44">
        <f t="shared" si="2"/>
        <v>1</v>
      </c>
      <c r="M34" s="36"/>
      <c r="N34" s="36"/>
      <c r="O34" s="256"/>
      <c r="P34" s="254"/>
      <c r="Q34" s="247"/>
      <c r="R34" s="298"/>
      <c r="S34" s="286"/>
      <c r="T34" s="43"/>
      <c r="U34" s="9"/>
      <c r="X34" s="4"/>
    </row>
    <row r="35" spans="2:24" ht="17.399999999999999" x14ac:dyDescent="0.3">
      <c r="B35" s="330">
        <v>1</v>
      </c>
      <c r="C35" s="330" t="s">
        <v>174</v>
      </c>
      <c r="D35" s="331">
        <v>3</v>
      </c>
      <c r="E35" s="331">
        <v>0.6</v>
      </c>
      <c r="F35" s="330" t="s">
        <v>176</v>
      </c>
      <c r="G35" s="332">
        <v>191117</v>
      </c>
      <c r="H35" s="332">
        <f t="shared" si="14"/>
        <v>191117</v>
      </c>
      <c r="I35" s="299"/>
      <c r="J35" s="260"/>
      <c r="K35" s="44"/>
      <c r="L35" s="44">
        <f t="shared" si="2"/>
        <v>1</v>
      </c>
      <c r="M35" s="36"/>
      <c r="N35" s="36"/>
      <c r="O35" s="256"/>
      <c r="P35" s="254"/>
      <c r="Q35" s="247"/>
      <c r="R35" s="298"/>
      <c r="S35" s="286"/>
      <c r="T35" s="43"/>
      <c r="U35" s="9"/>
      <c r="X35" s="4"/>
    </row>
    <row r="36" spans="2:24" ht="17.399999999999999" x14ac:dyDescent="0.3">
      <c r="B36" s="330">
        <v>1</v>
      </c>
      <c r="C36" s="330" t="s">
        <v>173</v>
      </c>
      <c r="D36" s="331">
        <v>1</v>
      </c>
      <c r="E36" s="331">
        <v>0.67</v>
      </c>
      <c r="F36" s="330" t="s">
        <v>176</v>
      </c>
      <c r="G36" s="332">
        <v>111147</v>
      </c>
      <c r="H36" s="332">
        <f t="shared" si="14"/>
        <v>111147</v>
      </c>
      <c r="I36" s="299"/>
      <c r="J36" s="260"/>
      <c r="K36" s="44"/>
      <c r="L36" s="44">
        <f t="shared" si="2"/>
        <v>1</v>
      </c>
      <c r="M36" s="36"/>
      <c r="N36" s="36"/>
      <c r="O36" s="256"/>
      <c r="P36" s="254"/>
      <c r="Q36" s="247"/>
      <c r="R36" s="298"/>
      <c r="S36" s="286"/>
      <c r="T36" s="43"/>
      <c r="U36" s="9"/>
      <c r="X36" s="4"/>
    </row>
    <row r="37" spans="2:24" ht="17.399999999999999" x14ac:dyDescent="0.3">
      <c r="B37" s="330">
        <v>1</v>
      </c>
      <c r="C37" s="330" t="s">
        <v>173</v>
      </c>
      <c r="D37" s="331">
        <v>1.5</v>
      </c>
      <c r="E37" s="331">
        <v>0.67</v>
      </c>
      <c r="F37" s="330" t="s">
        <v>176</v>
      </c>
      <c r="G37" s="332">
        <v>158285</v>
      </c>
      <c r="H37" s="332">
        <f t="shared" si="14"/>
        <v>158285</v>
      </c>
      <c r="I37" s="299"/>
      <c r="J37" s="260"/>
      <c r="K37" s="44"/>
      <c r="L37" s="44">
        <f t="shared" si="2"/>
        <v>1</v>
      </c>
      <c r="M37" s="36"/>
      <c r="N37" s="36"/>
      <c r="O37" s="256"/>
      <c r="P37" s="254"/>
      <c r="Q37" s="247"/>
      <c r="R37" s="298"/>
      <c r="S37" s="286"/>
      <c r="T37" s="43"/>
      <c r="U37" s="9"/>
      <c r="X37" s="4"/>
    </row>
    <row r="38" spans="2:24" ht="17.399999999999999" x14ac:dyDescent="0.3">
      <c r="B38" s="330">
        <v>1</v>
      </c>
      <c r="C38" s="330" t="s">
        <v>173</v>
      </c>
      <c r="D38" s="331">
        <v>2</v>
      </c>
      <c r="E38" s="331">
        <v>0.67</v>
      </c>
      <c r="F38" s="330" t="s">
        <v>176</v>
      </c>
      <c r="G38" s="332">
        <v>168711</v>
      </c>
      <c r="H38" s="332">
        <f t="shared" si="14"/>
        <v>168711</v>
      </c>
      <c r="I38" s="299"/>
      <c r="J38" s="260"/>
      <c r="K38" s="44"/>
      <c r="L38" s="44">
        <f t="shared" si="2"/>
        <v>1</v>
      </c>
      <c r="M38" s="36"/>
      <c r="N38" s="36"/>
      <c r="O38" s="256"/>
      <c r="P38" s="254"/>
      <c r="Q38" s="247"/>
      <c r="R38" s="298"/>
      <c r="S38" s="286"/>
      <c r="T38" s="43"/>
      <c r="U38" s="9"/>
      <c r="X38" s="4"/>
    </row>
    <row r="39" spans="2:24" ht="17.399999999999999" x14ac:dyDescent="0.3">
      <c r="B39" s="330">
        <v>1</v>
      </c>
      <c r="C39" s="330" t="s">
        <v>173</v>
      </c>
      <c r="D39" s="331">
        <v>2.5</v>
      </c>
      <c r="E39" s="331">
        <v>0.67</v>
      </c>
      <c r="F39" s="330" t="s">
        <v>176</v>
      </c>
      <c r="G39" s="332">
        <v>179192</v>
      </c>
      <c r="H39" s="332">
        <f t="shared" si="14"/>
        <v>179192</v>
      </c>
      <c r="I39" s="299"/>
      <c r="J39" s="260"/>
      <c r="K39" s="44"/>
      <c r="L39" s="44">
        <f t="shared" si="2"/>
        <v>1</v>
      </c>
      <c r="M39" s="36"/>
      <c r="N39" s="36"/>
      <c r="O39" s="256"/>
      <c r="P39" s="254"/>
      <c r="Q39" s="247"/>
      <c r="R39" s="298"/>
      <c r="S39" s="286"/>
      <c r="T39" s="43"/>
      <c r="U39" s="9"/>
      <c r="X39" s="4"/>
    </row>
    <row r="40" spans="2:24" ht="17.399999999999999" x14ac:dyDescent="0.3">
      <c r="B40" s="330">
        <v>1</v>
      </c>
      <c r="C40" s="330" t="s">
        <v>173</v>
      </c>
      <c r="D40" s="331">
        <v>3</v>
      </c>
      <c r="E40" s="331">
        <v>0.67</v>
      </c>
      <c r="F40" s="330" t="s">
        <v>176</v>
      </c>
      <c r="G40" s="332">
        <v>189728</v>
      </c>
      <c r="H40" s="332">
        <f t="shared" si="14"/>
        <v>189728</v>
      </c>
      <c r="I40" s="299"/>
      <c r="J40" s="260"/>
      <c r="K40" s="44"/>
      <c r="L40" s="44">
        <f t="shared" si="2"/>
        <v>1</v>
      </c>
      <c r="M40" s="36"/>
      <c r="N40" s="36"/>
      <c r="O40" s="256"/>
      <c r="P40" s="254"/>
      <c r="Q40" s="247"/>
      <c r="R40" s="298"/>
      <c r="S40" s="286"/>
      <c r="T40" s="43"/>
      <c r="U40" s="9"/>
      <c r="X40" s="4"/>
    </row>
    <row r="41" spans="2:24" ht="17.399999999999999" x14ac:dyDescent="0.3">
      <c r="B41" s="330">
        <v>1</v>
      </c>
      <c r="C41" s="330" t="s">
        <v>173</v>
      </c>
      <c r="D41" s="331">
        <v>1</v>
      </c>
      <c r="E41" s="331">
        <v>0.55000000000000004</v>
      </c>
      <c r="F41" s="330" t="s">
        <v>176</v>
      </c>
      <c r="G41" s="332">
        <v>105739</v>
      </c>
      <c r="H41" s="332">
        <f t="shared" si="14"/>
        <v>105739</v>
      </c>
      <c r="I41" s="299"/>
      <c r="J41" s="260"/>
      <c r="K41" s="44"/>
      <c r="L41" s="44">
        <f t="shared" si="2"/>
        <v>1</v>
      </c>
      <c r="M41" s="36"/>
      <c r="N41" s="36"/>
      <c r="O41" s="256"/>
      <c r="P41" s="254"/>
      <c r="Q41" s="247"/>
      <c r="R41" s="298"/>
      <c r="S41" s="286"/>
      <c r="T41" s="43"/>
      <c r="U41" s="9"/>
      <c r="X41" s="4"/>
    </row>
    <row r="42" spans="2:24" ht="17.399999999999999" x14ac:dyDescent="0.3">
      <c r="B42" s="330">
        <v>1</v>
      </c>
      <c r="C42" s="330" t="s">
        <v>173</v>
      </c>
      <c r="D42" s="331">
        <v>1.5</v>
      </c>
      <c r="E42" s="331">
        <v>0.55000000000000004</v>
      </c>
      <c r="F42" s="330" t="s">
        <v>176</v>
      </c>
      <c r="G42" s="332">
        <v>150943</v>
      </c>
      <c r="H42" s="332">
        <f t="shared" si="14"/>
        <v>150943</v>
      </c>
      <c r="I42" s="299"/>
      <c r="J42" s="260"/>
      <c r="K42" s="44"/>
      <c r="L42" s="44">
        <f t="shared" si="2"/>
        <v>1</v>
      </c>
      <c r="M42" s="36"/>
      <c r="N42" s="36"/>
      <c r="O42" s="256"/>
      <c r="P42" s="254"/>
      <c r="Q42" s="247"/>
      <c r="R42" s="298"/>
      <c r="S42" s="286"/>
      <c r="T42" s="43"/>
      <c r="U42" s="9"/>
      <c r="X42" s="4"/>
    </row>
    <row r="43" spans="2:24" ht="17.399999999999999" x14ac:dyDescent="0.3">
      <c r="B43" s="330">
        <v>1</v>
      </c>
      <c r="C43" s="330" t="s">
        <v>173</v>
      </c>
      <c r="D43" s="331">
        <v>2</v>
      </c>
      <c r="E43" s="331">
        <v>0.55000000000000004</v>
      </c>
      <c r="F43" s="330" t="s">
        <v>176</v>
      </c>
      <c r="G43" s="332">
        <v>159545</v>
      </c>
      <c r="H43" s="332">
        <f t="shared" si="14"/>
        <v>159545</v>
      </c>
      <c r="I43" s="299"/>
      <c r="J43" s="260"/>
      <c r="K43" s="44"/>
      <c r="L43" s="44">
        <f t="shared" si="2"/>
        <v>1</v>
      </c>
      <c r="M43" s="36"/>
      <c r="N43" s="36"/>
      <c r="O43" s="256"/>
      <c r="P43" s="254"/>
      <c r="Q43" s="247"/>
      <c r="R43" s="298"/>
      <c r="S43" s="286"/>
      <c r="T43" s="43"/>
      <c r="U43" s="9"/>
      <c r="X43" s="4"/>
    </row>
    <row r="44" spans="2:24" ht="17.399999999999999" x14ac:dyDescent="0.3">
      <c r="B44" s="330">
        <v>1</v>
      </c>
      <c r="C44" s="330" t="s">
        <v>173</v>
      </c>
      <c r="D44" s="331">
        <v>2.5</v>
      </c>
      <c r="E44" s="331">
        <v>0.55000000000000004</v>
      </c>
      <c r="F44" s="330" t="s">
        <v>176</v>
      </c>
      <c r="G44" s="332">
        <v>168147</v>
      </c>
      <c r="H44" s="332">
        <f t="shared" si="14"/>
        <v>168147</v>
      </c>
      <c r="I44" s="299"/>
      <c r="J44" s="260"/>
      <c r="K44" s="44"/>
      <c r="L44" s="44">
        <f t="shared" si="2"/>
        <v>1</v>
      </c>
      <c r="M44" s="36"/>
      <c r="N44" s="36"/>
      <c r="O44" s="256"/>
      <c r="P44" s="254"/>
      <c r="Q44" s="247"/>
      <c r="R44" s="298"/>
      <c r="S44" s="286"/>
      <c r="T44" s="43"/>
      <c r="U44" s="9"/>
      <c r="X44" s="4"/>
    </row>
    <row r="45" spans="2:24" ht="17.399999999999999" x14ac:dyDescent="0.3">
      <c r="B45" s="330">
        <v>1</v>
      </c>
      <c r="C45" s="330" t="s">
        <v>173</v>
      </c>
      <c r="D45" s="331">
        <v>3</v>
      </c>
      <c r="E45" s="331">
        <v>0.55000000000000004</v>
      </c>
      <c r="F45" s="330" t="s">
        <v>176</v>
      </c>
      <c r="G45" s="332">
        <v>176749</v>
      </c>
      <c r="H45" s="332">
        <f t="shared" si="14"/>
        <v>176749</v>
      </c>
      <c r="I45" s="299"/>
      <c r="J45" s="260"/>
      <c r="K45" s="44"/>
      <c r="L45" s="44">
        <f t="shared" si="2"/>
        <v>1</v>
      </c>
      <c r="M45" s="36"/>
      <c r="N45" s="36"/>
      <c r="O45" s="256"/>
      <c r="P45" s="254"/>
      <c r="Q45" s="247"/>
      <c r="R45" s="298"/>
      <c r="S45" s="286"/>
      <c r="T45" s="43"/>
      <c r="U45" s="9"/>
      <c r="X45" s="4"/>
    </row>
    <row r="46" spans="2:24" ht="17.399999999999999" x14ac:dyDescent="0.3">
      <c r="B46" s="330">
        <v>1</v>
      </c>
      <c r="C46" s="330" t="s">
        <v>172</v>
      </c>
      <c r="D46" s="331">
        <v>1</v>
      </c>
      <c r="E46" s="331">
        <v>0.5</v>
      </c>
      <c r="F46" s="330" t="s">
        <v>176</v>
      </c>
      <c r="G46" s="332">
        <v>107719</v>
      </c>
      <c r="H46" s="332">
        <f t="shared" si="14"/>
        <v>107719</v>
      </c>
      <c r="I46" s="299"/>
      <c r="J46" s="260"/>
      <c r="K46" s="44"/>
      <c r="L46" s="44">
        <f t="shared" si="2"/>
        <v>1</v>
      </c>
      <c r="M46" s="36"/>
      <c r="N46" s="36"/>
      <c r="O46" s="256"/>
      <c r="P46" s="254"/>
      <c r="Q46" s="247"/>
      <c r="R46" s="298"/>
      <c r="S46" s="286"/>
      <c r="T46" s="43"/>
      <c r="U46" s="9"/>
      <c r="X46" s="4"/>
    </row>
    <row r="47" spans="2:24" ht="17.399999999999999" x14ac:dyDescent="0.3">
      <c r="B47" s="330">
        <v>1</v>
      </c>
      <c r="C47" s="330" t="s">
        <v>172</v>
      </c>
      <c r="D47" s="331">
        <v>1.5</v>
      </c>
      <c r="E47" s="331">
        <v>0.5</v>
      </c>
      <c r="F47" s="330" t="s">
        <v>176</v>
      </c>
      <c r="G47" s="332">
        <v>153836</v>
      </c>
      <c r="H47" s="332">
        <f t="shared" si="14"/>
        <v>153836</v>
      </c>
      <c r="I47" s="299"/>
      <c r="J47" s="260"/>
      <c r="K47" s="44"/>
      <c r="L47" s="44">
        <f t="shared" si="2"/>
        <v>1</v>
      </c>
      <c r="M47" s="36"/>
      <c r="N47" s="36"/>
      <c r="O47" s="256"/>
      <c r="P47" s="254"/>
      <c r="Q47" s="247"/>
      <c r="R47" s="298"/>
      <c r="S47" s="286"/>
      <c r="T47" s="43"/>
      <c r="U47" s="9"/>
      <c r="X47" s="4"/>
    </row>
    <row r="48" spans="2:24" ht="17.399999999999999" x14ac:dyDescent="0.3">
      <c r="B48" s="330">
        <v>1</v>
      </c>
      <c r="C48" s="330" t="s">
        <v>172</v>
      </c>
      <c r="D48" s="331">
        <v>2</v>
      </c>
      <c r="E48" s="331">
        <v>0.5</v>
      </c>
      <c r="F48" s="330" t="s">
        <v>176</v>
      </c>
      <c r="G48" s="332">
        <v>163296</v>
      </c>
      <c r="H48" s="332">
        <f t="shared" si="14"/>
        <v>163296</v>
      </c>
      <c r="I48" s="299"/>
      <c r="J48" s="260"/>
      <c r="K48" s="44"/>
      <c r="L48" s="44">
        <f t="shared" si="2"/>
        <v>1</v>
      </c>
      <c r="M48" s="36"/>
      <c r="N48" s="36"/>
      <c r="O48" s="256"/>
      <c r="P48" s="254"/>
      <c r="Q48" s="247"/>
      <c r="R48" s="298"/>
      <c r="S48" s="286"/>
      <c r="T48" s="43"/>
      <c r="U48" s="9"/>
      <c r="X48" s="4"/>
    </row>
    <row r="49" spans="2:24" ht="17.399999999999999" x14ac:dyDescent="0.3">
      <c r="B49" s="330">
        <v>1</v>
      </c>
      <c r="C49" s="330" t="s">
        <v>172</v>
      </c>
      <c r="D49" s="331">
        <v>2.5</v>
      </c>
      <c r="E49" s="331">
        <v>0.5</v>
      </c>
      <c r="F49" s="330" t="s">
        <v>176</v>
      </c>
      <c r="G49" s="332">
        <v>172756</v>
      </c>
      <c r="H49" s="332">
        <f t="shared" si="14"/>
        <v>172756</v>
      </c>
      <c r="I49" s="299"/>
      <c r="J49" s="260"/>
      <c r="K49" s="44"/>
      <c r="L49" s="44">
        <f t="shared" si="2"/>
        <v>1</v>
      </c>
      <c r="M49" s="36"/>
      <c r="N49" s="36"/>
      <c r="O49" s="256"/>
      <c r="P49" s="254"/>
      <c r="Q49" s="247"/>
      <c r="R49" s="298"/>
      <c r="S49" s="286"/>
      <c r="T49" s="43"/>
      <c r="U49" s="9"/>
      <c r="X49" s="4"/>
    </row>
    <row r="50" spans="2:24" ht="17.399999999999999" x14ac:dyDescent="0.3">
      <c r="B50" s="330">
        <v>1</v>
      </c>
      <c r="C50" s="330" t="s">
        <v>172</v>
      </c>
      <c r="D50" s="331">
        <v>3</v>
      </c>
      <c r="E50" s="331">
        <v>0.5</v>
      </c>
      <c r="F50" s="330" t="s">
        <v>176</v>
      </c>
      <c r="G50" s="332">
        <v>182216</v>
      </c>
      <c r="H50" s="332">
        <f t="shared" si="14"/>
        <v>182216</v>
      </c>
      <c r="I50" s="299"/>
      <c r="J50" s="260"/>
      <c r="K50" s="44"/>
      <c r="L50" s="44">
        <f t="shared" si="2"/>
        <v>1</v>
      </c>
      <c r="M50" s="36"/>
      <c r="N50" s="36"/>
      <c r="O50" s="256"/>
      <c r="P50" s="254"/>
      <c r="Q50" s="247"/>
      <c r="R50" s="298"/>
      <c r="S50" s="286"/>
      <c r="T50" s="43"/>
      <c r="U50" s="9"/>
      <c r="X50" s="4"/>
    </row>
    <row r="51" spans="2:24" ht="17.399999999999999" x14ac:dyDescent="0.3">
      <c r="B51" s="330">
        <v>1</v>
      </c>
      <c r="C51" s="330" t="s">
        <v>175</v>
      </c>
      <c r="D51" s="331">
        <v>1</v>
      </c>
      <c r="E51" s="331">
        <v>0.6</v>
      </c>
      <c r="F51" s="330" t="s">
        <v>176</v>
      </c>
      <c r="G51" s="332">
        <v>115266</v>
      </c>
      <c r="H51" s="332">
        <f t="shared" si="14"/>
        <v>115266</v>
      </c>
      <c r="I51" s="299"/>
      <c r="J51" s="260"/>
      <c r="K51" s="44"/>
      <c r="L51" s="44">
        <f t="shared" si="2"/>
        <v>1</v>
      </c>
      <c r="M51" s="36"/>
      <c r="N51" s="36"/>
      <c r="O51" s="256"/>
      <c r="P51" s="254"/>
      <c r="Q51" s="247"/>
      <c r="R51" s="298"/>
      <c r="S51" s="286"/>
      <c r="T51" s="43"/>
      <c r="U51" s="9"/>
      <c r="X51" s="4"/>
    </row>
    <row r="52" spans="2:24" ht="17.399999999999999" x14ac:dyDescent="0.3">
      <c r="B52" s="330">
        <v>1</v>
      </c>
      <c r="C52" s="330" t="s">
        <v>175</v>
      </c>
      <c r="D52" s="331">
        <v>1.5</v>
      </c>
      <c r="E52" s="331">
        <v>0.6</v>
      </c>
      <c r="F52" s="330" t="s">
        <v>176</v>
      </c>
      <c r="G52" s="332">
        <v>165201</v>
      </c>
      <c r="H52" s="332">
        <f t="shared" si="14"/>
        <v>165201</v>
      </c>
      <c r="I52" s="299"/>
      <c r="J52" s="260"/>
      <c r="K52" s="44"/>
      <c r="L52" s="44">
        <f t="shared" si="2"/>
        <v>1</v>
      </c>
      <c r="M52" s="36"/>
      <c r="N52" s="36"/>
      <c r="O52" s="256"/>
      <c r="P52" s="254"/>
      <c r="Q52" s="247"/>
      <c r="R52" s="298"/>
      <c r="S52" s="286"/>
      <c r="T52" s="43"/>
      <c r="U52" s="9"/>
      <c r="X52" s="4"/>
    </row>
    <row r="53" spans="2:24" ht="17.399999999999999" x14ac:dyDescent="0.3">
      <c r="B53" s="330">
        <v>1</v>
      </c>
      <c r="C53" s="330" t="s">
        <v>175</v>
      </c>
      <c r="D53" s="331">
        <v>2</v>
      </c>
      <c r="E53" s="331">
        <v>0.6</v>
      </c>
      <c r="F53" s="330" t="s">
        <v>176</v>
      </c>
      <c r="G53" s="332">
        <v>178391</v>
      </c>
      <c r="H53" s="332">
        <f t="shared" si="14"/>
        <v>178391</v>
      </c>
      <c r="I53" s="299"/>
      <c r="J53" s="260"/>
      <c r="K53" s="44"/>
      <c r="L53" s="44">
        <f t="shared" si="2"/>
        <v>1</v>
      </c>
      <c r="M53" s="36"/>
      <c r="N53" s="36"/>
      <c r="O53" s="256"/>
      <c r="P53" s="254"/>
      <c r="Q53" s="247"/>
      <c r="R53" s="298"/>
      <c r="S53" s="286"/>
      <c r="T53" s="43"/>
      <c r="U53" s="9"/>
      <c r="X53" s="4"/>
    </row>
    <row r="54" spans="2:24" ht="17.399999999999999" x14ac:dyDescent="0.3">
      <c r="B54" s="330">
        <v>1</v>
      </c>
      <c r="C54" s="330" t="s">
        <v>175</v>
      </c>
      <c r="D54" s="331">
        <v>2.5</v>
      </c>
      <c r="E54" s="331">
        <v>0.6</v>
      </c>
      <c r="F54" s="330" t="s">
        <v>176</v>
      </c>
      <c r="G54" s="332">
        <v>191668</v>
      </c>
      <c r="H54" s="332">
        <f t="shared" si="14"/>
        <v>191668</v>
      </c>
      <c r="I54" s="299"/>
      <c r="J54" s="260"/>
      <c r="K54" s="44"/>
      <c r="L54" s="44">
        <f t="shared" si="2"/>
        <v>1</v>
      </c>
      <c r="M54" s="36"/>
      <c r="N54" s="36"/>
      <c r="O54" s="256"/>
      <c r="P54" s="254"/>
      <c r="Q54" s="247"/>
      <c r="R54" s="298"/>
      <c r="S54" s="286"/>
      <c r="T54" s="43"/>
      <c r="U54" s="9"/>
      <c r="X54" s="4"/>
    </row>
    <row r="55" spans="2:24" ht="17.399999999999999" x14ac:dyDescent="0.3">
      <c r="B55" s="330">
        <v>1</v>
      </c>
      <c r="C55" s="330" t="s">
        <v>175</v>
      </c>
      <c r="D55" s="331">
        <v>3</v>
      </c>
      <c r="E55" s="331">
        <v>0.6</v>
      </c>
      <c r="F55" s="330" t="s">
        <v>176</v>
      </c>
      <c r="G55" s="332">
        <v>204945</v>
      </c>
      <c r="H55" s="332">
        <f t="shared" si="14"/>
        <v>204945</v>
      </c>
      <c r="I55" s="299"/>
      <c r="J55" s="260"/>
      <c r="K55" s="44"/>
      <c r="L55" s="44">
        <f t="shared" si="2"/>
        <v>1</v>
      </c>
      <c r="M55" s="36"/>
      <c r="N55" s="36"/>
      <c r="O55" s="256"/>
      <c r="P55" s="254"/>
      <c r="Q55" s="247"/>
      <c r="R55" s="298"/>
      <c r="S55" s="286"/>
      <c r="T55" s="43"/>
      <c r="U55" s="9"/>
      <c r="X55" s="4"/>
    </row>
    <row r="56" spans="2:24" ht="17.399999999999999" x14ac:dyDescent="0.3">
      <c r="B56" s="330">
        <v>1</v>
      </c>
      <c r="C56" s="330" t="s">
        <v>173</v>
      </c>
      <c r="D56" s="331">
        <v>1</v>
      </c>
      <c r="E56" s="331">
        <v>0.6</v>
      </c>
      <c r="F56" s="330" t="s">
        <v>177</v>
      </c>
      <c r="G56" s="332">
        <v>34981</v>
      </c>
      <c r="H56" s="332">
        <f t="shared" si="14"/>
        <v>34981</v>
      </c>
      <c r="I56" s="299"/>
      <c r="J56" s="260"/>
      <c r="K56" s="44"/>
      <c r="L56" s="44">
        <f t="shared" si="2"/>
        <v>1</v>
      </c>
      <c r="M56" s="36">
        <f t="shared" ref="M56" si="15">D56+M$19</f>
        <v>1.08</v>
      </c>
      <c r="N56" s="36">
        <f t="shared" ref="N56" si="16">E56+$N$19</f>
        <v>0.6</v>
      </c>
      <c r="O56" s="256">
        <f t="shared" ref="O56" si="17">M56*N56</f>
        <v>0.64800000000000002</v>
      </c>
      <c r="P56" s="254">
        <f t="shared" ref="P56" si="18">O56*L56</f>
        <v>0.64800000000000002</v>
      </c>
      <c r="Q56" s="247">
        <f t="shared" ref="Q56" si="19">Q$20*O56</f>
        <v>61980.950769230767</v>
      </c>
      <c r="R56" s="298">
        <f t="shared" ref="R56" si="20">Q56+R$20</f>
        <v>64980.950769230767</v>
      </c>
      <c r="S56" s="286">
        <f t="shared" ref="S56" si="21">M56*L56</f>
        <v>1.08</v>
      </c>
      <c r="T56" s="43"/>
      <c r="U56" s="9"/>
      <c r="X56" s="4"/>
    </row>
    <row r="57" spans="2:24" ht="17.399999999999999" x14ac:dyDescent="0.3">
      <c r="B57" s="330">
        <v>1</v>
      </c>
      <c r="C57" s="330" t="s">
        <v>173</v>
      </c>
      <c r="D57" s="331">
        <v>1.5</v>
      </c>
      <c r="E57" s="331">
        <v>0.6</v>
      </c>
      <c r="F57" s="330" t="s">
        <v>177</v>
      </c>
      <c r="G57" s="332">
        <v>93676</v>
      </c>
      <c r="H57" s="332">
        <f t="shared" si="14"/>
        <v>93676</v>
      </c>
      <c r="I57" s="299"/>
      <c r="J57" s="260"/>
      <c r="K57" s="44"/>
      <c r="L57" s="44">
        <f t="shared" si="2"/>
        <v>1</v>
      </c>
      <c r="M57" s="36">
        <f t="shared" ref="M57:M60" si="22">D57+M$19</f>
        <v>1.58</v>
      </c>
      <c r="N57" s="36">
        <f t="shared" ref="N57:N60" si="23">E57+$N$19</f>
        <v>0.6</v>
      </c>
      <c r="O57" s="256">
        <f t="shared" ref="O57:O60" si="24">M57*N57</f>
        <v>0.94799999999999995</v>
      </c>
      <c r="P57" s="254">
        <f t="shared" ref="P57:P60" si="25">O57*L57</f>
        <v>0.94799999999999995</v>
      </c>
      <c r="Q57" s="247">
        <f t="shared" ref="Q57:Q60" si="26">Q$20*O57</f>
        <v>90675.835384615377</v>
      </c>
      <c r="R57" s="298">
        <f t="shared" ref="R57:R60" si="27">Q57+R$20</f>
        <v>93675.835384615377</v>
      </c>
      <c r="S57" s="286"/>
      <c r="T57" s="43"/>
      <c r="U57" s="9"/>
      <c r="X57" s="4"/>
    </row>
    <row r="58" spans="2:24" ht="17.399999999999999" x14ac:dyDescent="0.3">
      <c r="B58" s="330">
        <v>1</v>
      </c>
      <c r="C58" s="330" t="s">
        <v>173</v>
      </c>
      <c r="D58" s="331">
        <v>2</v>
      </c>
      <c r="E58" s="331">
        <v>0.6</v>
      </c>
      <c r="F58" s="330" t="s">
        <v>177</v>
      </c>
      <c r="G58" s="332">
        <v>122371</v>
      </c>
      <c r="H58" s="332">
        <f t="shared" si="14"/>
        <v>122371</v>
      </c>
      <c r="I58" s="299"/>
      <c r="J58" s="260"/>
      <c r="K58" s="44"/>
      <c r="L58" s="44">
        <f t="shared" si="2"/>
        <v>1</v>
      </c>
      <c r="M58" s="36">
        <f t="shared" si="22"/>
        <v>2.08</v>
      </c>
      <c r="N58" s="36">
        <f t="shared" si="23"/>
        <v>0.6</v>
      </c>
      <c r="O58" s="256">
        <f t="shared" si="24"/>
        <v>1.248</v>
      </c>
      <c r="P58" s="254">
        <f t="shared" si="25"/>
        <v>1.248</v>
      </c>
      <c r="Q58" s="247">
        <f t="shared" si="26"/>
        <v>119370.71999999999</v>
      </c>
      <c r="R58" s="298">
        <f t="shared" si="27"/>
        <v>122370.71999999999</v>
      </c>
      <c r="S58" s="286"/>
      <c r="T58" s="43"/>
      <c r="U58" s="9"/>
      <c r="X58" s="4"/>
    </row>
    <row r="59" spans="2:24" ht="17.399999999999999" x14ac:dyDescent="0.3">
      <c r="B59" s="330">
        <v>1</v>
      </c>
      <c r="C59" s="330" t="s">
        <v>173</v>
      </c>
      <c r="D59" s="331">
        <v>2.5</v>
      </c>
      <c r="E59" s="331">
        <v>0.6</v>
      </c>
      <c r="F59" s="330" t="s">
        <v>177</v>
      </c>
      <c r="G59" s="332">
        <v>151066</v>
      </c>
      <c r="H59" s="332">
        <f t="shared" si="14"/>
        <v>151066</v>
      </c>
      <c r="I59" s="299"/>
      <c r="J59" s="260"/>
      <c r="K59" s="44"/>
      <c r="L59" s="44">
        <f t="shared" si="2"/>
        <v>1</v>
      </c>
      <c r="M59" s="36">
        <f t="shared" si="22"/>
        <v>2.58</v>
      </c>
      <c r="N59" s="36">
        <f t="shared" si="23"/>
        <v>0.6</v>
      </c>
      <c r="O59" s="256">
        <f t="shared" si="24"/>
        <v>1.548</v>
      </c>
      <c r="P59" s="254">
        <f t="shared" si="25"/>
        <v>1.548</v>
      </c>
      <c r="Q59" s="247">
        <f t="shared" si="26"/>
        <v>148065.6046153846</v>
      </c>
      <c r="R59" s="298">
        <f t="shared" si="27"/>
        <v>151065.6046153846</v>
      </c>
      <c r="S59" s="286"/>
      <c r="T59" s="43"/>
      <c r="U59" s="9"/>
      <c r="X59" s="4"/>
    </row>
    <row r="60" spans="2:24" ht="17.399999999999999" x14ac:dyDescent="0.3">
      <c r="B60" s="330">
        <v>1</v>
      </c>
      <c r="C60" s="330" t="s">
        <v>173</v>
      </c>
      <c r="D60" s="331">
        <v>3</v>
      </c>
      <c r="E60" s="331">
        <v>0.6</v>
      </c>
      <c r="F60" s="330" t="s">
        <v>177</v>
      </c>
      <c r="G60" s="332">
        <v>179760</v>
      </c>
      <c r="H60" s="332">
        <f t="shared" si="14"/>
        <v>179760</v>
      </c>
      <c r="I60" s="299"/>
      <c r="J60" s="260"/>
      <c r="K60" s="44"/>
      <c r="L60" s="44">
        <f t="shared" si="2"/>
        <v>1</v>
      </c>
      <c r="M60" s="36">
        <f t="shared" si="22"/>
        <v>3.08</v>
      </c>
      <c r="N60" s="36">
        <f t="shared" si="23"/>
        <v>0.6</v>
      </c>
      <c r="O60" s="256">
        <f t="shared" si="24"/>
        <v>1.8479999999999999</v>
      </c>
      <c r="P60" s="254">
        <f t="shared" si="25"/>
        <v>1.8479999999999999</v>
      </c>
      <c r="Q60" s="247">
        <f t="shared" si="26"/>
        <v>176760.48923076919</v>
      </c>
      <c r="R60" s="298">
        <f t="shared" si="27"/>
        <v>179760.48923076919</v>
      </c>
      <c r="S60" s="286"/>
      <c r="T60" s="43"/>
      <c r="U60" s="9"/>
      <c r="X60" s="4"/>
    </row>
    <row r="61" spans="2:24" ht="17.399999999999999" x14ac:dyDescent="0.3">
      <c r="B61" s="278"/>
      <c r="C61" s="278"/>
      <c r="D61" s="279"/>
      <c r="E61" s="279"/>
      <c r="F61" s="278"/>
      <c r="G61" s="299"/>
      <c r="H61" s="299"/>
      <c r="I61" s="299"/>
      <c r="J61" s="260"/>
      <c r="K61" s="44"/>
      <c r="L61" s="44"/>
      <c r="M61" s="36"/>
      <c r="N61" s="36"/>
      <c r="O61" s="256"/>
      <c r="P61" s="254"/>
      <c r="Q61" s="247"/>
      <c r="R61" s="298"/>
      <c r="S61" s="286"/>
      <c r="T61" s="43"/>
      <c r="U61" s="9"/>
      <c r="X61" s="4"/>
    </row>
    <row r="62" spans="2:24" ht="18" thickBot="1" x14ac:dyDescent="0.35">
      <c r="B62" s="278"/>
      <c r="C62" s="278"/>
      <c r="D62" s="279"/>
      <c r="E62" s="279"/>
      <c r="F62" s="278"/>
      <c r="G62" s="260"/>
      <c r="H62" s="300"/>
      <c r="I62" s="302"/>
      <c r="J62" s="230"/>
      <c r="K62" s="44"/>
      <c r="L62" s="44"/>
      <c r="M62" s="36"/>
      <c r="N62" s="36"/>
      <c r="O62" s="256"/>
      <c r="P62" s="254"/>
      <c r="Q62" s="247"/>
      <c r="R62" s="253"/>
      <c r="S62" s="286"/>
      <c r="T62" s="14"/>
      <c r="U62" s="9"/>
      <c r="X62" s="4"/>
    </row>
    <row r="63" spans="2:24" ht="17.399999999999999" x14ac:dyDescent="0.3">
      <c r="B63" s="278"/>
      <c r="C63" s="278"/>
      <c r="D63" s="279"/>
      <c r="E63" s="279"/>
      <c r="F63" s="278"/>
      <c r="G63" s="303" t="s">
        <v>28</v>
      </c>
      <c r="H63" s="304">
        <f>SUM(H21:H62)</f>
        <v>6219715</v>
      </c>
      <c r="I63" s="301"/>
      <c r="J63" s="260"/>
      <c r="K63" s="320"/>
      <c r="L63" s="44"/>
      <c r="M63" s="36"/>
      <c r="N63" s="36"/>
      <c r="O63" s="256"/>
      <c r="P63" s="254"/>
      <c r="Q63" s="247"/>
      <c r="R63" s="253"/>
      <c r="S63" s="286"/>
      <c r="T63" s="43">
        <f>SUM(T21:T62)</f>
        <v>0</v>
      </c>
      <c r="U63" s="9"/>
      <c r="X63" s="4"/>
    </row>
    <row r="64" spans="2:24" ht="17.399999999999999" x14ac:dyDescent="0.3">
      <c r="B64" s="272"/>
      <c r="C64" s="275"/>
      <c r="D64" s="276"/>
      <c r="E64" s="276"/>
      <c r="F64" s="277"/>
      <c r="G64" s="285" t="s">
        <v>51</v>
      </c>
      <c r="H64" s="283">
        <f>H63*0.19</f>
        <v>1181745.8500000001</v>
      </c>
      <c r="I64" s="301"/>
      <c r="J64" s="260"/>
      <c r="K64" s="320"/>
      <c r="L64" s="44"/>
      <c r="M64" s="36">
        <f>SUM(M21:M61)</f>
        <v>10.4</v>
      </c>
      <c r="N64" s="12"/>
      <c r="O64" s="12"/>
      <c r="P64" s="248">
        <f>SUM(P21:P62)</f>
        <v>6.24</v>
      </c>
      <c r="Q64" s="14"/>
      <c r="R64" s="12"/>
      <c r="S64" s="236">
        <f>SUM(S21:S63)</f>
        <v>1.08</v>
      </c>
      <c r="T64" s="43"/>
      <c r="U64" s="9"/>
      <c r="X64" s="4"/>
    </row>
    <row r="65" spans="1:24" ht="18" thickBot="1" x14ac:dyDescent="0.35">
      <c r="B65" s="270"/>
      <c r="C65" s="274"/>
      <c r="D65" s="267"/>
      <c r="E65" s="267"/>
      <c r="F65" s="268"/>
      <c r="G65" s="273" t="s">
        <v>6</v>
      </c>
      <c r="H65" s="284">
        <f>H63+H64</f>
        <v>7401460.8499999996</v>
      </c>
      <c r="I65" s="301"/>
      <c r="J65" s="260"/>
      <c r="K65" s="320"/>
      <c r="L65" s="44"/>
      <c r="M65" s="36"/>
      <c r="N65" s="12"/>
      <c r="O65" s="12"/>
      <c r="P65" s="248">
        <f>P64</f>
        <v>6.24</v>
      </c>
      <c r="Q65" s="14"/>
      <c r="R65" s="12"/>
      <c r="S65" s="236"/>
      <c r="T65" s="43"/>
      <c r="U65" s="9"/>
      <c r="X65" s="4"/>
    </row>
    <row r="66" spans="1:24" ht="17.399999999999999" x14ac:dyDescent="0.3">
      <c r="B66" s="270"/>
      <c r="C66" s="266"/>
      <c r="D66" s="267"/>
      <c r="E66" s="267"/>
      <c r="F66" s="268"/>
      <c r="J66" s="260"/>
      <c r="K66" s="320"/>
      <c r="L66" s="44"/>
      <c r="M66" s="14"/>
      <c r="N66" s="12"/>
      <c r="O66" s="12"/>
      <c r="P66" s="36">
        <f>P65*20%</f>
        <v>1.2480000000000002</v>
      </c>
      <c r="Q66" s="36" t="s">
        <v>129</v>
      </c>
      <c r="R66" s="39"/>
      <c r="S66" s="237"/>
      <c r="T66" s="14"/>
      <c r="U66" s="9"/>
      <c r="X66" s="4"/>
    </row>
    <row r="67" spans="1:24" ht="17.399999999999999" x14ac:dyDescent="0.35">
      <c r="B67" s="264"/>
      <c r="C67" s="227"/>
      <c r="D67" s="227"/>
      <c r="E67" s="230"/>
      <c r="F67" s="231"/>
      <c r="G67" s="227"/>
      <c r="H67" s="269"/>
      <c r="I67" s="269"/>
      <c r="J67" s="260"/>
      <c r="K67" s="44"/>
      <c r="L67" s="44"/>
      <c r="M67" s="14"/>
      <c r="N67" s="12"/>
      <c r="O67" s="12"/>
      <c r="P67" s="43">
        <f>P65+P66</f>
        <v>7.4880000000000004</v>
      </c>
      <c r="Q67" s="14"/>
      <c r="R67" s="14"/>
      <c r="S67" s="235"/>
      <c r="T67" s="14"/>
      <c r="U67" s="9"/>
      <c r="X67" s="4"/>
    </row>
    <row r="68" spans="1:24" ht="17.399999999999999" x14ac:dyDescent="0.35">
      <c r="B68" s="232"/>
      <c r="C68" s="233"/>
      <c r="D68" s="234"/>
      <c r="E68" s="232"/>
      <c r="F68" s="227"/>
      <c r="G68" s="227"/>
      <c r="I68" s="269"/>
      <c r="J68" s="260"/>
      <c r="K68" s="44"/>
      <c r="L68" s="44"/>
      <c r="M68" s="14"/>
      <c r="N68" s="14"/>
      <c r="O68" s="14"/>
      <c r="P68" s="14"/>
      <c r="Q68" s="14"/>
      <c r="R68" s="14"/>
      <c r="S68" s="237"/>
      <c r="T68" s="14"/>
      <c r="U68" s="290" t="s">
        <v>21</v>
      </c>
      <c r="V68" s="287" t="s">
        <v>148</v>
      </c>
      <c r="W68" s="291">
        <v>44971</v>
      </c>
      <c r="X68" s="292"/>
    </row>
    <row r="69" spans="1:24" ht="17.399999999999999" x14ac:dyDescent="0.35">
      <c r="B69" s="227"/>
      <c r="C69" s="227"/>
      <c r="D69" s="227"/>
      <c r="E69" s="227"/>
      <c r="F69" s="227"/>
      <c r="G69" s="227"/>
      <c r="J69" s="260"/>
      <c r="K69" s="44"/>
      <c r="L69" s="44"/>
      <c r="M69" s="36">
        <f>P67*2</f>
        <v>14.976000000000001</v>
      </c>
      <c r="N69" s="12">
        <v>3500</v>
      </c>
      <c r="O69" s="12">
        <f t="shared" ref="O69:O74" si="28">M69*N69</f>
        <v>52416</v>
      </c>
      <c r="P69" s="14" t="s">
        <v>21</v>
      </c>
      <c r="Q69" s="14"/>
      <c r="R69" s="14"/>
      <c r="S69" s="238"/>
      <c r="T69" s="14"/>
      <c r="U69" s="290" t="s">
        <v>149</v>
      </c>
      <c r="V69" s="287">
        <v>3625</v>
      </c>
      <c r="W69" s="56" t="s">
        <v>150</v>
      </c>
      <c r="X69" s="292"/>
    </row>
    <row r="70" spans="1:24" ht="17.399999999999999" x14ac:dyDescent="0.35">
      <c r="A70" s="227"/>
      <c r="B70" s="227"/>
      <c r="C70" s="227"/>
      <c r="D70" s="227"/>
      <c r="E70" s="227"/>
      <c r="F70" s="227"/>
      <c r="G70" s="227"/>
      <c r="H70" s="227"/>
      <c r="J70" s="260"/>
      <c r="K70" s="44"/>
      <c r="L70" s="44"/>
      <c r="M70" s="244">
        <v>2</v>
      </c>
      <c r="N70" s="12">
        <v>43000</v>
      </c>
      <c r="O70" s="12">
        <f t="shared" si="28"/>
        <v>86000</v>
      </c>
      <c r="P70" s="36" t="s">
        <v>168</v>
      </c>
      <c r="Q70" s="39"/>
      <c r="R70" s="14"/>
      <c r="S70" s="237"/>
      <c r="T70" s="14"/>
      <c r="U70" s="290"/>
      <c r="V70" s="56">
        <v>906.25</v>
      </c>
      <c r="W70" s="56" t="s">
        <v>151</v>
      </c>
      <c r="X70" s="292"/>
    </row>
    <row r="71" spans="1:24" s="227" customFormat="1" ht="17.399999999999999" x14ac:dyDescent="0.35">
      <c r="B71" s="21" t="s">
        <v>147</v>
      </c>
      <c r="J71" s="257"/>
      <c r="K71" s="229"/>
      <c r="L71" s="245"/>
      <c r="M71" s="14">
        <v>2</v>
      </c>
      <c r="N71" s="245">
        <v>15100</v>
      </c>
      <c r="O71" s="12">
        <f t="shared" si="28"/>
        <v>30200</v>
      </c>
      <c r="P71" s="36" t="s">
        <v>30</v>
      </c>
      <c r="Q71" s="39"/>
      <c r="S71" s="237"/>
      <c r="T71" s="251"/>
      <c r="U71" s="56"/>
      <c r="V71" s="56">
        <f>V70*20%</f>
        <v>181.25</v>
      </c>
      <c r="W71" s="292" t="s">
        <v>152</v>
      </c>
      <c r="X71" s="56"/>
    </row>
    <row r="72" spans="1:24" s="227" customFormat="1" ht="17.399999999999999" x14ac:dyDescent="0.35">
      <c r="B72" s="21" t="s">
        <v>163</v>
      </c>
      <c r="C72"/>
      <c r="D72"/>
      <c r="E72"/>
      <c r="F72"/>
      <c r="J72" s="257"/>
      <c r="K72" s="229"/>
      <c r="L72" s="245"/>
      <c r="M72" s="14">
        <v>4</v>
      </c>
      <c r="N72" s="245">
        <v>25000</v>
      </c>
      <c r="O72" s="12">
        <f t="shared" si="28"/>
        <v>100000</v>
      </c>
      <c r="P72" s="14" t="s">
        <v>139</v>
      </c>
      <c r="Q72" s="17"/>
      <c r="S72" s="235"/>
      <c r="T72" s="251"/>
      <c r="U72" s="56"/>
      <c r="V72" s="56">
        <f>V70+V71</f>
        <v>1087.5</v>
      </c>
      <c r="W72" s="292" t="s">
        <v>153</v>
      </c>
      <c r="X72" s="56"/>
    </row>
    <row r="73" spans="1:24" s="227" customFormat="1" ht="17.399999999999999" x14ac:dyDescent="0.35">
      <c r="B73" s="26" t="s">
        <v>124</v>
      </c>
      <c r="C73"/>
      <c r="D73"/>
      <c r="E73"/>
      <c r="F73" s="226" t="s">
        <v>15</v>
      </c>
      <c r="J73" s="257"/>
      <c r="K73" s="255">
        <v>30840</v>
      </c>
      <c r="L73" s="245"/>
      <c r="M73" s="244"/>
      <c r="N73" s="245">
        <v>900</v>
      </c>
      <c r="O73" s="12">
        <f t="shared" si="28"/>
        <v>0</v>
      </c>
      <c r="P73" s="14" t="s">
        <v>32</v>
      </c>
      <c r="Q73" s="14"/>
      <c r="R73" s="227">
        <v>1.52</v>
      </c>
      <c r="S73" s="235"/>
      <c r="T73" s="235"/>
    </row>
    <row r="74" spans="1:24" s="227" customFormat="1" ht="17.399999999999999" x14ac:dyDescent="0.35">
      <c r="J74" s="282"/>
      <c r="K74" s="255">
        <f>K73/1.19</f>
        <v>25915.966386554624</v>
      </c>
      <c r="L74" s="245"/>
      <c r="M74" s="261">
        <v>10.4</v>
      </c>
      <c r="N74" s="12">
        <v>1500</v>
      </c>
      <c r="O74" s="12">
        <f t="shared" si="28"/>
        <v>15600</v>
      </c>
      <c r="P74" s="14" t="s">
        <v>22</v>
      </c>
      <c r="Q74" s="14"/>
      <c r="R74">
        <v>2.44</v>
      </c>
      <c r="S74"/>
      <c r="T74" s="235"/>
      <c r="X74" s="228"/>
    </row>
    <row r="75" spans="1:24" s="227" customFormat="1" ht="17.399999999999999" x14ac:dyDescent="0.35">
      <c r="K75" s="255"/>
      <c r="L75" s="245"/>
      <c r="M75" s="14"/>
      <c r="N75" s="12"/>
      <c r="O75" s="12">
        <f>SUM(O69:O74)</f>
        <v>284216</v>
      </c>
      <c r="P75" s="36" t="s">
        <v>23</v>
      </c>
      <c r="Q75" s="14"/>
      <c r="R75">
        <f>R73*R74</f>
        <v>3.7088000000000001</v>
      </c>
      <c r="S75"/>
      <c r="T75" s="235"/>
      <c r="X75" s="228"/>
    </row>
    <row r="76" spans="1:24" s="227" customFormat="1" ht="17.399999999999999" x14ac:dyDescent="0.35">
      <c r="L76" s="245"/>
      <c r="M76" s="249" t="s">
        <v>33</v>
      </c>
      <c r="N76" s="12"/>
      <c r="O76" s="250">
        <f>O75*2.1</f>
        <v>596853.6</v>
      </c>
      <c r="P76" s="14" t="s">
        <v>138</v>
      </c>
      <c r="Q76" s="14"/>
      <c r="R76" s="37">
        <f>P67/R75</f>
        <v>2.0189818809318378</v>
      </c>
      <c r="S76"/>
      <c r="T76" s="252"/>
    </row>
    <row r="77" spans="1:24" s="227" customFormat="1" ht="17.399999999999999" x14ac:dyDescent="0.35">
      <c r="G77"/>
      <c r="H77" s="255"/>
      <c r="I77" s="255"/>
      <c r="J77" s="255"/>
      <c r="L77" s="245"/>
      <c r="M77" s="14"/>
      <c r="N77" s="12"/>
      <c r="O77" s="12">
        <f>O76/P65</f>
        <v>95649.615384615376</v>
      </c>
      <c r="P77" s="42" t="s">
        <v>24</v>
      </c>
      <c r="Q77" s="14"/>
      <c r="R77" s="14"/>
      <c r="S77"/>
      <c r="T77" s="235"/>
      <c r="U77" s="56" t="s">
        <v>154</v>
      </c>
      <c r="V77" s="287">
        <v>43650</v>
      </c>
    </row>
    <row r="78" spans="1:24" s="227" customFormat="1" ht="17.399999999999999" x14ac:dyDescent="0.35">
      <c r="G78"/>
      <c r="L78" s="245"/>
      <c r="M78" s="13"/>
      <c r="N78" s="14"/>
      <c r="O78" s="17">
        <f>O76/O75</f>
        <v>2.1</v>
      </c>
      <c r="P78" s="15"/>
      <c r="Q78"/>
      <c r="R78"/>
      <c r="S78"/>
      <c r="T78" s="235"/>
      <c r="U78" s="56" t="s">
        <v>156</v>
      </c>
      <c r="V78" s="288" t="s">
        <v>155</v>
      </c>
      <c r="W78" s="56">
        <v>2.4</v>
      </c>
    </row>
    <row r="79" spans="1:24" s="227" customFormat="1" ht="17.399999999999999" x14ac:dyDescent="0.35">
      <c r="D79" s="279"/>
      <c r="E79" s="279"/>
      <c r="F79" s="278"/>
      <c r="G79" s="322"/>
      <c r="H79" s="321"/>
      <c r="L79" s="12"/>
      <c r="T79" s="235"/>
      <c r="U79" s="56" t="s">
        <v>157</v>
      </c>
      <c r="V79" s="289">
        <v>395.37</v>
      </c>
    </row>
    <row r="80" spans="1:24" s="227" customFormat="1" ht="17.399999999999999" x14ac:dyDescent="0.35">
      <c r="B80"/>
      <c r="C80" s="225"/>
      <c r="D80" s="279"/>
      <c r="E80" s="279"/>
      <c r="F80" s="278"/>
      <c r="G80" s="322"/>
      <c r="H80" s="321"/>
      <c r="L80" s="12"/>
      <c r="T80" s="235"/>
      <c r="U80" s="56" t="s">
        <v>152</v>
      </c>
      <c r="V80" s="56">
        <v>474.45</v>
      </c>
    </row>
    <row r="81" spans="4:22" ht="14.4" customHeight="1" x14ac:dyDescent="0.35">
      <c r="D81" s="279"/>
      <c r="E81" s="279"/>
      <c r="F81" s="278"/>
      <c r="G81" s="322"/>
      <c r="H81" s="321"/>
      <c r="L81" s="12"/>
      <c r="U81" s="56"/>
      <c r="V81" s="56"/>
    </row>
    <row r="82" spans="4:22" ht="17.399999999999999" x14ac:dyDescent="0.35">
      <c r="D82" s="279"/>
      <c r="E82" s="279"/>
      <c r="F82" s="278"/>
      <c r="G82" s="322"/>
      <c r="H82" s="321"/>
      <c r="L82" s="245"/>
    </row>
    <row r="83" spans="4:22" ht="17.399999999999999" x14ac:dyDescent="0.35">
      <c r="D83" s="279"/>
      <c r="E83" s="279"/>
      <c r="F83" s="278"/>
      <c r="G83" s="322"/>
      <c r="H83" s="321"/>
      <c r="L83" s="245"/>
      <c r="T83" s="265"/>
    </row>
    <row r="84" spans="4:22" ht="17.399999999999999" x14ac:dyDescent="0.35">
      <c r="D84" s="279"/>
      <c r="E84" s="279"/>
      <c r="F84" s="278"/>
      <c r="G84" s="322"/>
      <c r="H84" s="321"/>
      <c r="L84" s="245"/>
    </row>
    <row r="85" spans="4:22" ht="15" customHeight="1" x14ac:dyDescent="0.35">
      <c r="D85" s="279"/>
      <c r="E85" s="279"/>
      <c r="F85" s="278"/>
      <c r="G85" s="322"/>
      <c r="H85" s="321"/>
    </row>
    <row r="86" spans="4:22" ht="17.399999999999999" x14ac:dyDescent="0.35">
      <c r="D86" s="279"/>
      <c r="E86" s="279"/>
      <c r="F86" s="278"/>
      <c r="G86" s="322"/>
      <c r="H86" s="321"/>
    </row>
    <row r="87" spans="4:22" ht="17.399999999999999" x14ac:dyDescent="0.35">
      <c r="D87" s="279"/>
      <c r="E87" s="279"/>
      <c r="F87" s="278"/>
      <c r="G87" s="322"/>
      <c r="H87" s="321"/>
      <c r="O87">
        <v>40935</v>
      </c>
      <c r="P87" t="s">
        <v>16</v>
      </c>
      <c r="Q87" t="s">
        <v>26</v>
      </c>
    </row>
    <row r="88" spans="4:22" ht="17.399999999999999" x14ac:dyDescent="0.35">
      <c r="D88" s="279"/>
      <c r="E88" s="279"/>
      <c r="F88" s="278"/>
      <c r="G88" s="322"/>
      <c r="H88" s="321"/>
    </row>
    <row r="89" spans="4:22" ht="17.399999999999999" x14ac:dyDescent="0.35">
      <c r="D89" s="279"/>
      <c r="E89" s="279"/>
      <c r="F89" s="278"/>
      <c r="G89" s="322"/>
      <c r="H89" s="321"/>
      <c r="O89" s="51"/>
      <c r="P89" s="51"/>
    </row>
    <row r="90" spans="4:22" ht="17.399999999999999" x14ac:dyDescent="0.35">
      <c r="D90" s="279"/>
      <c r="E90" s="279"/>
      <c r="F90" s="278"/>
      <c r="G90" s="322"/>
      <c r="H90" s="321"/>
      <c r="S90" s="18"/>
      <c r="T90" s="18"/>
    </row>
    <row r="91" spans="4:22" ht="17.399999999999999" x14ac:dyDescent="0.35">
      <c r="D91" s="279"/>
      <c r="E91" s="279"/>
      <c r="F91" s="278"/>
      <c r="G91" s="322"/>
      <c r="H91" s="321"/>
      <c r="S91" s="18"/>
      <c r="T91" s="18"/>
    </row>
    <row r="92" spans="4:22" ht="17.399999999999999" x14ac:dyDescent="0.35">
      <c r="D92" s="279"/>
      <c r="E92" s="279"/>
      <c r="F92" s="278"/>
      <c r="G92" s="322"/>
      <c r="H92" s="321"/>
      <c r="S92" s="18"/>
      <c r="T92" s="18"/>
    </row>
    <row r="93" spans="4:22" x14ac:dyDescent="0.3">
      <c r="S93" s="18"/>
      <c r="T93" s="18"/>
    </row>
    <row r="94" spans="4:22" x14ac:dyDescent="0.3">
      <c r="S94" s="18"/>
      <c r="T94" s="18"/>
    </row>
    <row r="95" spans="4:22" x14ac:dyDescent="0.3">
      <c r="S95" s="18"/>
      <c r="T95" s="18"/>
    </row>
    <row r="96" spans="4:22" x14ac:dyDescent="0.3">
      <c r="S96" s="18"/>
      <c r="T96" s="18"/>
    </row>
    <row r="97" spans="15:20" x14ac:dyDescent="0.3">
      <c r="S97" s="18"/>
      <c r="T97" s="18"/>
    </row>
    <row r="98" spans="15:20" x14ac:dyDescent="0.3">
      <c r="S98" s="18"/>
      <c r="T98" s="18"/>
    </row>
    <row r="101" spans="15:20" x14ac:dyDescent="0.3">
      <c r="O101" s="40"/>
    </row>
    <row r="102" spans="15:20" x14ac:dyDescent="0.3">
      <c r="O102" s="40"/>
    </row>
    <row r="103" spans="15:20" x14ac:dyDescent="0.3">
      <c r="O103" s="6"/>
    </row>
    <row r="104" spans="15:20" x14ac:dyDescent="0.3">
      <c r="O104" s="6"/>
    </row>
    <row r="193" spans="3:3" x14ac:dyDescent="0.3">
      <c r="C193" t="s">
        <v>144</v>
      </c>
    </row>
    <row r="194" spans="3:3" x14ac:dyDescent="0.3">
      <c r="C194" t="s">
        <v>145</v>
      </c>
    </row>
    <row r="195" spans="3:3" x14ac:dyDescent="0.3">
      <c r="C195" t="s">
        <v>146</v>
      </c>
    </row>
    <row r="620" spans="3:3" x14ac:dyDescent="0.3">
      <c r="C620" t="s">
        <v>144</v>
      </c>
    </row>
  </sheetData>
  <mergeCells count="2">
    <mergeCell ref="F17:H17"/>
    <mergeCell ref="B19:H19"/>
  </mergeCells>
  <phoneticPr fontId="34" type="noConversion"/>
  <hyperlinks>
    <hyperlink ref="F7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45940</v>
      </c>
    </row>
    <row r="6" spans="1:31" ht="16.2" thickBot="1" x14ac:dyDescent="0.35">
      <c r="B6" s="137" t="s">
        <v>2</v>
      </c>
      <c r="C6" s="136" t="str">
        <f>'2229'!C10</f>
        <v>SISTEMA MUEBLES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11648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-976310.32773067628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'2229'!H63</f>
        <v>6219715</v>
      </c>
      <c r="E11" s="129">
        <f>D11*0.19</f>
        <v>1181745.8500000001</v>
      </c>
      <c r="F11" s="128">
        <f>E11+D11</f>
        <v>7401460.8499999996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-870320.32773067628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241235.35574396135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-888320.32773067628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5978479.6442560386</v>
      </c>
      <c r="E13" s="218">
        <f>(D11/D12)-1</f>
        <v>24.782767127225682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-897320.32773067628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-936320.32773067628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430605.11000297096</v>
      </c>
      <c r="C15" s="210" t="s">
        <v>121</v>
      </c>
      <c r="D15" s="211">
        <v>0.5</v>
      </c>
      <c r="E15" s="212">
        <f>(100%+D15)*D12</f>
        <v>361853.033615942</v>
      </c>
      <c r="F15" s="213">
        <f>E15-D12</f>
        <v>120617.67787198065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-936320.32773067628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-896320.32773067628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'2229'!O71</f>
        <v>30200</v>
      </c>
      <c r="E18" s="120">
        <f>D18*0.19</f>
        <v>5738</v>
      </c>
      <c r="F18" s="117">
        <f>SUM(D18:E18)</f>
        <v>35938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'2229'!O70</f>
        <v>86000</v>
      </c>
      <c r="E19" s="120">
        <f>D19*0.19</f>
        <v>16340</v>
      </c>
      <c r="F19" s="117">
        <f>SUM(D19:E19)</f>
        <v>102340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'2229'!O69</f>
        <v>52416</v>
      </c>
      <c r="E20" s="118">
        <f>D20*0.19</f>
        <v>9959.0400000000009</v>
      </c>
      <c r="F20" s="117">
        <f>SUM(D20:E20)</f>
        <v>62375.040000000001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168616</v>
      </c>
      <c r="E21" s="113">
        <f>SUM(E18:E20)</f>
        <v>32037.040000000001</v>
      </c>
      <c r="F21" s="112">
        <f>SUM(F18:F20)</f>
        <v>200653.04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1149708.81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6219715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168616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5978479.6442560386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5978479.6442560386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2025-10-10T15:29:54Z</dcterms:modified>
</cp:coreProperties>
</file>