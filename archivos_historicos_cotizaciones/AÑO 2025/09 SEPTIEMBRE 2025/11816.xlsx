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9 SEPTIEMBRE 2025\"/>
    </mc:Choice>
  </mc:AlternateContent>
  <xr:revisionPtr revIDLastSave="0" documentId="13_ncr:1_{8B652ED3-E747-4F75-8862-5EEF266C7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L21" i="1"/>
  <c r="M21" i="1"/>
  <c r="M24" i="1" s="1"/>
  <c r="N21" i="1"/>
  <c r="O21" i="1" l="1"/>
  <c r="P21" i="1" s="1"/>
  <c r="S21" i="1"/>
  <c r="P24" i="1" l="1"/>
  <c r="S24" i="1"/>
  <c r="T23" i="1"/>
  <c r="V31" i="1" l="1"/>
  <c r="V32" i="1" s="1"/>
  <c r="O30" i="1" l="1"/>
  <c r="P25" i="1" l="1"/>
  <c r="N20" i="1"/>
  <c r="L20" i="1"/>
  <c r="P26" i="1" l="1"/>
  <c r="O31" i="1"/>
  <c r="R35" i="1"/>
  <c r="P27" i="1" l="1"/>
  <c r="M29" i="1" s="1"/>
  <c r="O32" i="1"/>
  <c r="R36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G21" i="1" s="1"/>
  <c r="O38" i="1"/>
  <c r="R21" i="1" l="1"/>
  <c r="H21" i="1" s="1"/>
  <c r="F15" i="3"/>
  <c r="H23" i="1" l="1"/>
  <c r="H24" i="1" s="1"/>
  <c r="D11" i="3" l="1"/>
  <c r="X9" i="3" s="1"/>
  <c r="X15" i="3" s="1"/>
  <c r="H25" i="1"/>
  <c r="X12" i="3"/>
  <c r="E11" i="3" l="1"/>
  <c r="D40" i="3" s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<sst xmlns="http://schemas.openxmlformats.org/spreadsheetml/2006/main" count="226" uniqueCount="173">
  <si>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</si>
  <si>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</si>
  <si>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</si>
  <si>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</si>
  <si>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</si>
  <si>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</si>
  <si>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</si>
  <si>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</si>
  <si>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</si>
  <si>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</si>
  <si>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</si>
  <si>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</si>
  <si>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</si>
  <si>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</si>
  <si>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</si>
  <si>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</si>
  <si>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</si>
  <si>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</si>
  <si>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</si>
  <si>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</si>
  <si>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</si>
  <si>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</si>
  <si>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</si>
  <si>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</si>
  <si>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</si>
  <si>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</si>
  <si>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</si>
  <si>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</si>
  <si>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</si>
  <si>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</si>
  <si>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</si>
  <si>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</si>
  <si>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</si>
  <si>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</si>
  <si>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</si>
  <si>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</si>
  <si>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</si>
  <si>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</si>
  <si>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</si>
  <si>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</si>
  <si>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</si>
  <si>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</si>
  <si>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</si>
  <si>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</si>
  <si>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</si>
  <si>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</si>
  <si>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</si>
  <si>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</si>
  <si>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</si>
  <si>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</si>
  <si>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</si>
  <si>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</si>
  <si>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</si>
  <si>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</si>
  <si>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</si>
  <si>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</si>
  <si>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</si>
  <si>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</si>
  <si>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</si>
  <si>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</si>
  <si>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</si>
  <si>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</si>
  <si>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</si>
  <si>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</si>
  <si>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</si>
  <si>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</si>
  <si>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</si>
  <si>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</si>
  <si>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</si>
  <si>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</si>
  <si>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</si>
  <si>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</si>
  <si>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</si>
  <si>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</si>
  <si>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</si>
  <si>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</si>
  <si>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</si>
  <si>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</si>
  <si>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</si>
  <si>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</si>
  <si>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</si>
  <si>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</si>
  <si>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</si>
  <si>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</si>
  <si>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</si>
  <si>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</si>
  <si>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</si>
  <si>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</si>
  <si>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</si>
  <si>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</si>
  <si>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</si>
  <si>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</si>
  <si>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</si>
  <si>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</si>
  <si>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</si>
  <si>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</si>
  <si>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</si>
  <si>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</si>
  <si>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</si>
  <si>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</si>
  <si>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</si>
  <si>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</si>
  <si>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</si>
  <si>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</si>
  <si>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</si>
  <si>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</si>
  <si>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</si>
  <si>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</si>
  <si>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</si>
  <si>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</si>
  <si>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</si>
  <si>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</si>
  <si>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</si>
  <si>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</si>
  <si>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</si>
  <si>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</si>
  <si>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</si>
  <si>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</si>
  <si>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</si>
  <si>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</si>
  <si>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</si>
  <si>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</si>
  <si>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</si>
  <si>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</si>
  <si>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</si>
  <si>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</si>
  <si>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</si>
  <si>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</si>
  <si>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</si>
  <si>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</si>
  <si>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</si>
  <si>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</si>
  <si>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</si>
  <si>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</si>
  <si>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</si>
  <si>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</si>
  <si>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</si>
  <si>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</si>
  <si>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</si>
  <si>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</si>
  <si>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</si>
  <si>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</si>
  <si>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</si>
  <si>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</si>
  <si>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</si>
  <si>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</si>
  <si>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</si>
  <si>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</si>
  <si>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</si>
  <si>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</si>
  <si>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</si>
  <si>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</si>
  <si>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</si>
  <si>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</si>
  <si>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</si>
  <si>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</si>
  <si>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</si>
  <si>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</si>
  <si>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</si>
  <si>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</si>
  <si>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</si>
  <si>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</si>
  <si>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</si>
  <si>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</si>
  <si>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</si>
  <si>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</si>
  <si>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</si>
  <si>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</si>
  <si>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</si>
  <si>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7 DIAS HABILES</t>
  </si>
  <si>
    <t>CUB C/R 90° R8</t>
  </si>
  <si>
    <t>NEW BLACK GRANITE BR</t>
  </si>
  <si>
    <t>N° 11816C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</si>
</sst>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2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5"/>
      <c r="D10" s="240"/>
      <c r="E10" s="240"/>
      <c r="F10" s="241" t="s">
        <v>166</v>
      </c>
      <c r="G10" s="271">
        <v>45966</v>
      </c>
      <c r="H10" s="329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165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/>
      <c r="D15" s="315"/>
      <c r="F15" t="s">
        <v>167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159</v>
      </c>
      <c r="H16" s="243"/>
    </row>
    <row r="17" spans="1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59615.454545454544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3</v>
      </c>
      <c r="E21" s="331">
        <v>0.5</v>
      </c>
      <c r="F21" s="330" t="s">
        <v>171</v>
      </c>
      <c r="G21" s="332">
        <f>Q21</f>
        <v>91807.8</v>
      </c>
      <c r="H21" s="332">
        <f t="shared" ref="H21" si="1">G21*B21</f>
        <v>91807.8</v>
      </c>
      <c r="I21" s="299"/>
      <c r="J21" s="260"/>
      <c r="K21" s="44"/>
      <c r="L21" s="44">
        <f t="shared" ref="L21" si="2">B21</f>
        <v>1</v>
      </c>
      <c r="M21" s="36">
        <f t="shared" ref="M21" si="3">D21+M$19</f>
        <v>3.08</v>
      </c>
      <c r="N21" s="36">
        <f t="shared" ref="N21" si="4">E21+$N$19</f>
        <v>0.5</v>
      </c>
      <c r="O21" s="256">
        <f t="shared" ref="O21" si="5">M21*N21</f>
        <v>1.54</v>
      </c>
      <c r="P21" s="254">
        <f>O21*L21</f>
        <v>1.54</v>
      </c>
      <c r="Q21" s="247">
        <f t="shared" ref="Q21" si="6">Q$20*O21</f>
        <v>91807.8</v>
      </c>
      <c r="R21" s="298">
        <f t="shared" ref="R21" si="7">Q21+R$20</f>
        <v>94807.8</v>
      </c>
      <c r="S21" s="286">
        <f t="shared" ref="S21" si="8">M21*L21</f>
        <v>3.08</v>
      </c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30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91807.8</v>
      </c>
      <c r="I23" s="301"/>
      <c r="J23" s="260"/>
      <c r="K23" s="320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H23*0.19</f>
        <v>17443.482</v>
      </c>
      <c r="I24" s="301"/>
      <c r="J24" s="260"/>
      <c r="K24" s="320"/>
      <c r="L24" s="44"/>
      <c r="M24" s="36">
        <f>SUM(M21:M21)</f>
        <v>3.08</v>
      </c>
      <c r="N24" s="12"/>
      <c r="O24" s="12"/>
      <c r="P24" s="248">
        <f>SUM(P21:P22)</f>
        <v>1.54</v>
      </c>
      <c r="Q24" s="14"/>
      <c r="R24" s="12"/>
      <c r="S24" s="236">
        <f>SUM(S21:S23)</f>
        <v>3.08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109251.28200000001</v>
      </c>
      <c r="I25" s="301"/>
      <c r="J25" s="260"/>
      <c r="K25" s="320"/>
      <c r="L25" s="44"/>
      <c r="M25" s="36"/>
      <c r="N25" s="12"/>
      <c r="O25" s="12"/>
      <c r="P25" s="248">
        <f>P24</f>
        <v>1.54</v>
      </c>
      <c r="Q25" s="14"/>
      <c r="R25" s="12"/>
      <c r="S25" s="236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20"/>
      <c r="L26" s="44"/>
      <c r="M26" s="14"/>
      <c r="N26" s="12"/>
      <c r="O26" s="12"/>
      <c r="P26" s="36">
        <f>P25*20%</f>
        <v>0.30800000000000005</v>
      </c>
      <c r="Q26" s="36" t="s">
        <v>129</v>
      </c>
      <c r="R26" s="39"/>
      <c r="S26" s="237"/>
      <c r="T26" s="14"/>
      <c r="U26" s="9"/>
      <c r="X26" s="4"/>
    </row>
    <row r="27" spans="1:25" ht="17.399999999999999" x14ac:dyDescent="0.35">
      <c r="B27" s="264"/>
      <c r="C27" s="227"/>
      <c r="D27" s="227"/>
      <c r="E27" s="230"/>
      <c r="F27" s="231"/>
      <c r="G27" s="227"/>
      <c r="H27" s="269"/>
      <c r="I27" s="269"/>
      <c r="J27" s="260"/>
      <c r="K27" s="44"/>
      <c r="L27" s="44"/>
      <c r="M27" s="14"/>
      <c r="N27" s="12"/>
      <c r="O27" s="12"/>
      <c r="P27" s="43">
        <f>P25+P26</f>
        <v>1.8480000000000001</v>
      </c>
      <c r="Q27" s="14"/>
      <c r="R27" s="14"/>
      <c r="S27" s="235"/>
      <c r="T27" s="14"/>
      <c r="U27" s="9"/>
      <c r="X27" s="4"/>
    </row>
    <row r="28" spans="1:25" ht="17.399999999999999" x14ac:dyDescent="0.35">
      <c r="B28" s="232"/>
      <c r="C28" s="233"/>
      <c r="D28" s="234"/>
      <c r="E28" s="232"/>
      <c r="F28" s="227"/>
      <c r="G28" s="227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7"/>
      <c r="T28" s="14"/>
      <c r="U28" s="290" t="s">
        <v>21</v>
      </c>
      <c r="V28" s="287" t="s">
        <v>148</v>
      </c>
      <c r="W28" s="291">
        <v>44971</v>
      </c>
      <c r="X28" s="292"/>
    </row>
    <row r="29" spans="1:25" ht="17.399999999999999" x14ac:dyDescent="0.35">
      <c r="B29" s="227"/>
      <c r="C29" s="227"/>
      <c r="D29" s="227"/>
      <c r="E29" s="227"/>
      <c r="F29" s="227"/>
      <c r="G29" s="227"/>
      <c r="J29" s="260"/>
      <c r="K29" s="44"/>
      <c r="L29" s="44"/>
      <c r="M29" s="36">
        <f>P27</f>
        <v>1.8480000000000001</v>
      </c>
      <c r="N29" s="12">
        <v>3500</v>
      </c>
      <c r="O29" s="12">
        <f t="shared" ref="O29:O34" si="9">M29*N29</f>
        <v>6468</v>
      </c>
      <c r="P29" s="14" t="s">
        <v>21</v>
      </c>
      <c r="Q29" s="14"/>
      <c r="R29" s="14"/>
      <c r="S29" s="238"/>
      <c r="T29" s="14"/>
      <c r="U29" s="290" t="s">
        <v>149</v>
      </c>
      <c r="V29" s="287">
        <v>3625</v>
      </c>
      <c r="W29" s="56" t="s">
        <v>150</v>
      </c>
      <c r="X29" s="292"/>
    </row>
    <row r="30" spans="1:25" ht="17.399999999999999" x14ac:dyDescent="0.35">
      <c r="A30" s="227"/>
      <c r="B30" s="227"/>
      <c r="C30" s="227"/>
      <c r="D30" s="227"/>
      <c r="E30" s="227"/>
      <c r="F30" s="227"/>
      <c r="G30" s="227"/>
      <c r="H30" s="227"/>
      <c r="J30" s="260"/>
      <c r="K30" s="44"/>
      <c r="L30" s="44"/>
      <c r="M30" s="244">
        <v>0.5</v>
      </c>
      <c r="N30" s="12">
        <v>23500</v>
      </c>
      <c r="O30" s="12">
        <f t="shared" si="9"/>
        <v>11750</v>
      </c>
      <c r="P30" s="36" t="s">
        <v>168</v>
      </c>
      <c r="Q30" s="39"/>
      <c r="R30" s="14"/>
      <c r="S30" s="237"/>
      <c r="T30" s="14"/>
      <c r="U30" s="290"/>
      <c r="V30" s="56">
        <v>906.25</v>
      </c>
      <c r="W30" s="56" t="s">
        <v>151</v>
      </c>
      <c r="X30" s="292"/>
    </row>
    <row r="31" spans="1:25" s="227" customFormat="1" ht="17.399999999999999" x14ac:dyDescent="0.35">
      <c r="B31" s="21" t="s">
        <v>147</v>
      </c>
      <c r="J31" s="257"/>
      <c r="K31" s="229"/>
      <c r="L31" s="245"/>
      <c r="M31" s="14"/>
      <c r="N31" s="245">
        <v>30637</v>
      </c>
      <c r="O31" s="12">
        <f t="shared" si="9"/>
        <v>0</v>
      </c>
      <c r="P31" s="36" t="s">
        <v>30</v>
      </c>
      <c r="Q31" s="39"/>
      <c r="S31" s="237"/>
      <c r="T31" s="251"/>
      <c r="U31" s="56"/>
      <c r="V31" s="56">
        <f>V30*20%</f>
        <v>181.25</v>
      </c>
      <c r="W31" s="292" t="s">
        <v>152</v>
      </c>
      <c r="X31" s="56"/>
    </row>
    <row r="32" spans="1:25" s="227" customFormat="1" ht="17.399999999999999" x14ac:dyDescent="0.35">
      <c r="B32" s="21" t="s">
        <v>163</v>
      </c>
      <c r="C32"/>
      <c r="D32"/>
      <c r="E32"/>
      <c r="F32"/>
      <c r="J32" s="257"/>
      <c r="K32" s="229"/>
      <c r="L32" s="245"/>
      <c r="M32" s="14">
        <v>1</v>
      </c>
      <c r="N32" s="245">
        <v>21000</v>
      </c>
      <c r="O32" s="12">
        <f t="shared" si="9"/>
        <v>21000</v>
      </c>
      <c r="P32" s="14" t="s">
        <v>139</v>
      </c>
      <c r="Q32" s="17"/>
      <c r="S32" s="235"/>
      <c r="T32" s="251"/>
      <c r="U32" s="56"/>
      <c r="V32" s="56">
        <f>V30+V31</f>
        <v>1087.5</v>
      </c>
      <c r="W32" s="292" t="s">
        <v>153</v>
      </c>
      <c r="X32" s="56"/>
    </row>
    <row r="33" spans="2:24" s="227" customFormat="1" ht="17.399999999999999" x14ac:dyDescent="0.35">
      <c r="B33" s="26" t="s">
        <v>124</v>
      </c>
      <c r="C33"/>
      <c r="D33"/>
      <c r="E33"/>
      <c r="F33" s="226" t="s">
        <v>15</v>
      </c>
      <c r="J33" s="257"/>
      <c r="K33" s="255">
        <v>30840</v>
      </c>
      <c r="L33" s="245"/>
      <c r="M33" s="244"/>
      <c r="N33" s="245">
        <v>900</v>
      </c>
      <c r="O33" s="12">
        <f t="shared" si="9"/>
        <v>0</v>
      </c>
      <c r="P33" s="14" t="s">
        <v>32</v>
      </c>
      <c r="Q33" s="14"/>
      <c r="R33" s="227">
        <v>1.52</v>
      </c>
      <c r="S33" s="235"/>
      <c r="T33" s="235"/>
    </row>
    <row r="34" spans="2:24" s="227" customFormat="1" ht="17.399999999999999" x14ac:dyDescent="0.35">
      <c r="J34" s="282"/>
      <c r="K34" s="255">
        <f>K33/1.19</f>
        <v>25915.966386554624</v>
      </c>
      <c r="L34" s="245"/>
      <c r="M34" s="261">
        <v>3</v>
      </c>
      <c r="N34" s="12">
        <v>1500</v>
      </c>
      <c r="O34" s="12">
        <f t="shared" si="9"/>
        <v>4500</v>
      </c>
      <c r="P34" s="14" t="s">
        <v>22</v>
      </c>
      <c r="Q34" s="14"/>
      <c r="R34">
        <v>2.44</v>
      </c>
      <c r="S34"/>
      <c r="T34" s="235"/>
      <c r="X34" s="228"/>
    </row>
    <row r="35" spans="2:24" s="227" customFormat="1" ht="17.399999999999999" x14ac:dyDescent="0.35">
      <c r="K35" s="255"/>
      <c r="L35" s="245"/>
      <c r="M35" s="14"/>
      <c r="N35" s="12"/>
      <c r="O35" s="12">
        <f>SUM(O29:O34)</f>
        <v>43718</v>
      </c>
      <c r="P35" s="36" t="s">
        <v>23</v>
      </c>
      <c r="Q35" s="14"/>
      <c r="R35">
        <f>R33*R34</f>
        <v>3.7088000000000001</v>
      </c>
      <c r="S35"/>
      <c r="T35" s="235"/>
      <c r="X35" s="228"/>
    </row>
    <row r="36" spans="2:24" s="227" customFormat="1" ht="17.399999999999999" x14ac:dyDescent="0.35">
      <c r="L36" s="245"/>
      <c r="M36" s="249" t="s">
        <v>33</v>
      </c>
      <c r="N36" s="12"/>
      <c r="O36" s="250">
        <f>O35*2.1</f>
        <v>91807.8</v>
      </c>
      <c r="P36" s="14" t="s">
        <v>138</v>
      </c>
      <c r="Q36" s="14"/>
      <c r="R36" s="37">
        <f>P27/R35</f>
        <v>0.49827437446074202</v>
      </c>
      <c r="S36"/>
      <c r="T36" s="252"/>
    </row>
    <row r="37" spans="2:24" s="227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59615.454545454544</v>
      </c>
      <c r="P37" s="42" t="s">
        <v>24</v>
      </c>
      <c r="Q37" s="14"/>
      <c r="R37" s="14"/>
      <c r="S37"/>
      <c r="T37" s="235"/>
      <c r="U37" s="56" t="s">
        <v>154</v>
      </c>
      <c r="V37" s="287">
        <v>43650</v>
      </c>
    </row>
    <row r="38" spans="2:24" s="227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5"/>
      <c r="U38" s="56" t="s">
        <v>156</v>
      </c>
      <c r="V38" s="288" t="s">
        <v>155</v>
      </c>
      <c r="W38" s="56">
        <v>2.4</v>
      </c>
    </row>
    <row r="39" spans="2:24" s="227" customFormat="1" ht="17.399999999999999" x14ac:dyDescent="0.35">
      <c r="D39" s="279"/>
      <c r="E39" s="279"/>
      <c r="F39" s="278"/>
      <c r="G39" s="322"/>
      <c r="H39" s="321"/>
      <c r="L39" s="12"/>
      <c r="T39" s="235"/>
      <c r="U39" s="56" t="s">
        <v>157</v>
      </c>
      <c r="V39" s="289">
        <v>395.37</v>
      </c>
    </row>
    <row r="40" spans="2:24" s="227" customFormat="1" ht="17.399999999999999" x14ac:dyDescent="0.35">
      <c r="B40"/>
      <c r="C40" s="225"/>
      <c r="D40" s="279"/>
      <c r="E40" s="279"/>
      <c r="F40" s="278"/>
      <c r="G40" s="322"/>
      <c r="H40" s="321"/>
      <c r="L40" s="12"/>
      <c r="T40" s="235"/>
      <c r="U40" s="56" t="s">
        <v>152</v>
      </c>
      <c r="V40" s="56">
        <v>474.45</v>
      </c>
    </row>
    <row r="41" spans="2:24" ht="14.4" customHeight="1" x14ac:dyDescent="0.35">
      <c r="D41" s="279"/>
      <c r="E41" s="279"/>
      <c r="F41" s="278"/>
      <c r="G41" s="322"/>
      <c r="H41" s="321"/>
      <c r="L41" s="12"/>
      <c r="U41" s="56"/>
      <c r="V41" s="56"/>
    </row>
    <row r="42" spans="2:24" ht="17.399999999999999" x14ac:dyDescent="0.35">
      <c r="D42" s="279"/>
      <c r="E42" s="279"/>
      <c r="F42" s="278"/>
      <c r="G42" s="322"/>
      <c r="H42" s="321"/>
      <c r="L42" s="245"/>
    </row>
    <row r="43" spans="2:24" ht="17.399999999999999" x14ac:dyDescent="0.35">
      <c r="D43" s="279"/>
      <c r="E43" s="279"/>
      <c r="F43" s="278"/>
      <c r="G43" s="322"/>
      <c r="H43" s="321"/>
      <c r="L43" s="245"/>
      <c r="T43" s="265"/>
    </row>
    <row r="44" spans="2:24" ht="17.399999999999999" x14ac:dyDescent="0.35">
      <c r="D44" s="279"/>
      <c r="E44" s="279"/>
      <c r="F44" s="278"/>
      <c r="G44" s="322"/>
      <c r="H44" s="321"/>
      <c r="L44" s="245"/>
    </row>
    <row r="45" spans="2:24" ht="15" customHeight="1" x14ac:dyDescent="0.35">
      <c r="D45" s="279"/>
      <c r="E45" s="279"/>
      <c r="F45" s="278"/>
      <c r="G45" s="322"/>
      <c r="H45" s="321"/>
    </row>
    <row r="46" spans="2:24" ht="17.399999999999999" x14ac:dyDescent="0.35">
      <c r="D46" s="279"/>
      <c r="E46" s="279"/>
      <c r="F46" s="278"/>
      <c r="G46" s="322"/>
      <c r="H46" s="321"/>
    </row>
    <row r="47" spans="2:24" ht="17.399999999999999" x14ac:dyDescent="0.35">
      <c r="D47" s="279"/>
      <c r="E47" s="279"/>
      <c r="F47" s="278"/>
      <c r="G47" s="322"/>
      <c r="H47" s="321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2"/>
      <c r="H48" s="321"/>
    </row>
    <row r="49" spans="4:20" ht="17.399999999999999" x14ac:dyDescent="0.35">
      <c r="D49" s="279"/>
      <c r="E49" s="279"/>
      <c r="F49" s="278"/>
      <c r="G49" s="322"/>
      <c r="H49" s="321"/>
      <c r="O49" s="51"/>
      <c r="P49" s="51"/>
    </row>
    <row r="50" spans="4:20" ht="17.399999999999999" x14ac:dyDescent="0.35">
      <c r="D50" s="279"/>
      <c r="E50" s="279"/>
      <c r="F50" s="278"/>
      <c r="G50" s="322"/>
      <c r="H50" s="321"/>
      <c r="S50" s="18"/>
      <c r="T50" s="18"/>
    </row>
    <row r="51" spans="4:20" ht="17.399999999999999" x14ac:dyDescent="0.35">
      <c r="D51" s="279"/>
      <c r="E51" s="279"/>
      <c r="F51" s="278"/>
      <c r="G51" s="322"/>
      <c r="H51" s="321"/>
      <c r="S51" s="18"/>
      <c r="T51" s="18"/>
    </row>
    <row r="52" spans="4:20" ht="17.399999999999999" x14ac:dyDescent="0.35">
      <c r="D52" s="279"/>
      <c r="E52" s="279"/>
      <c r="F52" s="278"/>
      <c r="G52" s="322"/>
      <c r="H52" s="321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153" spans="3:3" x14ac:dyDescent="0.3">
      <c r="C153" t="s">
        <v>144</v>
      </c>
    </row>
    <row r="154" spans="3:3" x14ac:dyDescent="0.3">
      <c r="C154" t="s">
        <v>145</v>
      </c>
    </row>
    <row r="155" spans="3:3" x14ac:dyDescent="0.3">
      <c r="C155" t="s">
        <v>146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>
        <f>'2229'!C10</f>
        <v>0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11816C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7408.0389359903374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91807.8</v>
      </c>
      <c r="E11" s="129">
        <f>D11*0.19</f>
        <v>17443.482</v>
      </c>
      <c r="F11" s="128">
        <f>E11+D11</f>
        <v>109251.28200000001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113398.03893599033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90837.355743961351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95398.038935990335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970.44425603865238</v>
      </c>
      <c r="E13" s="218">
        <f>(D11/D12)-1</f>
        <v>1.0683316880931715E-2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86398.038935990335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47398.038935990335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162144.680002971</v>
      </c>
      <c r="C15" s="210" t="s">
        <v>121</v>
      </c>
      <c r="D15" s="211">
        <v>0.5</v>
      </c>
      <c r="E15" s="212">
        <f>(100%+D15)*D12</f>
        <v>136256.03361594203</v>
      </c>
      <c r="F15" s="213">
        <f>E15-D12</f>
        <v>45418.677871980675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47398.038935990335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87398.038935990335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6468</v>
      </c>
      <c r="E20" s="118">
        <f>D20*0.19</f>
        <v>1228.92</v>
      </c>
      <c r="F20" s="117">
        <f>SUM(D20:E20)</f>
        <v>7696.92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18218</v>
      </c>
      <c r="E21" s="113">
        <f>SUM(E18:E20)</f>
        <v>3461.42</v>
      </c>
      <c r="F21" s="112">
        <f>SUM(F18:F20)</f>
        <v>21679.42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13982.062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91807.8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18218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970.44425603865238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970.44425603865238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2025-11-05T14:28:48Z</cp:lastPrinted>
  <dcterms:created xsi:type="dcterms:W3CDTF">2013-03-18T13:35:42Z</dcterms:created>
  <dcterms:modified xsi:type="dcterms:W3CDTF">2025-11-05T15:49:50Z</dcterms:modified>
</cp:coreProperties>
</file>