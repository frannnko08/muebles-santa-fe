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9 SEPTIEMBRE 2025\"/>
    </mc:Choice>
  </mc:AlternateContent>
  <xr:revisionPtr revIDLastSave="0" documentId="13_ncr:1_{DFD11EAF-77C2-46BF-947E-191240B10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N28" i="1"/>
  <c r="O28" i="1" s="1"/>
  <c r="P28" i="1" s="1"/>
  <c r="N27" i="1"/>
  <c r="O27" i="1" s="1"/>
  <c r="P27" i="1" s="1"/>
  <c r="M29" i="1"/>
  <c r="S29" i="1"/>
  <c r="M28" i="1"/>
  <c r="S28" i="1" s="1"/>
  <c r="M27" i="1"/>
  <c r="S27" i="1" s="1"/>
  <c r="H29" i="1"/>
  <c r="L29" i="1"/>
  <c r="L28" i="1"/>
  <c r="L27" i="1"/>
  <c r="L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M21" i="1"/>
  <c r="M32" i="1" s="1"/>
  <c r="N21" i="1"/>
  <c r="S24" i="1" l="1"/>
  <c r="S25" i="1"/>
  <c r="O22" i="1"/>
  <c r="P22" i="1" s="1"/>
  <c r="O24" i="1"/>
  <c r="P24" i="1" s="1"/>
  <c r="S22" i="1"/>
  <c r="O26" i="1"/>
  <c r="P26" i="1" s="1"/>
  <c r="S23" i="1"/>
  <c r="S26" i="1"/>
  <c r="O25" i="1"/>
  <c r="P25" i="1" s="1"/>
  <c r="O23" i="1"/>
  <c r="P23" i="1" s="1"/>
  <c r="O21" i="1"/>
  <c r="P21" i="1" s="1"/>
  <c r="S21" i="1"/>
  <c r="P32" i="1" l="1"/>
  <c r="S32" i="1"/>
  <c r="T31" i="1"/>
  <c r="V39" i="1" l="1"/>
  <c r="V40" i="1" s="1"/>
  <c r="O38" i="1" l="1"/>
  <c r="P33" i="1" l="1"/>
  <c r="N20" i="1"/>
  <c r="L20" i="1"/>
  <c r="P34" i="1" l="1"/>
  <c r="O39" i="1"/>
  <c r="R43" i="1"/>
  <c r="P35" i="1" l="1"/>
  <c r="M37" i="1" s="1"/>
  <c r="O40" i="1"/>
  <c r="R44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5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7" i="1" l="1"/>
  <c r="H27" i="1" s="1"/>
  <c r="Q28" i="1"/>
  <c r="Q22" i="1"/>
  <c r="Q23" i="1"/>
  <c r="Q24" i="1"/>
  <c r="Q25" i="1"/>
  <c r="Q26" i="1"/>
  <c r="Q21" i="1"/>
  <c r="O46" i="1"/>
  <c r="R27" i="1" l="1"/>
  <c r="H28" i="1"/>
  <c r="R28" i="1"/>
  <c r="R26" i="1"/>
  <c r="H26" i="1"/>
  <c r="R22" i="1"/>
  <c r="H22" i="1"/>
  <c r="R25" i="1"/>
  <c r="H25" i="1"/>
  <c r="R24" i="1"/>
  <c r="H24" i="1"/>
  <c r="R23" i="1"/>
  <c r="H23" i="1"/>
  <c r="R21" i="1"/>
  <c r="H21" i="1" s="1"/>
  <c r="F15" i="3"/>
  <c r="H31" i="1" l="1"/>
  <c r="H32" i="1" s="1"/>
  <c r="D11" i="3"/>
  <c r="X9" i="3" s="1"/>
  <c r="X15" i="3" s="1"/>
  <c r="H33" i="1" l="1"/>
  <c r="X14" i="3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<sst xmlns="http://schemas.openxmlformats.org/spreadsheetml/2006/main" count="243" uniqueCount="177">
  <si>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</si>
  <si>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</si>
  <si>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</si>
  <si>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</si>
  <si>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</si>
  <si>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</si>
  <si>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</si>
  <si>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</si>
  <si>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</si>
  <si>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</si>
  <si>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</si>
  <si>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</si>
  <si>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</si>
  <si>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</si>
  <si>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</si>
  <si>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</si>
  <si>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</si>
  <si>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</si>
  <si>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</si>
  <si>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</si>
  <si>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</si>
  <si>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</si>
  <si>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</si>
  <si>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</si>
  <si>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</si>
  <si>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</si>
  <si>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</si>
  <si>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</si>
  <si>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</si>
  <si>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</si>
  <si>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</si>
  <si>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</si>
  <si>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</si>
  <si>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</si>
  <si>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</si>
  <si>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</si>
  <si>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</si>
  <si>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</si>
  <si>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</si>
  <si>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</si>
  <si>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</si>
  <si>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</si>
  <si>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</si>
  <si>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</si>
  <si>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</si>
  <si>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</si>
  <si>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</si>
  <si>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</si>
  <si>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</si>
  <si>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</si>
  <si>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</si>
  <si>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</si>
  <si>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</si>
  <si>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</si>
  <si>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</si>
  <si>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</si>
  <si>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</si>
  <si>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</si>
  <si>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</si>
  <si>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</si>
  <si>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</si>
  <si>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</si>
  <si>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</si>
  <si>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</si>
  <si>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</si>
  <si>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</si>
  <si>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</si>
  <si>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</si>
  <si>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</si>
  <si>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</si>
  <si>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</si>
  <si>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</si>
  <si>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</si>
  <si>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</si>
  <si>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</si>
  <si>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</si>
  <si>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</si>
  <si>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</si>
  <si>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</si>
  <si>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</si>
  <si>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</si>
  <si>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</si>
  <si>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</si>
  <si>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</si>
  <si>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</si>
  <si>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</si>
  <si>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</si>
  <si>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</si>
  <si>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</si>
  <si>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</si>
  <si>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</si>
  <si>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</si>
  <si>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</si>
  <si>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</si>
  <si>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</si>
  <si>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</si>
  <si>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</si>
  <si>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</si>
  <si>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</si>
  <si>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</si>
  <si>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</si>
  <si>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</si>
  <si>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</si>
  <si>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</si>
  <si>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</si>
  <si>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</si>
  <si>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</si>
  <si>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</si>
  <si>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</si>
  <si>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</si>
  <si>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</si>
  <si>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</si>
  <si>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</si>
  <si>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</si>
  <si>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</si>
  <si>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</si>
  <si>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</si>
  <si>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</si>
  <si>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</si>
  <si>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</si>
  <si>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</si>
  <si>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</si>
  <si>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</si>
  <si>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</si>
  <si>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</si>
  <si>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</si>
  <si>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</si>
  <si>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</si>
  <si>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</si>
  <si>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</si>
  <si>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</si>
  <si>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</si>
  <si>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</si>
  <si>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</si>
  <si>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</si>
  <si>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</si>
  <si>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</si>
  <si>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</si>
  <si>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</si>
  <si>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</si>
  <si>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</si>
  <si>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</si>
  <si>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</si>
  <si>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</si>
  <si>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</si>
  <si>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</si>
  <si>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</si>
  <si>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</si>
  <si>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</si>
  <si>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</si>
  <si>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</si>
  <si>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</si>
  <si>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</si>
  <si>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</si>
  <si>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</si>
  <si>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</si>
  <si>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</si>
  <si>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</si>
  <si>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</si>
  <si>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</si>
  <si>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</si>
  <si>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</si>
  <si>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</si>
  <si>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</si>
  <si>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</si>
  <si>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</si>
  <si>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</si>
  <si>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</si>
  <si>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</si>
  <si>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</si>
  <si>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11676</t>
  </si>
  <si>
    <t>JOSE BASUALTO</t>
  </si>
  <si>
    <t>+56 9 933214283</t>
  </si>
  <si>
    <t>PR8 CORTE 45°</t>
  </si>
  <si>
    <t>PERFORACION PARA BISAGRA 35°</t>
  </si>
  <si>
    <t>WHITE LILY 4283 SF</t>
  </si>
  <si>
    <t>CENEFA R8 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</si>
</sst>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20" borderId="0" xfId="0" applyNumberFormat="1" applyFill="1"/>
    <xf numFmtId="166" fontId="3" fillId="2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CORTADAS A LA MEDIDA CON CORTE 45° Y ENCHAPE CON TAPACANTO PVC 0,45MM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MELAMIL TRASCARA BLANCA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4" zoomScale="93" zoomScaleNormal="93" workbookViewId="0">
      <selection activeCell="I29" sqref="I29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5" t="s">
        <v>171</v>
      </c>
      <c r="D10" s="240"/>
      <c r="E10" s="240"/>
      <c r="F10" s="241" t="s">
        <v>166</v>
      </c>
      <c r="G10" s="271">
        <v>45931</v>
      </c>
      <c r="H10" s="329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165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172</v>
      </c>
      <c r="D15" s="315"/>
      <c r="F15" t="s">
        <v>167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159</v>
      </c>
      <c r="H16" s="243"/>
    </row>
    <row r="17" spans="2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O45</f>
        <v>63351.413291730809</v>
      </c>
      <c r="R20" s="253">
        <v>7000</v>
      </c>
      <c r="S20" s="35"/>
      <c r="T20" s="14" t="s">
        <v>127</v>
      </c>
      <c r="U20" s="9"/>
      <c r="X20" s="4"/>
    </row>
    <row r="21" spans="2:25" ht="17.399999999999999" x14ac:dyDescent="0.3">
      <c r="B21" s="330">
        <v>6</v>
      </c>
      <c r="C21" s="330" t="s">
        <v>173</v>
      </c>
      <c r="D21" s="331">
        <v>0.76</v>
      </c>
      <c r="E21" s="331">
        <v>0.39800000000000002</v>
      </c>
      <c r="F21" s="330" t="s">
        <v>175</v>
      </c>
      <c r="G21" s="332">
        <v>27423</v>
      </c>
      <c r="H21" s="332">
        <f t="shared" ref="H21:H29" si="1">G21*B21</f>
        <v>164538</v>
      </c>
      <c r="I21" s="299"/>
      <c r="J21" s="260"/>
      <c r="K21" s="44"/>
      <c r="L21" s="44">
        <f t="shared" ref="L21:L29" si="2">B21</f>
        <v>6</v>
      </c>
      <c r="M21" s="36">
        <f t="shared" ref="M21" si="3">D21+M$19</f>
        <v>0.81</v>
      </c>
      <c r="N21" s="36">
        <f t="shared" ref="N21" si="4">E21+$N$19</f>
        <v>0.39800000000000002</v>
      </c>
      <c r="O21" s="256">
        <f t="shared" ref="O21" si="5">M21*N21</f>
        <v>0.32238000000000006</v>
      </c>
      <c r="P21" s="254">
        <f>O21*L21</f>
        <v>1.9342800000000002</v>
      </c>
      <c r="Q21" s="247">
        <f t="shared" ref="Q21" si="6">Q$20*O21</f>
        <v>20423.228616988181</v>
      </c>
      <c r="R21" s="298">
        <f t="shared" ref="R21" si="7">Q21+R$20</f>
        <v>27423.228616988181</v>
      </c>
      <c r="S21" s="286">
        <f t="shared" ref="S21" si="8">M21*L21</f>
        <v>4.8600000000000003</v>
      </c>
      <c r="T21" s="43"/>
      <c r="U21" s="9"/>
      <c r="X21" s="4"/>
    </row>
    <row r="22" spans="2:25" ht="17.399999999999999" x14ac:dyDescent="0.3">
      <c r="B22" s="330">
        <v>1</v>
      </c>
      <c r="C22" s="330" t="s">
        <v>173</v>
      </c>
      <c r="D22" s="331">
        <v>0.76</v>
      </c>
      <c r="E22" s="331">
        <v>0.498</v>
      </c>
      <c r="F22" s="330" t="s">
        <v>175</v>
      </c>
      <c r="G22" s="332">
        <v>32555</v>
      </c>
      <c r="H22" s="332">
        <f t="shared" si="1"/>
        <v>32555</v>
      </c>
      <c r="I22" s="299"/>
      <c r="J22" s="260"/>
      <c r="K22" s="44"/>
      <c r="L22" s="44">
        <f t="shared" si="2"/>
        <v>1</v>
      </c>
      <c r="M22" s="36">
        <f t="shared" ref="M22:M29" si="9">D22+M$19</f>
        <v>0.81</v>
      </c>
      <c r="N22" s="36">
        <f t="shared" ref="N22:N28" si="10">E22+$N$19</f>
        <v>0.498</v>
      </c>
      <c r="O22" s="256">
        <f t="shared" ref="O22:O28" si="11">M22*N22</f>
        <v>0.40338000000000002</v>
      </c>
      <c r="P22" s="254">
        <f t="shared" ref="P22:P28" si="12">O22*L22</f>
        <v>0.40338000000000002</v>
      </c>
      <c r="Q22" s="247">
        <f t="shared" ref="Q22:Q28" si="13">Q$20*O22</f>
        <v>25554.693093618374</v>
      </c>
      <c r="R22" s="298">
        <f t="shared" ref="R22:R28" si="14">Q22+R$20</f>
        <v>32554.693093618374</v>
      </c>
      <c r="S22" s="286">
        <f t="shared" ref="S22:S29" si="15">M22*L22</f>
        <v>0.81</v>
      </c>
      <c r="T22" s="43"/>
      <c r="U22" s="9"/>
      <c r="X22" s="4"/>
    </row>
    <row r="23" spans="2:25" ht="17.399999999999999" x14ac:dyDescent="0.3">
      <c r="B23" s="330">
        <v>3</v>
      </c>
      <c r="C23" s="330" t="s">
        <v>173</v>
      </c>
      <c r="D23" s="331">
        <v>0.25</v>
      </c>
      <c r="E23" s="331">
        <v>0.44800000000000001</v>
      </c>
      <c r="F23" s="330" t="s">
        <v>175</v>
      </c>
      <c r="G23" s="332">
        <v>15514</v>
      </c>
      <c r="H23" s="332">
        <f t="shared" si="1"/>
        <v>46542</v>
      </c>
      <c r="I23" s="299"/>
      <c r="J23" s="260"/>
      <c r="K23" s="44"/>
      <c r="L23" s="44">
        <f t="shared" si="2"/>
        <v>3</v>
      </c>
      <c r="M23" s="36">
        <f t="shared" si="9"/>
        <v>0.3</v>
      </c>
      <c r="N23" s="36">
        <f t="shared" si="10"/>
        <v>0.44800000000000001</v>
      </c>
      <c r="O23" s="256">
        <f t="shared" si="11"/>
        <v>0.13439999999999999</v>
      </c>
      <c r="P23" s="254">
        <f t="shared" si="12"/>
        <v>0.4032</v>
      </c>
      <c r="Q23" s="247">
        <f t="shared" si="13"/>
        <v>8514.4299464086198</v>
      </c>
      <c r="R23" s="298">
        <f t="shared" si="14"/>
        <v>15514.42994640862</v>
      </c>
      <c r="S23" s="286">
        <f t="shared" si="15"/>
        <v>0.89999999999999991</v>
      </c>
      <c r="T23" s="43"/>
      <c r="U23" s="9"/>
      <c r="X23" s="4"/>
    </row>
    <row r="24" spans="2:25" ht="17.399999999999999" x14ac:dyDescent="0.3">
      <c r="B24" s="330">
        <v>6</v>
      </c>
      <c r="C24" s="330" t="s">
        <v>173</v>
      </c>
      <c r="D24" s="331">
        <v>0.6</v>
      </c>
      <c r="E24" s="331">
        <v>0.39800000000000002</v>
      </c>
      <c r="F24" s="330" t="s">
        <v>175</v>
      </c>
      <c r="G24" s="332">
        <v>23389</v>
      </c>
      <c r="H24" s="332">
        <f t="shared" si="1"/>
        <v>140334</v>
      </c>
      <c r="I24" s="299"/>
      <c r="J24" s="260"/>
      <c r="K24" s="44"/>
      <c r="L24" s="345">
        <f t="shared" si="2"/>
        <v>6</v>
      </c>
      <c r="M24" s="346">
        <f t="shared" si="9"/>
        <v>0.65</v>
      </c>
      <c r="N24" s="346">
        <f t="shared" si="10"/>
        <v>0.39800000000000002</v>
      </c>
      <c r="O24" s="256">
        <f t="shared" si="11"/>
        <v>0.25870000000000004</v>
      </c>
      <c r="P24" s="254">
        <f t="shared" si="12"/>
        <v>1.5522000000000002</v>
      </c>
      <c r="Q24" s="247">
        <f t="shared" si="13"/>
        <v>16389.010618570763</v>
      </c>
      <c r="R24" s="298">
        <f t="shared" si="14"/>
        <v>23389.010618570763</v>
      </c>
      <c r="S24" s="286">
        <f t="shared" si="15"/>
        <v>3.9000000000000004</v>
      </c>
      <c r="T24" s="43"/>
      <c r="U24" s="9"/>
      <c r="X24" s="4"/>
    </row>
    <row r="25" spans="2:25" ht="17.399999999999999" x14ac:dyDescent="0.3">
      <c r="B25" s="330">
        <v>1</v>
      </c>
      <c r="C25" s="330" t="s">
        <v>173</v>
      </c>
      <c r="D25" s="331">
        <v>0.6</v>
      </c>
      <c r="E25" s="331">
        <v>0.498</v>
      </c>
      <c r="F25" s="330" t="s">
        <v>175</v>
      </c>
      <c r="G25" s="332">
        <v>27507</v>
      </c>
      <c r="H25" s="332">
        <f t="shared" si="1"/>
        <v>27507</v>
      </c>
      <c r="I25" s="299"/>
      <c r="J25" s="260"/>
      <c r="K25" s="44"/>
      <c r="L25" s="345">
        <f t="shared" si="2"/>
        <v>1</v>
      </c>
      <c r="M25" s="346">
        <f t="shared" si="9"/>
        <v>0.65</v>
      </c>
      <c r="N25" s="346">
        <f t="shared" si="10"/>
        <v>0.498</v>
      </c>
      <c r="O25" s="256">
        <f t="shared" si="11"/>
        <v>0.32369999999999999</v>
      </c>
      <c r="P25" s="254">
        <f t="shared" si="12"/>
        <v>0.32369999999999999</v>
      </c>
      <c r="Q25" s="247">
        <f t="shared" si="13"/>
        <v>20506.852482533261</v>
      </c>
      <c r="R25" s="298">
        <f t="shared" si="14"/>
        <v>27506.852482533261</v>
      </c>
      <c r="S25" s="286">
        <f t="shared" si="15"/>
        <v>0.65</v>
      </c>
      <c r="T25" s="43"/>
      <c r="U25" s="9"/>
      <c r="X25" s="4"/>
    </row>
    <row r="26" spans="2:25" ht="17.399999999999999" x14ac:dyDescent="0.3">
      <c r="B26" s="330">
        <v>1</v>
      </c>
      <c r="C26" s="330" t="s">
        <v>173</v>
      </c>
      <c r="D26" s="331">
        <v>0.6</v>
      </c>
      <c r="E26" s="331">
        <v>0.44800000000000001</v>
      </c>
      <c r="F26" s="330" t="s">
        <v>175</v>
      </c>
      <c r="G26" s="332">
        <v>25448</v>
      </c>
      <c r="H26" s="332">
        <f t="shared" si="1"/>
        <v>25448</v>
      </c>
      <c r="I26" s="299"/>
      <c r="J26" s="260"/>
      <c r="K26" s="44"/>
      <c r="L26" s="345">
        <f t="shared" si="2"/>
        <v>1</v>
      </c>
      <c r="M26" s="346">
        <f t="shared" si="9"/>
        <v>0.65</v>
      </c>
      <c r="N26" s="346">
        <f t="shared" si="10"/>
        <v>0.44800000000000001</v>
      </c>
      <c r="O26" s="256">
        <f t="shared" si="11"/>
        <v>0.29120000000000001</v>
      </c>
      <c r="P26" s="254">
        <f t="shared" si="12"/>
        <v>0.29120000000000001</v>
      </c>
      <c r="Q26" s="247">
        <f t="shared" si="13"/>
        <v>18447.931550552014</v>
      </c>
      <c r="R26" s="298">
        <f t="shared" si="14"/>
        <v>25447.931550552014</v>
      </c>
      <c r="S26" s="286">
        <f t="shared" si="15"/>
        <v>0.65</v>
      </c>
      <c r="T26" s="43"/>
      <c r="U26" s="9"/>
      <c r="X26" s="4"/>
    </row>
    <row r="27" spans="2:25" ht="17.399999999999999" x14ac:dyDescent="0.3">
      <c r="B27" s="330">
        <v>2</v>
      </c>
      <c r="C27" s="330" t="s">
        <v>176</v>
      </c>
      <c r="D27" s="331">
        <v>2.4</v>
      </c>
      <c r="E27" s="331">
        <v>0.1</v>
      </c>
      <c r="F27" s="330" t="s">
        <v>175</v>
      </c>
      <c r="G27" s="332">
        <v>22521</v>
      </c>
      <c r="H27" s="332">
        <f t="shared" si="1"/>
        <v>45042</v>
      </c>
      <c r="I27" s="299"/>
      <c r="J27" s="260"/>
      <c r="K27" s="44"/>
      <c r="L27" s="44">
        <f t="shared" si="2"/>
        <v>2</v>
      </c>
      <c r="M27" s="36">
        <f t="shared" si="9"/>
        <v>2.4499999999999997</v>
      </c>
      <c r="N27" s="36">
        <f t="shared" si="10"/>
        <v>0.1</v>
      </c>
      <c r="O27" s="256">
        <f t="shared" si="11"/>
        <v>0.245</v>
      </c>
      <c r="P27" s="254">
        <f t="shared" si="12"/>
        <v>0.49</v>
      </c>
      <c r="Q27" s="247">
        <f t="shared" si="13"/>
        <v>15521.096256474048</v>
      </c>
      <c r="R27" s="298">
        <f t="shared" si="14"/>
        <v>22521.096256474048</v>
      </c>
      <c r="S27" s="286">
        <f t="shared" si="15"/>
        <v>4.8999999999999995</v>
      </c>
      <c r="T27" s="43"/>
      <c r="U27" s="9"/>
      <c r="X27" s="4"/>
    </row>
    <row r="28" spans="2:25" ht="17.399999999999999" x14ac:dyDescent="0.3">
      <c r="B28" s="330">
        <v>2</v>
      </c>
      <c r="C28" s="330" t="s">
        <v>176</v>
      </c>
      <c r="D28" s="331">
        <v>2.4</v>
      </c>
      <c r="E28" s="331">
        <v>0.06</v>
      </c>
      <c r="F28" s="330" t="s">
        <v>175</v>
      </c>
      <c r="G28" s="332">
        <v>16313</v>
      </c>
      <c r="H28" s="332">
        <f t="shared" si="1"/>
        <v>32626</v>
      </c>
      <c r="I28" s="299"/>
      <c r="J28" s="260"/>
      <c r="K28" s="44"/>
      <c r="L28" s="44">
        <f t="shared" si="2"/>
        <v>2</v>
      </c>
      <c r="M28" s="36">
        <f t="shared" si="9"/>
        <v>2.4499999999999997</v>
      </c>
      <c r="N28" s="36">
        <f t="shared" si="10"/>
        <v>0.06</v>
      </c>
      <c r="O28" s="256">
        <f t="shared" si="11"/>
        <v>0.14699999999999999</v>
      </c>
      <c r="P28" s="254">
        <f t="shared" si="12"/>
        <v>0.29399999999999998</v>
      </c>
      <c r="Q28" s="247">
        <f t="shared" si="13"/>
        <v>9312.6577538844285</v>
      </c>
      <c r="R28" s="298">
        <f t="shared" si="14"/>
        <v>16312.657753884429</v>
      </c>
      <c r="S28" s="286">
        <f t="shared" si="15"/>
        <v>4.8999999999999995</v>
      </c>
      <c r="T28" s="43"/>
      <c r="U28" s="9"/>
      <c r="X28" s="4"/>
    </row>
    <row r="29" spans="2:25" ht="17.399999999999999" x14ac:dyDescent="0.3">
      <c r="B29" s="330">
        <v>15</v>
      </c>
      <c r="C29" s="330" t="s">
        <v>174</v>
      </c>
      <c r="D29" s="331">
        <v>4</v>
      </c>
      <c r="E29" s="331"/>
      <c r="F29" s="330"/>
      <c r="G29" s="332">
        <v>1000</v>
      </c>
      <c r="H29" s="332">
        <f t="shared" si="1"/>
        <v>15000</v>
      </c>
      <c r="I29" s="299"/>
      <c r="J29" s="260"/>
      <c r="K29" s="44"/>
      <c r="L29" s="44">
        <f t="shared" si="2"/>
        <v>15</v>
      </c>
      <c r="M29" s="36">
        <f t="shared" si="9"/>
        <v>4.05</v>
      </c>
      <c r="N29" s="36"/>
      <c r="O29" s="256"/>
      <c r="P29" s="254"/>
      <c r="Q29" s="247"/>
      <c r="R29" s="298"/>
      <c r="S29" s="286">
        <f t="shared" si="15"/>
        <v>60.75</v>
      </c>
      <c r="T29" s="43"/>
      <c r="U29" s="9"/>
      <c r="X29" s="4"/>
    </row>
    <row r="30" spans="2:25" ht="18" thickBot="1" x14ac:dyDescent="0.35">
      <c r="B30" s="278"/>
      <c r="C30" s="278"/>
      <c r="D30" s="279"/>
      <c r="E30" s="279"/>
      <c r="F30" s="278"/>
      <c r="G30" s="260"/>
      <c r="H30" s="300"/>
      <c r="I30" s="302"/>
      <c r="J30" s="230"/>
      <c r="K30" s="44"/>
      <c r="L30" s="44"/>
      <c r="M30" s="36"/>
      <c r="N30" s="36"/>
      <c r="O30" s="256"/>
      <c r="P30" s="254"/>
      <c r="Q30" s="247"/>
      <c r="R30" s="253"/>
      <c r="S30" s="286"/>
      <c r="T30" s="14"/>
      <c r="U30" s="9"/>
      <c r="X30" s="4"/>
    </row>
    <row r="31" spans="2:25" ht="17.399999999999999" x14ac:dyDescent="0.3">
      <c r="B31" s="278"/>
      <c r="C31" s="278"/>
      <c r="D31" s="279"/>
      <c r="E31" s="279"/>
      <c r="F31" s="278"/>
      <c r="G31" s="303" t="s">
        <v>28</v>
      </c>
      <c r="H31" s="304">
        <f>SUM(H21:H30)</f>
        <v>529592</v>
      </c>
      <c r="I31" s="301"/>
      <c r="J31" s="260"/>
      <c r="K31" s="320"/>
      <c r="L31" s="44"/>
      <c r="M31" s="36"/>
      <c r="N31" s="36"/>
      <c r="O31" s="256"/>
      <c r="P31" s="254"/>
      <c r="Q31" s="247"/>
      <c r="R31" s="253"/>
      <c r="S31" s="286"/>
      <c r="T31" s="43">
        <f>SUM(T21:T30)</f>
        <v>0</v>
      </c>
      <c r="U31" s="9"/>
      <c r="X31" s="4"/>
    </row>
    <row r="32" spans="2:25" ht="17.399999999999999" x14ac:dyDescent="0.3">
      <c r="B32" s="272"/>
      <c r="C32" s="275"/>
      <c r="D32" s="276"/>
      <c r="E32" s="276"/>
      <c r="F32" s="277"/>
      <c r="G32" s="285" t="s">
        <v>51</v>
      </c>
      <c r="H32" s="283">
        <f>H31*0.19</f>
        <v>100622.48</v>
      </c>
      <c r="I32" s="301"/>
      <c r="J32" s="260"/>
      <c r="K32" s="320"/>
      <c r="L32" s="44"/>
      <c r="M32" s="36">
        <f>SUM(M21:M21)</f>
        <v>0.81</v>
      </c>
      <c r="N32" s="12"/>
      <c r="O32" s="12"/>
      <c r="P32" s="248">
        <f>SUM(P21:P30)</f>
        <v>5.6919599999999999</v>
      </c>
      <c r="Q32" s="14"/>
      <c r="R32" s="12"/>
      <c r="S32" s="236">
        <f>SUM(S21:S31)</f>
        <v>82.32</v>
      </c>
      <c r="T32" s="43"/>
      <c r="U32" s="9"/>
      <c r="X32" s="4"/>
    </row>
    <row r="33" spans="1:24" ht="18" thickBot="1" x14ac:dyDescent="0.35">
      <c r="B33" s="270"/>
      <c r="C33" s="274"/>
      <c r="D33" s="267"/>
      <c r="E33" s="267"/>
      <c r="F33" s="268"/>
      <c r="G33" s="273" t="s">
        <v>6</v>
      </c>
      <c r="H33" s="284">
        <f>H31+H32</f>
        <v>630214.48</v>
      </c>
      <c r="I33" s="301"/>
      <c r="J33" s="260"/>
      <c r="K33" s="320"/>
      <c r="L33" s="44"/>
      <c r="M33" s="36"/>
      <c r="N33" s="12"/>
      <c r="O33" s="12"/>
      <c r="P33" s="248">
        <f>P32</f>
        <v>5.6919599999999999</v>
      </c>
      <c r="Q33" s="14"/>
      <c r="R33" s="12"/>
      <c r="S33" s="236"/>
      <c r="T33" s="43"/>
      <c r="U33" s="9"/>
      <c r="X33" s="4"/>
    </row>
    <row r="34" spans="1:24" ht="17.399999999999999" x14ac:dyDescent="0.3">
      <c r="B34" s="270"/>
      <c r="C34" s="266"/>
      <c r="D34" s="267"/>
      <c r="E34" s="267"/>
      <c r="F34" s="268"/>
      <c r="J34" s="260"/>
      <c r="K34" s="320"/>
      <c r="L34" s="44"/>
      <c r="M34" s="14"/>
      <c r="N34" s="12"/>
      <c r="O34" s="12"/>
      <c r="P34" s="36">
        <f>P33*20%</f>
        <v>1.1383920000000001</v>
      </c>
      <c r="Q34" s="36" t="s">
        <v>129</v>
      </c>
      <c r="R34" s="39"/>
      <c r="S34" s="237"/>
      <c r="T34" s="14"/>
      <c r="U34" s="9"/>
      <c r="X34" s="4"/>
    </row>
    <row r="35" spans="1:24" ht="17.399999999999999" x14ac:dyDescent="0.35">
      <c r="B35" s="264"/>
      <c r="C35" s="227"/>
      <c r="D35" s="227"/>
      <c r="E35" s="230"/>
      <c r="F35" s="231"/>
      <c r="G35" s="227"/>
      <c r="H35" s="269"/>
      <c r="I35" s="269"/>
      <c r="J35" s="260"/>
      <c r="K35" s="44"/>
      <c r="L35" s="44"/>
      <c r="M35" s="14"/>
      <c r="N35" s="12"/>
      <c r="O35" s="12"/>
      <c r="P35" s="43">
        <f>P33+P34</f>
        <v>6.8303519999999995</v>
      </c>
      <c r="Q35" s="14"/>
      <c r="R35" s="14"/>
      <c r="S35" s="235"/>
      <c r="T35" s="14"/>
      <c r="U35" s="9"/>
      <c r="X35" s="4"/>
    </row>
    <row r="36" spans="1:24" ht="17.399999999999999" x14ac:dyDescent="0.35">
      <c r="B36" s="232"/>
      <c r="C36" s="233"/>
      <c r="D36" s="234"/>
      <c r="E36" s="232"/>
      <c r="F36" s="227"/>
      <c r="G36" s="227"/>
      <c r="I36" s="269"/>
      <c r="J36" s="260"/>
      <c r="K36" s="44"/>
      <c r="L36" s="44"/>
      <c r="M36" s="14"/>
      <c r="N36" s="14"/>
      <c r="O36" s="14"/>
      <c r="P36" s="14"/>
      <c r="Q36" s="14"/>
      <c r="R36" s="14"/>
      <c r="S36" s="237"/>
      <c r="T36" s="14"/>
      <c r="U36" s="290" t="s">
        <v>21</v>
      </c>
      <c r="V36" s="287" t="s">
        <v>148</v>
      </c>
      <c r="W36" s="291">
        <v>44971</v>
      </c>
      <c r="X36" s="292"/>
    </row>
    <row r="37" spans="1:24" ht="17.399999999999999" x14ac:dyDescent="0.35">
      <c r="B37" s="227"/>
      <c r="C37" s="227"/>
      <c r="D37" s="227"/>
      <c r="E37" s="227"/>
      <c r="F37" s="227"/>
      <c r="G37" s="227"/>
      <c r="J37" s="260"/>
      <c r="K37" s="44"/>
      <c r="L37" s="44"/>
      <c r="M37" s="36">
        <f>P35</f>
        <v>6.8303519999999995</v>
      </c>
      <c r="N37" s="12">
        <v>3500</v>
      </c>
      <c r="O37" s="12">
        <f t="shared" ref="O37:O42" si="16">M37*N37</f>
        <v>23906.232</v>
      </c>
      <c r="P37" s="14" t="s">
        <v>21</v>
      </c>
      <c r="Q37" s="14"/>
      <c r="R37" s="14"/>
      <c r="S37" s="238"/>
      <c r="T37" s="14"/>
      <c r="U37" s="290" t="s">
        <v>149</v>
      </c>
      <c r="V37" s="287">
        <v>3625</v>
      </c>
      <c r="W37" s="56" t="s">
        <v>150</v>
      </c>
      <c r="X37" s="292"/>
    </row>
    <row r="38" spans="1:24" ht="17.399999999999999" x14ac:dyDescent="0.35">
      <c r="A38" s="227"/>
      <c r="B38" s="227"/>
      <c r="C38" s="227"/>
      <c r="D38" s="227"/>
      <c r="E38" s="227"/>
      <c r="F38" s="227"/>
      <c r="G38" s="227"/>
      <c r="H38" s="227"/>
      <c r="J38" s="260"/>
      <c r="K38" s="44"/>
      <c r="L38" s="44"/>
      <c r="M38" s="244">
        <v>2</v>
      </c>
      <c r="N38" s="12">
        <v>43000</v>
      </c>
      <c r="O38" s="12">
        <f t="shared" si="16"/>
        <v>86000</v>
      </c>
      <c r="P38" s="36" t="s">
        <v>168</v>
      </c>
      <c r="Q38" s="39"/>
      <c r="R38" s="14"/>
      <c r="S38" s="237"/>
      <c r="T38" s="14"/>
      <c r="U38" s="290"/>
      <c r="V38" s="56">
        <v>906.25</v>
      </c>
      <c r="W38" s="56" t="s">
        <v>151</v>
      </c>
      <c r="X38" s="292"/>
    </row>
    <row r="39" spans="1:24" s="227" customFormat="1" ht="17.399999999999999" x14ac:dyDescent="0.35">
      <c r="B39" s="21" t="s">
        <v>147</v>
      </c>
      <c r="J39" s="257"/>
      <c r="K39" s="229"/>
      <c r="L39" s="245"/>
      <c r="M39" s="14"/>
      <c r="N39" s="245">
        <v>30637</v>
      </c>
      <c r="O39" s="12">
        <f t="shared" si="16"/>
        <v>0</v>
      </c>
      <c r="P39" s="36" t="s">
        <v>30</v>
      </c>
      <c r="Q39" s="39"/>
      <c r="S39" s="237"/>
      <c r="T39" s="251"/>
      <c r="U39" s="56"/>
      <c r="V39" s="56">
        <f>V38*20%</f>
        <v>181.25</v>
      </c>
      <c r="W39" s="292" t="s">
        <v>152</v>
      </c>
      <c r="X39" s="56"/>
    </row>
    <row r="40" spans="1:24" s="227" customFormat="1" ht="17.399999999999999" x14ac:dyDescent="0.35">
      <c r="B40" s="21" t="s">
        <v>163</v>
      </c>
      <c r="C40"/>
      <c r="D40"/>
      <c r="E40"/>
      <c r="F40"/>
      <c r="J40" s="257"/>
      <c r="K40" s="229"/>
      <c r="L40" s="245"/>
      <c r="M40" s="14">
        <v>2</v>
      </c>
      <c r="N40" s="245">
        <v>27000</v>
      </c>
      <c r="O40" s="12">
        <f t="shared" si="16"/>
        <v>54000</v>
      </c>
      <c r="P40" s="14" t="s">
        <v>139</v>
      </c>
      <c r="Q40" s="17"/>
      <c r="S40" s="235"/>
      <c r="T40" s="251"/>
      <c r="U40" s="56"/>
      <c r="V40" s="56">
        <f>V38+V39</f>
        <v>1087.5</v>
      </c>
      <c r="W40" s="292" t="s">
        <v>153</v>
      </c>
      <c r="X40" s="56"/>
    </row>
    <row r="41" spans="1:24" s="227" customFormat="1" ht="17.399999999999999" x14ac:dyDescent="0.35">
      <c r="B41" s="26" t="s">
        <v>124</v>
      </c>
      <c r="C41"/>
      <c r="D41"/>
      <c r="E41"/>
      <c r="F41" s="226" t="s">
        <v>15</v>
      </c>
      <c r="J41" s="257"/>
      <c r="K41" s="255"/>
      <c r="L41" s="245"/>
      <c r="M41" s="244"/>
      <c r="N41" s="245">
        <v>900</v>
      </c>
      <c r="O41" s="12">
        <f t="shared" si="16"/>
        <v>0</v>
      </c>
      <c r="P41" s="14" t="s">
        <v>32</v>
      </c>
      <c r="Q41" s="14"/>
      <c r="R41" s="227">
        <v>1.52</v>
      </c>
      <c r="S41" s="235"/>
      <c r="T41" s="235"/>
    </row>
    <row r="42" spans="1:24" s="227" customFormat="1" ht="17.399999999999999" x14ac:dyDescent="0.35">
      <c r="J42" s="282"/>
      <c r="K42" s="255"/>
      <c r="L42" s="245"/>
      <c r="M42" s="261"/>
      <c r="N42" s="12">
        <v>1500</v>
      </c>
      <c r="O42" s="12">
        <f t="shared" si="16"/>
        <v>0</v>
      </c>
      <c r="P42" s="14" t="s">
        <v>22</v>
      </c>
      <c r="Q42" s="14"/>
      <c r="R42">
        <v>2.44</v>
      </c>
      <c r="S42"/>
      <c r="T42" s="235"/>
      <c r="X42" s="228"/>
    </row>
    <row r="43" spans="1:24" s="227" customFormat="1" ht="17.399999999999999" x14ac:dyDescent="0.35">
      <c r="K43" s="255"/>
      <c r="L43" s="245"/>
      <c r="M43" s="14"/>
      <c r="N43" s="12"/>
      <c r="O43" s="12">
        <f>SUM(O37:O42)</f>
        <v>163906.23200000002</v>
      </c>
      <c r="P43" s="36" t="s">
        <v>23</v>
      </c>
      <c r="Q43" s="14"/>
      <c r="R43">
        <f>R41*R42</f>
        <v>3.7088000000000001</v>
      </c>
      <c r="S43"/>
      <c r="T43" s="235"/>
      <c r="X43" s="228"/>
    </row>
    <row r="44" spans="1:24" s="227" customFormat="1" ht="17.399999999999999" x14ac:dyDescent="0.35">
      <c r="L44" s="245"/>
      <c r="M44" s="249" t="s">
        <v>33</v>
      </c>
      <c r="N44" s="12"/>
      <c r="O44" s="250">
        <f>O43*2.2</f>
        <v>360593.7104000001</v>
      </c>
      <c r="P44" s="14" t="s">
        <v>138</v>
      </c>
      <c r="Q44" s="14"/>
      <c r="R44" s="37">
        <f>P35/R43</f>
        <v>1.8416609145815357</v>
      </c>
      <c r="S44"/>
      <c r="T44" s="252"/>
    </row>
    <row r="45" spans="1:24" s="227" customFormat="1" ht="17.399999999999999" x14ac:dyDescent="0.35">
      <c r="G45"/>
      <c r="H45" s="255"/>
      <c r="I45" s="255"/>
      <c r="J45" s="255"/>
      <c r="L45" s="245"/>
      <c r="M45" s="14"/>
      <c r="N45" s="12"/>
      <c r="O45" s="12">
        <f>O44/P33</f>
        <v>63351.413291730809</v>
      </c>
      <c r="P45" s="42" t="s">
        <v>24</v>
      </c>
      <c r="Q45" s="14"/>
      <c r="R45" s="14"/>
      <c r="S45"/>
      <c r="T45" s="235"/>
      <c r="U45" s="56" t="s">
        <v>154</v>
      </c>
      <c r="V45" s="287">
        <v>43650</v>
      </c>
    </row>
    <row r="46" spans="1:24" s="227" customFormat="1" ht="17.399999999999999" x14ac:dyDescent="0.35">
      <c r="G46"/>
      <c r="L46" s="245"/>
      <c r="M46" s="13"/>
      <c r="N46" s="14"/>
      <c r="O46" s="17">
        <f>O44/O43</f>
        <v>2.2000000000000002</v>
      </c>
      <c r="P46" s="15"/>
      <c r="Q46"/>
      <c r="R46"/>
      <c r="S46"/>
      <c r="T46" s="235"/>
      <c r="U46" s="56" t="s">
        <v>156</v>
      </c>
      <c r="V46" s="288" t="s">
        <v>155</v>
      </c>
      <c r="W46" s="56">
        <v>2.4</v>
      </c>
    </row>
    <row r="47" spans="1:24" s="227" customFormat="1" ht="17.399999999999999" x14ac:dyDescent="0.35">
      <c r="D47" s="279"/>
      <c r="E47" s="279"/>
      <c r="F47" s="278"/>
      <c r="G47" s="322"/>
      <c r="H47" s="321"/>
      <c r="L47" s="12"/>
      <c r="T47" s="235"/>
      <c r="U47" s="56" t="s">
        <v>157</v>
      </c>
      <c r="V47" s="289">
        <v>395.37</v>
      </c>
    </row>
    <row r="48" spans="1:24" s="227" customFormat="1" ht="17.399999999999999" x14ac:dyDescent="0.35">
      <c r="B48"/>
      <c r="C48" s="225"/>
      <c r="D48" s="279"/>
      <c r="E48" s="279"/>
      <c r="F48" s="278"/>
      <c r="G48" s="322"/>
      <c r="H48" s="321"/>
      <c r="L48" s="12"/>
      <c r="T48" s="235"/>
      <c r="U48" s="56" t="s">
        <v>152</v>
      </c>
      <c r="V48" s="56">
        <v>474.45</v>
      </c>
    </row>
    <row r="49" spans="4:22" ht="14.4" customHeight="1" x14ac:dyDescent="0.35">
      <c r="D49" s="279"/>
      <c r="E49" s="279"/>
      <c r="F49" s="278"/>
      <c r="G49" s="322"/>
      <c r="H49" s="321"/>
      <c r="L49" s="12"/>
      <c r="U49" s="56"/>
      <c r="V49" s="56"/>
    </row>
    <row r="50" spans="4:22" ht="17.399999999999999" x14ac:dyDescent="0.35">
      <c r="D50" s="279"/>
      <c r="E50" s="279"/>
      <c r="F50" s="278"/>
      <c r="G50" s="322"/>
      <c r="H50" s="321"/>
      <c r="L50" s="245"/>
    </row>
    <row r="51" spans="4:22" ht="17.399999999999999" x14ac:dyDescent="0.35">
      <c r="D51" s="279"/>
      <c r="E51" s="279"/>
      <c r="F51" s="278"/>
      <c r="G51" s="322"/>
      <c r="H51" s="321"/>
      <c r="L51" s="245"/>
      <c r="T51" s="265"/>
    </row>
    <row r="52" spans="4:22" ht="17.399999999999999" x14ac:dyDescent="0.35">
      <c r="D52" s="279"/>
      <c r="E52" s="279"/>
      <c r="F52" s="278"/>
      <c r="G52" s="322"/>
      <c r="H52" s="321"/>
      <c r="L52" s="245"/>
    </row>
    <row r="53" spans="4:22" ht="15" customHeight="1" x14ac:dyDescent="0.35">
      <c r="D53" s="279"/>
      <c r="E53" s="279"/>
      <c r="F53" s="278"/>
      <c r="G53" s="322"/>
      <c r="H53" s="321"/>
    </row>
    <row r="54" spans="4:22" ht="17.399999999999999" x14ac:dyDescent="0.35">
      <c r="D54" s="279"/>
      <c r="E54" s="279"/>
      <c r="F54" s="278"/>
      <c r="G54" s="322"/>
      <c r="H54" s="321"/>
    </row>
    <row r="55" spans="4:22" ht="17.399999999999999" x14ac:dyDescent="0.35">
      <c r="D55" s="279"/>
      <c r="E55" s="279"/>
      <c r="F55" s="278"/>
      <c r="G55" s="322"/>
      <c r="H55" s="321"/>
      <c r="O55">
        <v>40935</v>
      </c>
      <c r="P55" t="s">
        <v>16</v>
      </c>
      <c r="Q55" t="s">
        <v>26</v>
      </c>
    </row>
    <row r="56" spans="4:22" ht="17.399999999999999" x14ac:dyDescent="0.35">
      <c r="D56" s="279"/>
      <c r="E56" s="279"/>
      <c r="F56" s="278"/>
      <c r="G56" s="322"/>
      <c r="H56" s="321"/>
    </row>
    <row r="57" spans="4:22" ht="17.399999999999999" x14ac:dyDescent="0.35">
      <c r="D57" s="279"/>
      <c r="E57" s="279"/>
      <c r="F57" s="278"/>
      <c r="G57" s="322"/>
      <c r="H57" s="321"/>
      <c r="O57" s="51"/>
      <c r="P57" s="51"/>
    </row>
    <row r="58" spans="4:22" ht="17.399999999999999" x14ac:dyDescent="0.35">
      <c r="D58" s="279"/>
      <c r="E58" s="279"/>
      <c r="F58" s="278"/>
      <c r="G58" s="322"/>
      <c r="H58" s="321"/>
      <c r="S58" s="18"/>
      <c r="T58" s="18"/>
    </row>
    <row r="59" spans="4:22" ht="17.399999999999999" x14ac:dyDescent="0.35">
      <c r="D59" s="279"/>
      <c r="E59" s="279"/>
      <c r="F59" s="278"/>
      <c r="G59" s="322"/>
      <c r="H59" s="321"/>
      <c r="S59" s="18"/>
      <c r="T59" s="18"/>
    </row>
    <row r="60" spans="4:22" ht="17.399999999999999" x14ac:dyDescent="0.35">
      <c r="D60" s="279"/>
      <c r="E60" s="279"/>
      <c r="F60" s="278"/>
      <c r="G60" s="322"/>
      <c r="H60" s="321"/>
      <c r="S60" s="18"/>
      <c r="T60" s="18"/>
    </row>
    <row r="61" spans="4:22" x14ac:dyDescent="0.3">
      <c r="S61" s="18"/>
      <c r="T61" s="18"/>
    </row>
    <row r="62" spans="4:22" x14ac:dyDescent="0.3">
      <c r="S62" s="18"/>
      <c r="T62" s="18"/>
    </row>
    <row r="63" spans="4:22" x14ac:dyDescent="0.3">
      <c r="S63" s="18"/>
      <c r="T63" s="18"/>
    </row>
    <row r="64" spans="4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9" spans="15:20" x14ac:dyDescent="0.3">
      <c r="O69" s="40"/>
    </row>
    <row r="70" spans="15:20" x14ac:dyDescent="0.3">
      <c r="O70" s="40"/>
    </row>
    <row r="71" spans="15:20" x14ac:dyDescent="0.3">
      <c r="O71" s="6"/>
    </row>
    <row r="72" spans="15:20" x14ac:dyDescent="0.3">
      <c r="O72" s="6"/>
    </row>
    <row r="161" spans="3:3" x14ac:dyDescent="0.3">
      <c r="C161" t="s">
        <v>144</v>
      </c>
    </row>
    <row r="162" spans="3:3" x14ac:dyDescent="0.3">
      <c r="C162" t="s">
        <v>145</v>
      </c>
    </row>
    <row r="163" spans="3:3" x14ac:dyDescent="0.3">
      <c r="C163" t="s">
        <v>146</v>
      </c>
    </row>
    <row r="588" spans="3:3" x14ac:dyDescent="0.3">
      <c r="C588" t="s">
        <v>144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45931</v>
      </c>
    </row>
    <row r="6" spans="1:31" ht="16.2" thickBot="1" x14ac:dyDescent="0.35">
      <c r="B6" s="137" t="s">
        <v>2</v>
      </c>
      <c r="C6" s="136" t="str">
        <f>'2229'!C10</f>
        <v>JOSE BASUALTO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11676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-42633.936397343001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'2229'!H31</f>
        <v>529592</v>
      </c>
      <c r="E11" s="129">
        <f>D11*0.19</f>
        <v>100622.48</v>
      </c>
      <c r="F11" s="128">
        <f>E11+D11</f>
        <v>630214.48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63356.063602656999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182525.58774396134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45356.063602656999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347066.41225603863</v>
      </c>
      <c r="E13" s="218">
        <f>(D11/D12)-1</f>
        <v>1.901467167128851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36356.063602656999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-2643.9363973430009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325808.17412297096</v>
      </c>
      <c r="C15" s="210" t="s">
        <v>121</v>
      </c>
      <c r="D15" s="211">
        <v>0.5</v>
      </c>
      <c r="E15" s="212">
        <f>(100%+D15)*D12</f>
        <v>273788.38161594199</v>
      </c>
      <c r="F15" s="213">
        <f>E15-D12</f>
        <v>91262.793871980655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-2643.9363973430009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37356.063602656999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'2229'!O39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'2229'!O38</f>
        <v>86000</v>
      </c>
      <c r="E19" s="120">
        <f>D19*0.19</f>
        <v>16340</v>
      </c>
      <c r="F19" s="117">
        <f>SUM(D19:E19)</f>
        <v>102340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'2229'!O37</f>
        <v>23906.232</v>
      </c>
      <c r="E20" s="118">
        <f>D20*0.19</f>
        <v>4542.18408</v>
      </c>
      <c r="F20" s="117">
        <f>SUM(D20:E20)</f>
        <v>28448.416079999999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109906.232</v>
      </c>
      <c r="E21" s="113">
        <f>SUM(E18:E20)</f>
        <v>20882.184079999999</v>
      </c>
      <c r="F21" s="112">
        <f>SUM(F18:F20)</f>
        <v>130788.41608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79740.295920000004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529592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109906.232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347066.41225603863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347066.41225603863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2025-10-01T22:39:26Z</dcterms:modified>
</cp:coreProperties>
</file>