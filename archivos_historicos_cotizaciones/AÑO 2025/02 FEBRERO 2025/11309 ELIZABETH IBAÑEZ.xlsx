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53E4FA54-1E9A-4A93-BCD2-9D039D914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K22" i="1"/>
  <c r="L22" i="1"/>
  <c r="M22" i="1"/>
  <c r="K23" i="1"/>
  <c r="L23" i="1"/>
  <c r="M23" i="1"/>
  <c r="N23" i="1" s="1"/>
  <c r="H21" i="1"/>
  <c r="K21" i="1"/>
  <c r="R23" i="1" l="1"/>
  <c r="R22" i="1"/>
  <c r="N22" i="1"/>
  <c r="O22" i="1"/>
  <c r="O23" i="1"/>
  <c r="J41" i="1"/>
  <c r="L21" i="1"/>
  <c r="M21" i="1"/>
  <c r="R21" i="1" l="1"/>
  <c r="L26" i="1"/>
  <c r="S21" i="1"/>
  <c r="N21" i="1"/>
  <c r="O21" i="1" s="1"/>
  <c r="O27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H26" i="1" s="1"/>
  <c r="H27" i="1" s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<sst xmlns="http://schemas.openxmlformats.org/spreadsheetml/2006/main" count="234" uniqueCount="175">
  <si>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</si>
  <si>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</si>
  <si>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</si>
  <si>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</si>
  <si>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</si>
  <si>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</si>
  <si>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</si>
  <si>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</si>
  <si>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</si>
  <si>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</si>
  <si>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</si>
  <si>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</si>
  <si>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</si>
  <si>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</si>
  <si>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</si>
  <si>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</si>
  <si>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</si>
  <si>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</si>
  <si>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</si>
  <si>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</si>
  <si>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</si>
  <si>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</si>
  <si>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</si>
  <si>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</si>
  <si>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</si>
  <si>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</si>
  <si>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</si>
  <si>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</si>
  <si>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</si>
  <si>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</si>
  <si>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</si>
  <si>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</si>
  <si>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</si>
  <si>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</si>
  <si>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</si>
  <si>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</si>
  <si>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</si>
  <si>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</si>
  <si>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</si>
  <si>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</si>
  <si>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</si>
  <si>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</si>
  <si>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</si>
  <si>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</si>
  <si>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</si>
  <si>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</si>
  <si>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</si>
  <si>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</si>
  <si>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</si>
  <si>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</si>
  <si>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</si>
  <si>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</si>
  <si>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</si>
  <si>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</si>
  <si>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</si>
  <si>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</si>
  <si>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</si>
  <si>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</si>
  <si>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</si>
  <si>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</si>
  <si>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</si>
  <si>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</si>
  <si>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</si>
  <si>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</si>
  <si>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</si>
  <si>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</si>
  <si>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</si>
  <si>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</si>
  <si>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</si>
  <si>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</si>
  <si>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</si>
  <si>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</si>
  <si>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</si>
  <si>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</si>
  <si>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</si>
  <si>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</si>
  <si>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</si>
  <si>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</si>
  <si>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</si>
  <si>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</si>
  <si>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</si>
  <si>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</si>
  <si>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</si>
  <si>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</si>
  <si>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</si>
  <si>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</si>
  <si>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</si>
  <si>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</si>
  <si>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</si>
  <si>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</si>
  <si>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</si>
  <si>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</si>
  <si>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</si>
  <si>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</si>
  <si>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</si>
  <si>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</si>
  <si>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</si>
  <si>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</si>
  <si>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</si>
  <si>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</si>
  <si>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</si>
  <si>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</si>
  <si>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</si>
  <si>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</si>
  <si>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</si>
  <si>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</si>
  <si>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</si>
  <si>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</si>
  <si>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</si>
  <si>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</si>
  <si>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</si>
  <si>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</si>
  <si>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</si>
  <si>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</si>
  <si>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</si>
  <si>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</si>
  <si>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</si>
  <si>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</si>
  <si>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</si>
  <si>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</si>
  <si>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</si>
  <si>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</si>
  <si>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</si>
  <si>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</si>
  <si>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</si>
  <si>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</si>
  <si>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</si>
  <si>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</si>
  <si>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</si>
  <si>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</si>
  <si>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</si>
  <si>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</si>
  <si>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</si>
  <si>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</si>
  <si>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</si>
  <si>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</si>
  <si>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</si>
  <si>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</si>
  <si>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</si>
  <si>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</si>
  <si>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</si>
  <si>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</si>
  <si>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</si>
  <si>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</si>
  <si>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</si>
  <si>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</si>
  <si>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</si>
  <si>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</si>
  <si>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</si>
  <si>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</si>
  <si>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</si>
  <si>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</si>
  <si>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</si>
  <si>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</si>
  <si>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</si>
  <si>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</si>
  <si>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</si>
  <si>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</si>
  <si>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</si>
  <si>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</si>
  <si>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</si>
  <si>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</si>
  <si>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</si>
  <si>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</si>
  <si>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</si>
  <si>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</si>
  <si>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</si>
  <si>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</si>
  <si>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</si>
  <si>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C/R FRENTE 180°</t>
  </si>
  <si>
    <t>CUB MESA 180° 4 LADOS</t>
  </si>
  <si>
    <t>WHITHE MARBLE BRILLO</t>
  </si>
  <si>
    <t>N° 11309</t>
  </si>
  <si>
    <t>ELIZABETH IBAÑEZ</t>
  </si>
  <si>
    <t>569 65030863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</si>
</sst>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173</v>
      </c>
      <c r="D10" s="243"/>
      <c r="E10" s="243"/>
      <c r="F10" s="244" t="s">
        <v>0</v>
      </c>
      <c r="G10" s="277">
        <v>45715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174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167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65109.851729818794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7">
        <v>1</v>
      </c>
      <c r="C21" s="327" t="s">
        <v>169</v>
      </c>
      <c r="D21" s="328">
        <v>3</v>
      </c>
      <c r="E21" s="328">
        <v>0.6</v>
      </c>
      <c r="F21" s="327" t="s">
        <v>171</v>
      </c>
      <c r="G21" s="329">
        <v>123323</v>
      </c>
      <c r="H21" s="329">
        <f t="shared" ref="H21:H23" si="1">G21*B21</f>
        <v>123323</v>
      </c>
      <c r="I21" s="265"/>
      <c r="J21" s="47"/>
      <c r="K21" s="324">
        <f t="shared" ref="K21" si="2">B21</f>
        <v>1</v>
      </c>
      <c r="L21" s="325">
        <f t="shared" ref="L21" si="3">D21+L$19</f>
        <v>3.08</v>
      </c>
      <c r="M21" s="325">
        <f t="shared" ref="M21" si="4">E21+M$19</f>
        <v>0.6</v>
      </c>
      <c r="N21" s="261">
        <f t="shared" ref="N21" si="5">L21*M21</f>
        <v>1.8479999999999999</v>
      </c>
      <c r="O21" s="259">
        <f t="shared" ref="O21" si="6">N21*K21</f>
        <v>1.8479999999999999</v>
      </c>
      <c r="P21" s="252">
        <f>P$20*N21</f>
        <v>120323.00599670512</v>
      </c>
      <c r="Q21" s="258">
        <f t="shared" ref="Q21" si="7">P21+Q$20</f>
        <v>123323.00599670512</v>
      </c>
      <c r="R21" s="308">
        <f>L21*K21</f>
        <v>3.08</v>
      </c>
      <c r="S21" s="46">
        <f>M21*K21*2</f>
        <v>1.2</v>
      </c>
      <c r="T21" s="9"/>
      <c r="W21" s="4"/>
    </row>
    <row r="22" spans="2:24" ht="17.399999999999999" x14ac:dyDescent="0.3">
      <c r="B22" s="327">
        <v>1</v>
      </c>
      <c r="C22" s="327" t="s">
        <v>169</v>
      </c>
      <c r="D22" s="328">
        <v>1.8</v>
      </c>
      <c r="E22" s="328">
        <v>0.6</v>
      </c>
      <c r="F22" s="327" t="s">
        <v>171</v>
      </c>
      <c r="G22" s="329">
        <v>76444</v>
      </c>
      <c r="H22" s="329">
        <f t="shared" si="1"/>
        <v>76444</v>
      </c>
      <c r="I22" s="265"/>
      <c r="J22" s="47"/>
      <c r="K22" s="324">
        <f t="shared" ref="K22:K23" si="8">B22</f>
        <v>1</v>
      </c>
      <c r="L22" s="325">
        <f t="shared" ref="L22:L23" si="9">D22+L$19</f>
        <v>1.8800000000000001</v>
      </c>
      <c r="M22" s="325">
        <f t="shared" ref="M22:M23" si="10">E22+M$19</f>
        <v>0.6</v>
      </c>
      <c r="N22" s="261">
        <f t="shared" ref="N22:N23" si="11">L22*M22</f>
        <v>1.1280000000000001</v>
      </c>
      <c r="O22" s="259">
        <f t="shared" ref="O22:O23" si="12">N22*K22</f>
        <v>1.1280000000000001</v>
      </c>
      <c r="P22" s="252">
        <f t="shared" ref="P22:P23" si="13">P$20*N22</f>
        <v>73443.912751235606</v>
      </c>
      <c r="Q22" s="258">
        <f t="shared" ref="Q22:Q23" si="14">P22+Q$20</f>
        <v>76443.912751235606</v>
      </c>
      <c r="R22" s="308">
        <f t="shared" ref="R22:R23" si="15">L22*K22</f>
        <v>1.8800000000000001</v>
      </c>
      <c r="S22" s="46"/>
      <c r="T22" s="9"/>
      <c r="W22" s="4"/>
    </row>
    <row r="23" spans="2:24" ht="17.399999999999999" x14ac:dyDescent="0.3">
      <c r="B23" s="327">
        <v>1</v>
      </c>
      <c r="C23" s="327" t="s">
        <v>170</v>
      </c>
      <c r="D23" s="328">
        <v>1.8</v>
      </c>
      <c r="E23" s="328">
        <v>1</v>
      </c>
      <c r="F23" s="327" t="s">
        <v>171</v>
      </c>
      <c r="G23" s="329">
        <v>125407</v>
      </c>
      <c r="H23" s="329">
        <f t="shared" si="1"/>
        <v>125407</v>
      </c>
      <c r="I23" s="265"/>
      <c r="J23" s="47"/>
      <c r="K23" s="324">
        <f t="shared" si="8"/>
        <v>1</v>
      </c>
      <c r="L23" s="325">
        <f t="shared" si="9"/>
        <v>1.8800000000000001</v>
      </c>
      <c r="M23" s="325">
        <f t="shared" si="10"/>
        <v>1</v>
      </c>
      <c r="N23" s="261">
        <f t="shared" si="11"/>
        <v>1.8800000000000001</v>
      </c>
      <c r="O23" s="259">
        <f t="shared" si="12"/>
        <v>1.8800000000000001</v>
      </c>
      <c r="P23" s="252">
        <f t="shared" si="13"/>
        <v>122406.52125205933</v>
      </c>
      <c r="Q23" s="258">
        <f t="shared" si="14"/>
        <v>125406.52125205933</v>
      </c>
      <c r="R23" s="308">
        <f t="shared" si="15"/>
        <v>1.8800000000000001</v>
      </c>
      <c r="S23" s="46"/>
      <c r="T23" s="9"/>
      <c r="W23" s="4"/>
    </row>
    <row r="24" spans="2:24" ht="17.399999999999999" x14ac:dyDescent="0.3">
      <c r="B24" s="342"/>
      <c r="C24" s="342"/>
      <c r="D24" s="343"/>
      <c r="E24" s="343"/>
      <c r="F24" s="342"/>
      <c r="G24" s="344"/>
      <c r="H24" s="344"/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325174</v>
      </c>
      <c r="I26" s="265"/>
      <c r="J26" s="47"/>
      <c r="K26" s="47"/>
      <c r="L26" s="39">
        <f>SUM(L21:L25)</f>
        <v>6.84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61783.06</v>
      </c>
      <c r="I27" s="265"/>
      <c r="J27" s="47"/>
      <c r="K27" s="47"/>
      <c r="L27" s="39"/>
      <c r="M27" s="12"/>
      <c r="N27" s="12"/>
      <c r="O27" s="253">
        <f>SUM(O21:O23)</f>
        <v>4.8559999999999999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386957.06</v>
      </c>
      <c r="I28" s="265"/>
      <c r="J28" s="47"/>
      <c r="K28" s="47"/>
      <c r="L28" s="39"/>
      <c r="M28" s="12"/>
      <c r="N28" s="12"/>
      <c r="O28" s="253">
        <f>O27</f>
        <v>4.8559999999999999</v>
      </c>
      <c r="P28" s="14"/>
      <c r="Q28" s="12"/>
      <c r="R28" s="239">
        <f>SUM(R21:R27)</f>
        <v>6.84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0.97120000000000006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5.8271999999999995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5.8271999999999995</v>
      </c>
      <c r="M32" s="12">
        <v>3500</v>
      </c>
      <c r="N32" s="12">
        <f t="shared" ref="N32:N37" si="16">L32*M32</f>
        <v>20395.199999999997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</v>
      </c>
      <c r="M33" s="12">
        <v>25000</v>
      </c>
      <c r="N33" s="12">
        <f t="shared" si="16"/>
        <v>50000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77058</v>
      </c>
      <c r="N34" s="12">
        <f t="shared" si="16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3</v>
      </c>
      <c r="M35" s="250">
        <v>22000</v>
      </c>
      <c r="N35" s="12">
        <f t="shared" si="16"/>
        <v>66000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6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4.88</v>
      </c>
      <c r="M37" s="12">
        <v>1500</v>
      </c>
      <c r="N37" s="12">
        <f t="shared" si="16"/>
        <v>7320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143715.20000000001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316173.44000000006</v>
      </c>
      <c r="O39" s="14" t="s">
        <v>141</v>
      </c>
      <c r="P39" s="14"/>
      <c r="Q39" s="40">
        <f>O30/Q38</f>
        <v>1.5711820534943914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42960</v>
      </c>
      <c r="K40" s="250"/>
      <c r="L40" s="14"/>
      <c r="M40" s="12"/>
      <c r="N40" s="12">
        <f>N39/O28</f>
        <v>65109.851729818794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36100.840336134454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45715</v>
      </c>
    </row>
    <row r="6" spans="2:31" ht="16.2" thickBot="1" x14ac:dyDescent="0.35">
      <c r="B6" s="140" t="s">
        <v>2</v>
      </c>
      <c r="C6" s="139" t="str">
        <f>'2229'!C10</f>
        <v>ELIZABETH IBAÑEZ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-26632.611700120775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325174</v>
      </c>
      <c r="E11" s="132">
        <f>D11*0.19</f>
        <v>61783.06</v>
      </c>
      <c r="F11" s="131">
        <f>E11+D11</f>
        <v>386957.06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79357.388299879225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100229.29078743962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61357.388299879225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224944.70921256038</v>
      </c>
      <c r="E13" s="221">
        <f>(D11/D12)-1</f>
        <v>2.2443011164232409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52357.388299879225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13357.388299879225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165378.32979927535</v>
      </c>
      <c r="F15" s="216">
        <f>E15-D12</f>
        <v>65149.039011835732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13357.388299879225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53357.388299879225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20395.199999999997</v>
      </c>
      <c r="E20" s="121">
        <f>D20*0.19</f>
        <v>3875.0879999999993</v>
      </c>
      <c r="F20" s="120">
        <f>SUM(D20:E20)</f>
        <v>24270.287999999997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70395.199999999997</v>
      </c>
      <c r="E21" s="116">
        <f>SUM(E18:E20)</f>
        <v>13375.088</v>
      </c>
      <c r="F21" s="115">
        <f>SUM(F18:F20)</f>
        <v>83770.288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48407.971999999994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325174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70395.199999999997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224944.70921256038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224944.70921256038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2025-02-27T20:31:38Z</dcterms:modified>
</cp:coreProperties>
</file>