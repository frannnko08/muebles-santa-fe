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43A88355-F9DC-4D03-A585-5104C82FE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K25" i="1"/>
  <c r="H24" i="1"/>
  <c r="K24" i="1"/>
  <c r="H23" i="1"/>
  <c r="K23" i="1"/>
  <c r="L23" i="1"/>
  <c r="M23" i="1"/>
  <c r="H21" i="1"/>
  <c r="K22" i="1"/>
  <c r="L22" i="1"/>
  <c r="M22" i="1"/>
  <c r="H22" i="1"/>
  <c r="K21" i="1"/>
  <c r="N23" i="1" l="1"/>
  <c r="O23" i="1"/>
  <c r="N22" i="1"/>
  <c r="O22" i="1" s="1"/>
  <c r="J43" i="1"/>
  <c r="L21" i="1"/>
  <c r="R21" i="1" s="1"/>
  <c r="M21" i="1"/>
  <c r="L28" i="1" l="1"/>
  <c r="S21" i="1"/>
  <c r="N21" i="1"/>
  <c r="O21" i="1" s="1"/>
  <c r="O29" i="1" s="1"/>
  <c r="U36" i="1"/>
  <c r="U37" i="1" s="1"/>
  <c r="R30" i="1" l="1"/>
  <c r="N35" i="1"/>
  <c r="O30" i="1" l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Q41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2" i="1" l="1"/>
  <c r="Q22" i="1" s="1"/>
  <c r="P23" i="1"/>
  <c r="Q23" i="1" s="1"/>
  <c r="P21" i="1"/>
  <c r="H28" i="1" s="1"/>
  <c r="F15" i="3"/>
  <c r="Q21" i="1" l="1"/>
  <c r="D11" i="3" l="1"/>
  <c r="X9" i="3" s="1"/>
  <c r="X15" i="3" s="1"/>
  <c r="H30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<sst xmlns="http://schemas.openxmlformats.org/spreadsheetml/2006/main" count="238" uniqueCount="179">
  <si>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</si>
  <si>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</si>
  <si>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</si>
  <si>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</si>
  <si>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</si>
  <si>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</si>
  <si>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</si>
  <si>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</si>
  <si>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</si>
  <si>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</si>
  <si>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</si>
  <si>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</si>
  <si>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</si>
  <si>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</si>
  <si>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</si>
  <si>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</si>
  <si>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</si>
  <si>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</si>
  <si>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</si>
  <si>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</si>
  <si>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</si>
  <si>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</si>
  <si>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</si>
  <si>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</si>
  <si>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</si>
  <si>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</si>
  <si>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</si>
  <si>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</si>
  <si>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</si>
  <si>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</si>
  <si>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</si>
  <si>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</si>
  <si>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</si>
  <si>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</si>
  <si>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</si>
  <si>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</si>
  <si>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</si>
  <si>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</si>
  <si>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</si>
  <si>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</si>
  <si>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</si>
  <si>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</si>
  <si>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</si>
  <si>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</si>
  <si>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</si>
  <si>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</si>
  <si>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</si>
  <si>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</si>
  <si>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</si>
  <si>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</si>
  <si>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</si>
  <si>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</si>
  <si>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</si>
  <si>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</si>
  <si>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</si>
  <si>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</si>
  <si>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</si>
  <si>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</si>
  <si>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</si>
  <si>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</si>
  <si>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</si>
  <si>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</si>
  <si>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</si>
  <si>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</si>
  <si>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</si>
  <si>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</si>
  <si>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</si>
  <si>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</si>
  <si>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</si>
  <si>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</si>
  <si>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</si>
  <si>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</si>
  <si>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</si>
  <si>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</si>
  <si>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</si>
  <si>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</si>
  <si>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</si>
  <si>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</si>
  <si>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</si>
  <si>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</si>
  <si>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</si>
  <si>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</si>
  <si>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</si>
  <si>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</si>
  <si>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</si>
  <si>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</si>
  <si>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</si>
  <si>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</si>
  <si>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</si>
  <si>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</si>
  <si>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</si>
  <si>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</si>
  <si>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</si>
  <si>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</si>
  <si>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</si>
  <si>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</si>
  <si>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</si>
  <si>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</si>
  <si>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</si>
  <si>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</si>
  <si>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</si>
  <si>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</si>
  <si>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</si>
  <si>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</si>
  <si>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</si>
  <si>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</si>
  <si>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</si>
  <si>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</si>
  <si>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</si>
  <si>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</si>
  <si>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</si>
  <si>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</si>
  <si>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</si>
  <si>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</si>
  <si>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</si>
  <si>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</si>
  <si>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</si>
  <si>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</si>
  <si>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</si>
  <si>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</si>
  <si>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</si>
  <si>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</si>
  <si>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</si>
  <si>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</si>
  <si>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</si>
  <si>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</si>
  <si>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</si>
  <si>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</si>
  <si>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</si>
  <si>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</si>
  <si>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</si>
  <si>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</si>
  <si>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</si>
  <si>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</si>
  <si>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</si>
  <si>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</si>
  <si>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</si>
  <si>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</si>
  <si>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</si>
  <si>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</si>
  <si>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</si>
  <si>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</si>
  <si>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</si>
  <si>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</si>
  <si>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</si>
  <si>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</si>
  <si>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</si>
  <si>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</si>
  <si>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</si>
  <si>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</si>
  <si>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</si>
  <si>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</si>
  <si>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</si>
  <si>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</si>
  <si>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</si>
  <si>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</si>
  <si>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</si>
  <si>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</si>
  <si>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</si>
  <si>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</si>
  <si>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</si>
  <si>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</si>
  <si>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</si>
  <si>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</si>
  <si>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</si>
  <si>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</si>
  <si>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</si>
  <si>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</si>
  <si>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</si>
  <si>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CUB CON RESPALDO FRENTE 90° R8</t>
  </si>
  <si>
    <t>N° 11293</t>
  </si>
  <si>
    <t>JOSE GARCIA</t>
  </si>
  <si>
    <t>569 9984 5027</t>
  </si>
  <si>
    <t>CUBIERTA DE 3220 VA CON UNION DE LAMINADO A LA DERECHA</t>
  </si>
  <si>
    <t>CORTE A LA MEDIDA Y ENCHAPES</t>
  </si>
  <si>
    <t>GRANITO CINZA PP-383 BR</t>
  </si>
  <si>
    <t>DESPACHO</t>
  </si>
  <si>
    <t>HERNANDO DE MAGALLANES 1047 D/403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</si>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</sst>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0" xfId="0" quotePrefix="1" applyFont="1" applyAlignment="1">
      <alignment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26</xdr:row>
      <xdr:rowOff>222558</xdr:rowOff>
    </xdr:from>
    <xdr:to>
      <xdr:col>5</xdr:col>
      <xdr:colOff>1659644</xdr:colOff>
      <xdr:row>30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CORTADA A LA MEDIDA ENCHAPADAS CON TAPACANTO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4" zoomScale="93" zoomScaleNormal="93" workbookViewId="0">
      <selection activeCell="J13" sqref="J13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171</v>
      </c>
      <c r="D10" s="243"/>
      <c r="E10" s="243"/>
      <c r="F10" s="244" t="s">
        <v>0</v>
      </c>
      <c r="G10" s="277">
        <v>45712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172</v>
      </c>
      <c r="D15" s="295"/>
      <c r="E15" s="247"/>
      <c r="F15" s="247" t="s">
        <v>135</v>
      </c>
      <c r="G15" s="296" t="s">
        <v>178</v>
      </c>
      <c r="H15" s="248"/>
      <c r="K15" s="18" t="s">
        <v>165</v>
      </c>
    </row>
    <row r="16" spans="2:23" ht="16.8" x14ac:dyDescent="0.4">
      <c r="B16" s="292" t="s">
        <v>3</v>
      </c>
      <c r="C16" s="311" t="s">
        <v>177</v>
      </c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1" t="s">
        <v>167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85656.298811544984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8">
        <v>1</v>
      </c>
      <c r="C21" s="328" t="s">
        <v>169</v>
      </c>
      <c r="D21" s="329">
        <v>3.22</v>
      </c>
      <c r="E21" s="329">
        <v>0.6</v>
      </c>
      <c r="F21" s="328" t="s">
        <v>175</v>
      </c>
      <c r="G21" s="330">
        <v>153051</v>
      </c>
      <c r="H21" s="330">
        <f t="shared" ref="H21:H23" si="1">G21*B21</f>
        <v>153051</v>
      </c>
      <c r="I21" s="265"/>
      <c r="J21" s="47"/>
      <c r="K21" s="324">
        <f t="shared" ref="K21" si="2">B21</f>
        <v>1</v>
      </c>
      <c r="L21" s="325">
        <f t="shared" ref="L21" si="3">D21+L$19</f>
        <v>3.3000000000000003</v>
      </c>
      <c r="M21" s="325">
        <f t="shared" ref="M21" si="4">E21+M$19</f>
        <v>0.6</v>
      </c>
      <c r="N21" s="261">
        <f t="shared" ref="N21" si="5">L21*M21</f>
        <v>1.98</v>
      </c>
      <c r="O21" s="259">
        <f t="shared" ref="O21" si="6">N21*K21</f>
        <v>1.98</v>
      </c>
      <c r="P21" s="252">
        <f>P$20*N21</f>
        <v>169599.47164685908</v>
      </c>
      <c r="Q21" s="258">
        <f t="shared" ref="Q21" si="7">P21+Q$20</f>
        <v>172599.47164685908</v>
      </c>
      <c r="R21" s="308">
        <f>L21*K21</f>
        <v>3.3000000000000003</v>
      </c>
      <c r="S21" s="46">
        <f>M21*K21*2</f>
        <v>1.2</v>
      </c>
      <c r="T21" s="9"/>
      <c r="W21" s="4"/>
    </row>
    <row r="22" spans="2:24" ht="17.399999999999999" x14ac:dyDescent="0.3">
      <c r="B22" s="328">
        <v>1</v>
      </c>
      <c r="C22" s="328" t="s">
        <v>169</v>
      </c>
      <c r="D22" s="329">
        <v>1.59</v>
      </c>
      <c r="E22" s="329">
        <v>0.55000000000000004</v>
      </c>
      <c r="F22" s="328" t="s">
        <v>175</v>
      </c>
      <c r="G22" s="330">
        <v>72607</v>
      </c>
      <c r="H22" s="330">
        <f t="shared" si="1"/>
        <v>72607</v>
      </c>
      <c r="I22" s="265"/>
      <c r="J22" s="47"/>
      <c r="K22" s="324">
        <f t="shared" ref="K22" si="8">B22</f>
        <v>1</v>
      </c>
      <c r="L22" s="325">
        <f t="shared" ref="L22" si="9">D22+L$19</f>
        <v>1.6700000000000002</v>
      </c>
      <c r="M22" s="325">
        <f t="shared" ref="M22" si="10">E22+M$19</f>
        <v>0.55000000000000004</v>
      </c>
      <c r="N22" s="261">
        <f t="shared" ref="N22" si="11">L22*M22</f>
        <v>0.91850000000000021</v>
      </c>
      <c r="O22" s="259">
        <f t="shared" ref="O22" si="12">N22*K22</f>
        <v>0.91850000000000021</v>
      </c>
      <c r="P22" s="252">
        <f>P$20*N22</f>
        <v>78675.310458404085</v>
      </c>
      <c r="Q22" s="258">
        <f t="shared" ref="Q22" si="13">P22+Q$20</f>
        <v>81675.310458404085</v>
      </c>
      <c r="R22" s="308"/>
      <c r="S22" s="46"/>
      <c r="T22" s="9"/>
      <c r="W22" s="4"/>
    </row>
    <row r="23" spans="2:24" ht="17.399999999999999" x14ac:dyDescent="0.3">
      <c r="B23" s="328">
        <v>1</v>
      </c>
      <c r="C23" s="328" t="s">
        <v>169</v>
      </c>
      <c r="D23" s="329">
        <v>0.54</v>
      </c>
      <c r="E23" s="329">
        <v>0.55000000000000004</v>
      </c>
      <c r="F23" s="328" t="s">
        <v>175</v>
      </c>
      <c r="G23" s="330">
        <v>28842</v>
      </c>
      <c r="H23" s="330">
        <f t="shared" si="1"/>
        <v>28842</v>
      </c>
      <c r="I23" s="265"/>
      <c r="J23" s="47"/>
      <c r="K23" s="324">
        <f t="shared" ref="K23:K25" si="14">B23</f>
        <v>1</v>
      </c>
      <c r="L23" s="325">
        <f t="shared" ref="L23" si="15">D23+L$19</f>
        <v>0.62</v>
      </c>
      <c r="M23" s="325">
        <f t="shared" ref="M23" si="16">E23+M$19</f>
        <v>0.55000000000000004</v>
      </c>
      <c r="N23" s="261">
        <f t="shared" ref="N23" si="17">L23*M23</f>
        <v>0.34100000000000003</v>
      </c>
      <c r="O23" s="259">
        <f t="shared" ref="O23" si="18">N23*K23</f>
        <v>0.34100000000000003</v>
      </c>
      <c r="P23" s="252">
        <f>P$20*N23</f>
        <v>29208.797894736843</v>
      </c>
      <c r="Q23" s="258">
        <f t="shared" ref="Q23" si="19">P23+Q$20</f>
        <v>32208.797894736843</v>
      </c>
      <c r="R23" s="308"/>
      <c r="S23" s="46"/>
      <c r="T23" s="9"/>
      <c r="W23" s="4"/>
    </row>
    <row r="24" spans="2:24" ht="17.399999999999999" x14ac:dyDescent="0.3">
      <c r="B24" s="328">
        <v>6</v>
      </c>
      <c r="C24" s="328" t="s">
        <v>174</v>
      </c>
      <c r="D24" s="329"/>
      <c r="E24" s="329"/>
      <c r="F24" s="328"/>
      <c r="G24" s="330">
        <v>5000</v>
      </c>
      <c r="H24" s="330">
        <f t="shared" ref="H24:H25" si="20">G24*B24</f>
        <v>30000</v>
      </c>
      <c r="I24" s="265"/>
      <c r="J24" s="47"/>
      <c r="K24" s="324">
        <f t="shared" si="14"/>
        <v>6</v>
      </c>
      <c r="L24" s="325"/>
      <c r="M24" s="325"/>
      <c r="N24" s="261"/>
      <c r="O24" s="259"/>
      <c r="P24" s="252"/>
      <c r="Q24" s="258"/>
      <c r="R24" s="308"/>
      <c r="S24" s="46"/>
      <c r="T24" s="9"/>
      <c r="W24" s="4"/>
    </row>
    <row r="25" spans="2:24" ht="17.399999999999999" x14ac:dyDescent="0.3">
      <c r="B25" s="328">
        <v>1</v>
      </c>
      <c r="C25" s="328" t="s">
        <v>176</v>
      </c>
      <c r="D25" s="329"/>
      <c r="E25" s="329"/>
      <c r="F25" s="328"/>
      <c r="G25" s="330">
        <v>30000</v>
      </c>
      <c r="H25" s="330">
        <f t="shared" si="20"/>
        <v>30000</v>
      </c>
      <c r="I25" s="265"/>
      <c r="J25" s="47"/>
      <c r="K25" s="324">
        <f t="shared" si="14"/>
        <v>1</v>
      </c>
      <c r="L25" s="325"/>
      <c r="M25" s="325"/>
      <c r="N25" s="261"/>
      <c r="O25" s="259"/>
      <c r="P25" s="252"/>
      <c r="Q25" s="258"/>
      <c r="R25" s="308"/>
      <c r="S25" s="46"/>
      <c r="T25" s="9"/>
      <c r="W25" s="4"/>
    </row>
    <row r="26" spans="2:24" ht="17.399999999999999" x14ac:dyDescent="0.3">
      <c r="B26" s="327"/>
      <c r="C26" s="343" t="s">
        <v>173</v>
      </c>
      <c r="D26" s="327"/>
      <c r="E26" s="327"/>
      <c r="F26" s="327"/>
      <c r="G26" s="327"/>
      <c r="H26" s="327"/>
      <c r="I26" s="265"/>
      <c r="J26" s="47"/>
      <c r="K26" s="324"/>
      <c r="L26" s="325"/>
      <c r="M26" s="325"/>
      <c r="N26" s="261"/>
      <c r="O26" s="259"/>
      <c r="P26" s="252"/>
      <c r="Q26" s="258"/>
      <c r="R26" s="308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29</v>
      </c>
      <c r="H28" s="310">
        <f>SUM(H21:H27)</f>
        <v>314500</v>
      </c>
      <c r="I28" s="265"/>
      <c r="J28" s="47"/>
      <c r="K28" s="47"/>
      <c r="L28" s="39">
        <f>SUM(L21:L27)</f>
        <v>5.5900000000000007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52</v>
      </c>
      <c r="H29" s="304"/>
      <c r="I29" s="265"/>
      <c r="J29" s="47"/>
      <c r="K29" s="47"/>
      <c r="L29" s="39"/>
      <c r="M29" s="12"/>
      <c r="N29" s="12"/>
      <c r="O29" s="253">
        <f>SUM(O21:O23)</f>
        <v>3.2395000000000005</v>
      </c>
      <c r="P29" s="14"/>
      <c r="Q29" s="12"/>
      <c r="R29" s="239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314500</v>
      </c>
      <c r="I30" s="265"/>
      <c r="J30" s="47"/>
      <c r="K30" s="47"/>
      <c r="L30" s="39"/>
      <c r="M30" s="12"/>
      <c r="N30" s="12"/>
      <c r="O30" s="253">
        <f>O29</f>
        <v>3.2395000000000005</v>
      </c>
      <c r="P30" s="14"/>
      <c r="Q30" s="12"/>
      <c r="R30" s="239">
        <f>SUM(R21:R29)</f>
        <v>3.3000000000000003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0.64790000000000014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3.8874000000000004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15" t="s">
        <v>22</v>
      </c>
      <c r="U33" s="312" t="s">
        <v>153</v>
      </c>
      <c r="V33" s="316">
        <v>44971</v>
      </c>
      <c r="W33" s="317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3.8874000000000004</v>
      </c>
      <c r="M34" s="12">
        <v>3500</v>
      </c>
      <c r="N34" s="12">
        <f t="shared" ref="N34:N39" si="21">L34*M34</f>
        <v>13605.900000000001</v>
      </c>
      <c r="O34" s="14" t="s">
        <v>22</v>
      </c>
      <c r="P34" s="14"/>
      <c r="Q34" s="14"/>
      <c r="R34" s="241"/>
      <c r="S34" s="14"/>
      <c r="T34" s="315" t="s">
        <v>154</v>
      </c>
      <c r="U34" s="312">
        <v>3625</v>
      </c>
      <c r="V34" s="59" t="s">
        <v>155</v>
      </c>
      <c r="W34" s="317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1.1000000000000001</v>
      </c>
      <c r="M35" s="12">
        <v>25000</v>
      </c>
      <c r="N35" s="12">
        <f t="shared" si="21"/>
        <v>27500.000000000004</v>
      </c>
      <c r="O35" s="39" t="s">
        <v>32</v>
      </c>
      <c r="P35" s="42"/>
      <c r="Q35" s="14"/>
      <c r="R35" s="240"/>
      <c r="S35" s="14"/>
      <c r="T35" s="315"/>
      <c r="U35" s="59">
        <v>906.25</v>
      </c>
      <c r="V35" s="59" t="s">
        <v>156</v>
      </c>
      <c r="W35" s="317"/>
    </row>
    <row r="36" spans="2:23" s="230" customFormat="1" ht="17.399999999999999" x14ac:dyDescent="0.35">
      <c r="I36" s="262"/>
      <c r="J36" s="232"/>
      <c r="K36" s="250"/>
      <c r="L36" s="14"/>
      <c r="M36" s="250">
        <v>62100</v>
      </c>
      <c r="N36" s="12">
        <f t="shared" si="21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17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>
        <v>2</v>
      </c>
      <c r="M37" s="250">
        <v>38319</v>
      </c>
      <c r="N37" s="12">
        <f t="shared" si="21"/>
        <v>76638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17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21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303"/>
      <c r="K39" s="250"/>
      <c r="L39" s="266">
        <v>5.59</v>
      </c>
      <c r="M39" s="12">
        <v>1500</v>
      </c>
      <c r="N39" s="12">
        <f t="shared" si="21"/>
        <v>8385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126128.90000000001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N40*2.2</f>
        <v>277483.58</v>
      </c>
      <c r="O41" s="14" t="s">
        <v>141</v>
      </c>
      <c r="P41" s="14"/>
      <c r="Q41" s="40">
        <f>O32/Q40</f>
        <v>1.0481557377049182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73820</v>
      </c>
      <c r="K42" s="250"/>
      <c r="L42" s="14"/>
      <c r="M42" s="12"/>
      <c r="N42" s="12">
        <f>N41/O30</f>
        <v>85656.298811544984</v>
      </c>
      <c r="O42" s="45" t="s">
        <v>25</v>
      </c>
      <c r="P42" s="14"/>
      <c r="Q42" s="14"/>
      <c r="R42"/>
      <c r="S42" s="238"/>
      <c r="T42" s="59" t="s">
        <v>159</v>
      </c>
      <c r="U42" s="312">
        <v>43650</v>
      </c>
    </row>
    <row r="43" spans="2:23" s="230" customFormat="1" ht="17.399999999999999" x14ac:dyDescent="0.35">
      <c r="G43"/>
      <c r="J43" s="230">
        <f>J42/1.19</f>
        <v>62033.613445378156</v>
      </c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161</v>
      </c>
      <c r="U43" s="313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14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157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45712</v>
      </c>
    </row>
    <row r="6" spans="2:31" ht="16.2" thickBot="1" x14ac:dyDescent="0.35">
      <c r="B6" s="140" t="s">
        <v>2</v>
      </c>
      <c r="C6" s="139" t="str">
        <f>'2229'!C10</f>
        <v>JOSE GARCIA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11293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-32908.16920012077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314500</v>
      </c>
      <c r="E11" s="132">
        <f>D11*0.19</f>
        <v>59755</v>
      </c>
      <c r="F11" s="131">
        <f>E11+D11</f>
        <v>374255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73081.83079987923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70939.99078743963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55081.83079987923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243560.00921256037</v>
      </c>
      <c r="E13" s="221">
        <f>(D11/D12)-1</f>
        <v>3.4333245114500945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46081.83079987923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7081.8307998792297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117050.98479927538</v>
      </c>
      <c r="F15" s="216">
        <f>E15-D12</f>
        <v>46110.994011835748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7081.8307998792297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47081.83079987923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27500.000000000004</v>
      </c>
      <c r="E19" s="123">
        <f>D19*0.19</f>
        <v>5225.0000000000009</v>
      </c>
      <c r="F19" s="120">
        <f>SUM(D19:E19)</f>
        <v>32725.000000000004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13605.900000000001</v>
      </c>
      <c r="E20" s="121">
        <f>D20*0.19</f>
        <v>2585.1210000000001</v>
      </c>
      <c r="F20" s="120">
        <f>SUM(D20:E20)</f>
        <v>16191.021000000001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41105.900000000009</v>
      </c>
      <c r="E21" s="116">
        <f>SUM(E18:E20)</f>
        <v>7810.121000000001</v>
      </c>
      <c r="F21" s="115">
        <f>SUM(F18:F20)</f>
        <v>48916.021000000008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51944.879000000001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314500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41105.900000000009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243560.00921256037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243560.00921256037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2025-02-24T17:54:55Z</cp:lastPrinted>
  <dcterms:created xsi:type="dcterms:W3CDTF">2013-03-18T13:35:42Z</dcterms:created>
  <dcterms:modified xsi:type="dcterms:W3CDTF">2025-02-24T18:00:39Z</dcterms:modified>
</cp:coreProperties>
</file>