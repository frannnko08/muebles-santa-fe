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B6F8C983-7C0B-465B-85EA-37DDA52EA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N22" i="1" s="1"/>
  <c r="O22" i="1" s="1"/>
  <c r="M22" i="1"/>
  <c r="R22" i="1"/>
  <c r="K23" i="1"/>
  <c r="L23" i="1"/>
  <c r="N23" i="1" s="1"/>
  <c r="O23" i="1" s="1"/>
  <c r="M23" i="1"/>
  <c r="K21" i="1"/>
  <c r="H22" i="1"/>
  <c r="H23" i="1"/>
  <c r="H21" i="1"/>
  <c r="R23" i="1" l="1"/>
  <c r="H26" i="1"/>
  <c r="J41" i="1"/>
  <c r="L21" i="1"/>
  <c r="R21" i="1" s="1"/>
  <c r="M21" i="1"/>
  <c r="L26" i="1" l="1"/>
  <c r="S21" i="1"/>
  <c r="N21" i="1"/>
  <c r="O21" i="1" s="1"/>
  <c r="O27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3" i="1"/>
  <c r="Q23" i="1" s="1"/>
  <c r="P21" i="1"/>
  <c r="H27" i="1" s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<sst xmlns="http://schemas.openxmlformats.org/spreadsheetml/2006/main" count="234" uniqueCount="174">
  <si>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</si>
  <si>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</si>
  <si>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</si>
  <si>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</si>
  <si>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</si>
  <si>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</si>
  <si>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</si>
  <si>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</si>
  <si>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</si>
  <si>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</si>
  <si>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</si>
  <si>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</si>
  <si>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</si>
  <si>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</si>
  <si>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</si>
  <si>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</si>
  <si>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</si>
  <si>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</si>
  <si>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</si>
  <si>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</si>
  <si>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</si>
  <si>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</si>
  <si>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</si>
  <si>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</si>
  <si>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</si>
  <si>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</si>
  <si>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</si>
  <si>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</si>
  <si>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</si>
  <si>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</si>
  <si>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</si>
  <si>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</si>
  <si>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</si>
  <si>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</si>
  <si>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</si>
  <si>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</si>
  <si>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</si>
  <si>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</si>
  <si>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</si>
  <si>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</si>
  <si>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</si>
  <si>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</si>
  <si>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</si>
  <si>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</si>
  <si>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</si>
  <si>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</si>
  <si>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</si>
  <si>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</si>
  <si>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</si>
  <si>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</si>
  <si>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</si>
  <si>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</si>
  <si>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</si>
  <si>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</si>
  <si>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</si>
  <si>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</si>
  <si>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</si>
  <si>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</si>
  <si>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</si>
  <si>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</si>
  <si>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</si>
  <si>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</si>
  <si>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</si>
  <si>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</si>
  <si>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</si>
  <si>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</si>
  <si>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</si>
  <si>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</si>
  <si>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</si>
  <si>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</si>
  <si>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</si>
  <si>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</si>
  <si>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</si>
  <si>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</si>
  <si>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</si>
  <si>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</si>
  <si>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</si>
  <si>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</si>
  <si>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</si>
  <si>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</si>
  <si>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</si>
  <si>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</si>
  <si>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</si>
  <si>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</si>
  <si>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</si>
  <si>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</si>
  <si>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</si>
  <si>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</si>
  <si>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</si>
  <si>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</si>
  <si>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</si>
  <si>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</si>
  <si>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</si>
  <si>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</si>
  <si>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</si>
  <si>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</si>
  <si>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</si>
  <si>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</si>
  <si>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</si>
  <si>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</si>
  <si>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</si>
  <si>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</si>
  <si>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</si>
  <si>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</si>
  <si>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</si>
  <si>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</si>
  <si>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</si>
  <si>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</si>
  <si>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</si>
  <si>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</si>
  <si>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</si>
  <si>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</si>
  <si>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</si>
  <si>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</si>
  <si>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</si>
  <si>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</si>
  <si>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</si>
  <si>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</si>
  <si>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</si>
  <si>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</si>
  <si>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</si>
  <si>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</si>
  <si>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</si>
  <si>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</si>
  <si>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</si>
  <si>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</si>
  <si>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</si>
  <si>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</si>
  <si>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</si>
  <si>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</si>
  <si>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</si>
  <si>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</si>
  <si>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</si>
  <si>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</si>
  <si>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</si>
  <si>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</si>
  <si>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</si>
  <si>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</si>
  <si>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</si>
  <si>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</si>
  <si>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</si>
  <si>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</si>
  <si>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</si>
  <si>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</si>
  <si>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</si>
  <si>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</si>
  <si>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</si>
  <si>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</si>
  <si>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</si>
  <si>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</si>
  <si>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</si>
  <si>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</si>
  <si>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</si>
  <si>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</si>
  <si>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</si>
  <si>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</si>
  <si>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</si>
  <si>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</si>
  <si>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</si>
  <si>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</si>
  <si>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</si>
  <si>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</si>
  <si>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</si>
  <si>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</si>
  <si>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</si>
  <si>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</si>
  <si>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</si>
  <si>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</si>
  <si>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</si>
  <si>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N° 11297</t>
  </si>
  <si>
    <t>OSCAR LOPEZ</t>
  </si>
  <si>
    <t>569 7150 2245</t>
  </si>
  <si>
    <t>CUB CON RESPALDO F/E R8</t>
  </si>
  <si>
    <t>NEGRO 21066 SF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</si>
</sst>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24</xdr:row>
      <xdr:rowOff>222558</xdr:rowOff>
    </xdr:from>
    <xdr:to>
      <xdr:col>5</xdr:col>
      <xdr:colOff>1659644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LARGO, 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F21" sqref="F21: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6640625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45756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90440.98393864854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2.0499999999999998</v>
      </c>
      <c r="E21" s="330">
        <v>0.56499999999999995</v>
      </c>
      <c r="F21" s="329" t="s">
        <v>173</v>
      </c>
      <c r="G21" s="331">
        <v>111841</v>
      </c>
      <c r="H21" s="331">
        <f t="shared" ref="H21" si="1">G21*B21</f>
        <v>111841</v>
      </c>
      <c r="I21" s="265"/>
      <c r="J21" s="47"/>
      <c r="K21" s="324">
        <f>B21</f>
        <v>1</v>
      </c>
      <c r="L21" s="325">
        <f t="shared" ref="L21" si="2">D21+L$19</f>
        <v>2.13</v>
      </c>
      <c r="M21" s="325">
        <f t="shared" ref="M21" si="3">E21+M$19</f>
        <v>0.56499999999999995</v>
      </c>
      <c r="N21" s="261">
        <f t="shared" ref="N21" si="4">L21*M21</f>
        <v>1.2034499999999999</v>
      </c>
      <c r="O21" s="259">
        <f t="shared" ref="O21" si="5">N21*K21</f>
        <v>1.2034499999999999</v>
      </c>
      <c r="P21" s="252">
        <f>P$20*N21</f>
        <v>108841.20212096658</v>
      </c>
      <c r="Q21" s="258">
        <f t="shared" ref="Q21" si="6">P21+Q$20</f>
        <v>111841.20212096658</v>
      </c>
      <c r="R21" s="308">
        <f>L21*K21</f>
        <v>2.13</v>
      </c>
      <c r="S21" s="46">
        <f>M21*K21*2</f>
        <v>1.1299999999999999</v>
      </c>
      <c r="T21" s="9"/>
      <c r="W21" s="4"/>
    </row>
    <row r="22" spans="2:24" ht="17.399999999999999" x14ac:dyDescent="0.3">
      <c r="B22" s="329">
        <v>1</v>
      </c>
      <c r="C22" s="329" t="s">
        <v>172</v>
      </c>
      <c r="D22" s="330">
        <v>2.04</v>
      </c>
      <c r="E22" s="330">
        <v>0.57999999999999996</v>
      </c>
      <c r="F22" s="329" t="s">
        <v>173</v>
      </c>
      <c r="G22" s="331">
        <v>114206</v>
      </c>
      <c r="H22" s="331">
        <f t="shared" ref="H22:H23" si="7">G22*B22</f>
        <v>114206</v>
      </c>
      <c r="I22" s="265"/>
      <c r="J22" s="47"/>
      <c r="K22" s="324">
        <f t="shared" ref="K22:K23" si="8">B22</f>
        <v>1</v>
      </c>
      <c r="L22" s="325">
        <f t="shared" ref="L22:L23" si="9">D22+L$19</f>
        <v>2.12</v>
      </c>
      <c r="M22" s="325">
        <f t="shared" ref="M22:M23" si="10">E22+M$19</f>
        <v>0.57999999999999996</v>
      </c>
      <c r="N22" s="261">
        <f t="shared" ref="N22:N23" si="11">L22*M22</f>
        <v>1.2296</v>
      </c>
      <c r="O22" s="259">
        <f t="shared" ref="O22:O23" si="12">N22*K22</f>
        <v>1.2296</v>
      </c>
      <c r="P22" s="252">
        <f t="shared" ref="P22:P23" si="13">P$20*N22</f>
        <v>111206.23385096225</v>
      </c>
      <c r="Q22" s="258">
        <f t="shared" ref="Q22:Q23" si="14">P22+Q$20</f>
        <v>114206.23385096225</v>
      </c>
      <c r="R22" s="308">
        <f t="shared" ref="R22:R23" si="15">L22*K22</f>
        <v>2.12</v>
      </c>
      <c r="S22" s="46"/>
      <c r="T22" s="9"/>
      <c r="W22" s="4"/>
    </row>
    <row r="23" spans="2:24" ht="17.399999999999999" x14ac:dyDescent="0.3">
      <c r="B23" s="329">
        <v>1</v>
      </c>
      <c r="C23" s="329" t="s">
        <v>172</v>
      </c>
      <c r="D23" s="330">
        <v>2.2000000000000002</v>
      </c>
      <c r="E23" s="330">
        <v>0.6</v>
      </c>
      <c r="F23" s="329" t="s">
        <v>173</v>
      </c>
      <c r="G23" s="331">
        <v>126723</v>
      </c>
      <c r="H23" s="331">
        <f t="shared" si="7"/>
        <v>126723</v>
      </c>
      <c r="I23" s="265"/>
      <c r="J23" s="47"/>
      <c r="K23" s="324">
        <f t="shared" si="8"/>
        <v>1</v>
      </c>
      <c r="L23" s="325">
        <f t="shared" si="9"/>
        <v>2.2800000000000002</v>
      </c>
      <c r="M23" s="325">
        <f t="shared" si="10"/>
        <v>0.6</v>
      </c>
      <c r="N23" s="261">
        <f t="shared" si="11"/>
        <v>1.3680000000000001</v>
      </c>
      <c r="O23" s="259">
        <f t="shared" si="12"/>
        <v>1.3680000000000001</v>
      </c>
      <c r="P23" s="252">
        <f t="shared" si="13"/>
        <v>123723.26602807122</v>
      </c>
      <c r="Q23" s="258">
        <f t="shared" si="14"/>
        <v>126723.26602807122</v>
      </c>
      <c r="R23" s="308">
        <f t="shared" si="15"/>
        <v>2.2800000000000002</v>
      </c>
      <c r="S23" s="46"/>
      <c r="T23" s="9"/>
      <c r="W23" s="4"/>
    </row>
    <row r="24" spans="2:24" ht="17.399999999999999" x14ac:dyDescent="0.3">
      <c r="B24" s="327"/>
      <c r="C24" s="328"/>
      <c r="D24" s="327"/>
      <c r="E24" s="327"/>
      <c r="F24" s="327"/>
      <c r="G24" s="327"/>
      <c r="H24" s="327"/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SUM(H21:H25)</f>
        <v>352770</v>
      </c>
      <c r="I26" s="265"/>
      <c r="J26" s="47"/>
      <c r="K26" s="47"/>
      <c r="L26" s="39">
        <f>SUM(L21:L25)</f>
        <v>6.53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67026.3</v>
      </c>
      <c r="I27" s="265"/>
      <c r="J27" s="47"/>
      <c r="K27" s="47"/>
      <c r="L27" s="39"/>
      <c r="M27" s="12"/>
      <c r="N27" s="12"/>
      <c r="O27" s="253">
        <f>SUM(O21:O23)</f>
        <v>3.80105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419796.3</v>
      </c>
      <c r="I28" s="265"/>
      <c r="J28" s="47"/>
      <c r="K28" s="47"/>
      <c r="L28" s="39"/>
      <c r="M28" s="12"/>
      <c r="N28" s="12"/>
      <c r="O28" s="253">
        <f>O27</f>
        <v>3.80105</v>
      </c>
      <c r="P28" s="14"/>
      <c r="Q28" s="12"/>
      <c r="R28" s="239">
        <f>SUM(R21:R27)</f>
        <v>6.53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0.76021000000000005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4.5612599999999999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153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4.5612599999999999</v>
      </c>
      <c r="M32" s="12">
        <v>3500</v>
      </c>
      <c r="N32" s="12">
        <f t="shared" ref="N32:N37" si="16">L32*M32</f>
        <v>15964.41</v>
      </c>
      <c r="O32" s="14" t="s">
        <v>22</v>
      </c>
      <c r="P32" s="14"/>
      <c r="Q32" s="14"/>
      <c r="R32" s="241"/>
      <c r="S32" s="14"/>
      <c r="T32" s="315" t="s">
        <v>154</v>
      </c>
      <c r="U32" s="312">
        <v>3625</v>
      </c>
      <c r="V32" s="59" t="s">
        <v>155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1.5</v>
      </c>
      <c r="M33" s="12">
        <v>25000</v>
      </c>
      <c r="N33" s="12">
        <f t="shared" si="16"/>
        <v>37500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156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62100</v>
      </c>
      <c r="N34" s="12">
        <f t="shared" si="16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3</v>
      </c>
      <c r="M35" s="250">
        <v>31000</v>
      </c>
      <c r="N35" s="12">
        <f t="shared" si="16"/>
        <v>93000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6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>
        <v>6.53</v>
      </c>
      <c r="M37" s="12">
        <v>1500</v>
      </c>
      <c r="N37" s="12">
        <f t="shared" si="16"/>
        <v>9795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156259.41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343770.70200000005</v>
      </c>
      <c r="O39" s="14" t="s">
        <v>141</v>
      </c>
      <c r="P39" s="14"/>
      <c r="Q39" s="40">
        <f>O30/Q38</f>
        <v>1.2298479292493529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35990</v>
      </c>
      <c r="K40" s="250"/>
      <c r="L40" s="14"/>
      <c r="M40" s="12"/>
      <c r="N40" s="12">
        <f>N39/O28</f>
        <v>90440.98393864854</v>
      </c>
      <c r="O40" s="45" t="s">
        <v>25</v>
      </c>
      <c r="P40" s="14"/>
      <c r="Q40" s="14"/>
      <c r="R40"/>
      <c r="S40" s="238"/>
      <c r="T40" s="59" t="s">
        <v>159</v>
      </c>
      <c r="U40" s="312">
        <v>43650</v>
      </c>
    </row>
    <row r="41" spans="2:23" s="230" customFormat="1" ht="17.399999999999999" x14ac:dyDescent="0.35">
      <c r="G41"/>
      <c r="J41" s="230">
        <f>J40/1.19</f>
        <v>30243.697478991598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1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45756</v>
      </c>
    </row>
    <row r="6" spans="2:31" ht="16.2" thickBot="1" x14ac:dyDescent="0.35">
      <c r="B6" s="140" t="s">
        <v>2</v>
      </c>
      <c r="C6" s="139" t="str">
        <f>'2229'!C10</f>
        <v>OSCAR LOPEZ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-35887.912283454112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352770</v>
      </c>
      <c r="E11" s="132">
        <f>D11*0.19</f>
        <v>67026.3</v>
      </c>
      <c r="F11" s="131">
        <f>E11+D11</f>
        <v>419796.3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70102.087716545881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83298.500787439611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52102.087716545888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269471.49921256036</v>
      </c>
      <c r="E13" s="221">
        <f>(D11/D12)-1</f>
        <v>3.2350101942434168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43102.087716545888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4102.0877165458878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137442.52629927534</v>
      </c>
      <c r="F15" s="216">
        <f>E15-D12</f>
        <v>54144.025511835731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4102.0877165458878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44102.087716545888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15964.41</v>
      </c>
      <c r="E20" s="121">
        <f>D20*0.19</f>
        <v>3033.2379000000001</v>
      </c>
      <c r="F20" s="120">
        <f>SUM(D20:E20)</f>
        <v>18997.6479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53464.41</v>
      </c>
      <c r="E21" s="116">
        <f>SUM(E18:E20)</f>
        <v>10158.2379</v>
      </c>
      <c r="F21" s="115">
        <f>SUM(F18:F20)</f>
        <v>63622.647899999996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56868.062100000003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352770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53464.41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269471.49921256036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269471.49921256036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2025-04-11T19:36:31Z</dcterms:modified>
</cp:coreProperties>
</file>