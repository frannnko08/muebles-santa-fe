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2 FEBRERO 2025\"/>
    </mc:Choice>
  </mc:AlternateContent>
  <xr:revisionPtr revIDLastSave="0" documentId="13_ncr:1_{A6F6E631-FE6C-466D-A3FD-05660EC218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6" i="1" l="1"/>
  <c r="K22" i="1"/>
  <c r="L22" i="1"/>
  <c r="M22" i="1"/>
  <c r="N22" i="1" s="1"/>
  <c r="H22" i="1"/>
  <c r="H21" i="1"/>
  <c r="O22" i="1" l="1"/>
  <c r="H25" i="1"/>
  <c r="J40" i="1"/>
  <c r="L21" i="1"/>
  <c r="R21" i="1" s="1"/>
  <c r="M21" i="1"/>
  <c r="L25" i="1" l="1"/>
  <c r="S21" i="1"/>
  <c r="N21" i="1"/>
  <c r="O21" i="1" s="1"/>
  <c r="U33" i="1"/>
  <c r="U34" i="1" s="1"/>
  <c r="R27" i="1" l="1"/>
  <c r="N32" i="1"/>
  <c r="O27" i="1" l="1"/>
  <c r="O28" i="1" s="1"/>
  <c r="O29" i="1" s="1"/>
  <c r="L31" i="1" s="1"/>
  <c r="M20" i="1"/>
  <c r="K20" i="1"/>
  <c r="N33" i="1" l="1"/>
  <c r="Q37" i="1"/>
  <c r="N3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N31" i="1" l="1"/>
  <c r="Q38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P22" i="1" s="1"/>
  <c r="Q22" i="1" s="1"/>
  <c r="E15" i="3"/>
  <c r="P21" i="1" l="1"/>
  <c r="H26" i="1" s="1"/>
  <c r="F15" i="3"/>
  <c r="Q21" i="1" l="1"/>
  <c r="D11" i="3" l="1"/>
  <c r="X9" i="3" s="1"/>
  <c r="X15" i="3" s="1"/>
  <c r="H27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<sst xmlns="http://schemas.openxmlformats.org/spreadsheetml/2006/main" count="232" uniqueCount="174">
  <si>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</si>
  <si>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</si>
  <si>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</si>
  <si>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</si>
  <si>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</si>
  <si>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</si>
  <si>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</si>
  <si>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</si>
  <si>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</si>
  <si>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</si>
  <si>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</si>
  <si>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</si>
  <si>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</si>
  <si>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</si>
  <si>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</si>
  <si>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</si>
  <si>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</si>
  <si>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</si>
  <si>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</si>
  <si>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</si>
  <si>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</si>
  <si>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</si>
  <si>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</si>
  <si>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</si>
  <si>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</si>
  <si>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</si>
  <si>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</si>
  <si>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</si>
  <si>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</si>
  <si>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</si>
  <si>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</si>
  <si>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</si>
  <si>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</si>
  <si>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</si>
  <si>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</si>
  <si>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</si>
  <si>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</si>
  <si>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</si>
  <si>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</si>
  <si>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</si>
  <si>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</si>
  <si>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</si>
  <si>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</si>
  <si>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</si>
  <si>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</si>
  <si>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</si>
  <si>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</si>
  <si>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</si>
  <si>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</si>
  <si>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</si>
  <si>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</si>
  <si>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</si>
  <si>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</si>
  <si>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</si>
  <si>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</si>
  <si>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</si>
  <si>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</si>
  <si>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</si>
  <si>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</si>
  <si>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</si>
  <si>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</si>
  <si>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</si>
  <si>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</si>
  <si>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</si>
  <si>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</si>
  <si>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</si>
  <si>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</si>
  <si>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</si>
  <si>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</si>
  <si>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</si>
  <si>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</si>
  <si>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</si>
  <si>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</si>
  <si>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</si>
  <si>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</si>
  <si>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</si>
  <si>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</si>
  <si>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</si>
  <si>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</si>
  <si>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</si>
  <si>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</si>
  <si>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</si>
  <si>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</si>
  <si>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</si>
  <si>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</si>
  <si>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</si>
  <si>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</si>
  <si>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</si>
  <si>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</si>
  <si>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</si>
  <si>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</si>
  <si>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</si>
  <si>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</si>
  <si>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</si>
  <si>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</si>
  <si>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</si>
  <si>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</si>
  <si>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</si>
  <si>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</si>
  <si>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</si>
  <si>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</si>
  <si>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</si>
  <si>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</si>
  <si>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</si>
  <si>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</si>
  <si>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</si>
  <si>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</si>
  <si>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</si>
  <si>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</si>
  <si>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</si>
  <si>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</si>
  <si>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</si>
  <si>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</si>
  <si>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</si>
  <si>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</si>
  <si>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</si>
  <si>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</si>
  <si>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</si>
  <si>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</si>
  <si>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</si>
  <si>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</si>
  <si>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</si>
  <si>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</si>
  <si>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</si>
  <si>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</si>
  <si>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</si>
  <si>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</si>
  <si>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</si>
  <si>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</si>
  <si>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</si>
  <si>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</si>
  <si>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</si>
  <si>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</si>
  <si>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</si>
  <si>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</si>
  <si>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</si>
  <si>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</si>
  <si>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</si>
  <si>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</si>
  <si>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</si>
  <si>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</si>
  <si>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</si>
  <si>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</si>
  <si>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</si>
  <si>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</si>
  <si>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</si>
  <si>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</si>
  <si>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</si>
  <si>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</si>
  <si>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</si>
  <si>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</si>
  <si>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</si>
  <si>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</si>
  <si>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</si>
  <si>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</si>
  <si>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</si>
  <si>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</si>
  <si>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</si>
  <si>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</si>
  <si>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</si>
  <si>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</si>
  <si>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</si>
  <si>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</si>
  <si>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</si>
  <si>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</si>
  <si>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ESKELETOR</t>
  </si>
  <si>
    <t>SANTIAGO</t>
  </si>
  <si>
    <t>DURACION COTIZACION: 5 DIAS                            FRANCO DONOSO</t>
  </si>
  <si>
    <t>5 DIAS HABILES</t>
  </si>
  <si>
    <t>N° 11295</t>
  </si>
  <si>
    <t>MARCELO CASTRO</t>
  </si>
  <si>
    <t>569 7137 9100</t>
  </si>
  <si>
    <t>CUB CON RESPALDO FRENTE ESPAÑOL 180°</t>
  </si>
  <si>
    <t>BLANCO OPACO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</si>
</sst>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167" fontId="0" fillId="7" borderId="0" xfId="0" applyNumberFormat="1" applyFill="1"/>
    <xf numFmtId="166" fontId="3" fillId="7" borderId="0" xfId="0" applyNumberFormat="1" applyFont="1" applyFill="1"/>
    <xf numFmtId="0" fontId="24" fillId="20" borderId="3" xfId="0" applyFont="1" applyFill="1" applyBorder="1" applyAlignment="1">
      <alignment horizontal="center"/>
    </xf>
    <xf numFmtId="0" fontId="32" fillId="0" borderId="0" xfId="0" applyFont="1" applyAlignment="1">
      <alignment vertical="center"/>
    </xf>
    <xf numFmtId="0" fontId="32" fillId="0" borderId="0" xfId="0" quotePrefix="1" applyFont="1" applyAlignment="1">
      <alignment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23</xdr:row>
      <xdr:rowOff>222558</xdr:rowOff>
    </xdr:from>
    <xdr:to>
      <xdr:col>5</xdr:col>
      <xdr:colOff>1659644</xdr:colOff>
      <xdr:row>27</xdr:row>
      <xdr:rowOff>8193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6580752"/>
          <a:ext cx="6502032" cy="6869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 CUBIERTA SE ENTREGA CON SOBRE MEDIDA EN EL LARGO, AL MENOS QUE LA PIDA MEDIDA EXACTA.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zoomScale="93" zoomScaleNormal="93" workbookViewId="0">
      <selection activeCell="G23" sqref="G23"/>
    </sheetView>
  </sheetViews>
  <sheetFormatPr baseColWidth="10" defaultRowHeight="14.4" x14ac:dyDescent="0.3"/>
  <cols>
    <col min="1" max="1" width="6" customWidth="1"/>
    <col min="2" max="2" width="10.5546875" customWidth="1"/>
    <col min="3" max="3" width="46.21875" customWidth="1"/>
    <col min="4" max="4" width="11.109375" customWidth="1"/>
    <col min="5" max="5" width="10.5546875" customWidth="1"/>
    <col min="6" max="6" width="27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26" t="s">
        <v>169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8" t="s">
        <v>163</v>
      </c>
      <c r="C10" s="279" t="s">
        <v>170</v>
      </c>
      <c r="D10" s="243"/>
      <c r="E10" s="243"/>
      <c r="F10" s="244" t="s">
        <v>0</v>
      </c>
      <c r="G10" s="277">
        <v>45706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171</v>
      </c>
      <c r="D15" s="295"/>
      <c r="E15" s="247"/>
      <c r="F15" s="247" t="s">
        <v>135</v>
      </c>
      <c r="G15" s="296" t="s">
        <v>136</v>
      </c>
      <c r="H15" s="248"/>
      <c r="K15" s="18" t="s">
        <v>165</v>
      </c>
    </row>
    <row r="16" spans="2:23" ht="16.8" x14ac:dyDescent="0.4">
      <c r="B16" s="292" t="s">
        <v>3</v>
      </c>
      <c r="C16" s="311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166</v>
      </c>
      <c r="D17" s="299"/>
      <c r="E17" s="300"/>
      <c r="F17" s="332" t="s">
        <v>167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148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0.08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N39</f>
        <v>62380.779220779215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9">
        <v>1</v>
      </c>
      <c r="C21" s="329" t="s">
        <v>172</v>
      </c>
      <c r="D21" s="330">
        <v>1.0629999999999999</v>
      </c>
      <c r="E21" s="330">
        <v>0.56499999999999995</v>
      </c>
      <c r="F21" s="329" t="s">
        <v>173</v>
      </c>
      <c r="G21" s="331">
        <v>50557</v>
      </c>
      <c r="H21" s="331">
        <f t="shared" ref="H21" si="1">G21*B21</f>
        <v>50557</v>
      </c>
      <c r="I21" s="265"/>
      <c r="J21" s="47"/>
      <c r="K21" s="324"/>
      <c r="L21" s="325">
        <f t="shared" ref="L21" si="2">D21+L$19</f>
        <v>1.143</v>
      </c>
      <c r="M21" s="325">
        <f t="shared" ref="M21" si="3">E21+M$19</f>
        <v>0.56499999999999995</v>
      </c>
      <c r="N21" s="261">
        <f t="shared" ref="N21" si="4">L21*M21</f>
        <v>0.6457949999999999</v>
      </c>
      <c r="O21" s="259">
        <f t="shared" ref="O21" si="5">N21*K21</f>
        <v>0</v>
      </c>
      <c r="P21" s="252">
        <f>P$20*N21</f>
        <v>40285.19531688311</v>
      </c>
      <c r="Q21" s="258">
        <f t="shared" ref="Q21" si="6">P21+Q$20</f>
        <v>43285.19531688311</v>
      </c>
      <c r="R21" s="308">
        <f>L21*K21</f>
        <v>0</v>
      </c>
      <c r="S21" s="46">
        <f>M21*K21*2</f>
        <v>0</v>
      </c>
      <c r="T21" s="9"/>
      <c r="W21" s="4"/>
    </row>
    <row r="22" spans="2:24" ht="17.399999999999999" x14ac:dyDescent="0.3">
      <c r="B22" s="329">
        <v>1</v>
      </c>
      <c r="C22" s="329" t="s">
        <v>172</v>
      </c>
      <c r="D22" s="330">
        <v>1.2949999999999999</v>
      </c>
      <c r="E22" s="330">
        <v>0.7</v>
      </c>
      <c r="F22" s="329" t="s">
        <v>173</v>
      </c>
      <c r="G22" s="331">
        <v>75493</v>
      </c>
      <c r="H22" s="331">
        <f t="shared" ref="H22" si="7">G22*B22</f>
        <v>75493</v>
      </c>
      <c r="I22" s="265"/>
      <c r="J22" s="47"/>
      <c r="K22" s="324">
        <f t="shared" ref="K22" si="8">B22</f>
        <v>1</v>
      </c>
      <c r="L22" s="325">
        <f t="shared" ref="L22" si="9">D22+L$19</f>
        <v>1.375</v>
      </c>
      <c r="M22" s="325">
        <f t="shared" ref="M22" si="10">E22+M$19</f>
        <v>0.7</v>
      </c>
      <c r="N22" s="261">
        <f t="shared" ref="N22" si="11">L22*M22</f>
        <v>0.96249999999999991</v>
      </c>
      <c r="O22" s="259">
        <f t="shared" ref="O22" si="12">N22*K22</f>
        <v>0.96249999999999991</v>
      </c>
      <c r="P22" s="252">
        <f>P$20*N22</f>
        <v>60041.499999999993</v>
      </c>
      <c r="Q22" s="258">
        <f t="shared" ref="Q22" si="13">P22+Q$20</f>
        <v>63041.499999999993</v>
      </c>
      <c r="R22" s="308"/>
      <c r="S22" s="46"/>
      <c r="T22" s="9"/>
      <c r="W22" s="4"/>
    </row>
    <row r="23" spans="2:24" ht="17.399999999999999" x14ac:dyDescent="0.3">
      <c r="B23" s="327"/>
      <c r="C23" s="328"/>
      <c r="D23" s="327"/>
      <c r="E23" s="327"/>
      <c r="F23" s="327"/>
      <c r="G23" s="327"/>
      <c r="H23" s="327"/>
      <c r="I23" s="265"/>
      <c r="J23" s="47"/>
      <c r="K23" s="324"/>
      <c r="L23" s="325"/>
      <c r="M23" s="325"/>
      <c r="N23" s="261"/>
      <c r="O23" s="259"/>
      <c r="P23" s="252"/>
      <c r="Q23" s="258"/>
      <c r="R23" s="308"/>
      <c r="S23" s="46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3"/>
      <c r="I24" s="233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09" t="s">
        <v>29</v>
      </c>
      <c r="H25" s="310">
        <f>SUM(H21:H24)</f>
        <v>126050</v>
      </c>
      <c r="I25" s="265"/>
      <c r="J25" s="47"/>
      <c r="K25" s="47"/>
      <c r="L25" s="39">
        <f>SUM(L21:L24)</f>
        <v>2.5179999999999998</v>
      </c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7" t="s">
        <v>52</v>
      </c>
      <c r="H26" s="304">
        <f>H25*19%</f>
        <v>23949.5</v>
      </c>
      <c r="I26" s="265"/>
      <c r="J26" s="47"/>
      <c r="K26" s="47"/>
      <c r="L26" s="39"/>
      <c r="M26" s="12"/>
      <c r="N26" s="12"/>
      <c r="O26" s="253">
        <f>SUM(O21:O22)</f>
        <v>0.96249999999999991</v>
      </c>
      <c r="P26" s="14"/>
      <c r="Q26" s="12"/>
      <c r="R26" s="239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5">
        <f>H25+H26</f>
        <v>149999.5</v>
      </c>
      <c r="I27" s="265"/>
      <c r="J27" s="47"/>
      <c r="K27" s="47"/>
      <c r="L27" s="39"/>
      <c r="M27" s="12"/>
      <c r="N27" s="12"/>
      <c r="O27" s="253">
        <f>O26</f>
        <v>0.96249999999999991</v>
      </c>
      <c r="P27" s="14"/>
      <c r="Q27" s="12"/>
      <c r="R27" s="239">
        <f>SUM(R21:R26)</f>
        <v>0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0.1925</v>
      </c>
      <c r="P28" s="39" t="s">
        <v>131</v>
      </c>
      <c r="Q28" s="42"/>
      <c r="R28" s="240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47"/>
      <c r="K29" s="47"/>
      <c r="L29" s="14"/>
      <c r="M29" s="12"/>
      <c r="N29" s="12"/>
      <c r="O29" s="46">
        <f>O27+O28</f>
        <v>1.1549999999999998</v>
      </c>
      <c r="P29" s="14"/>
      <c r="Q29" s="14"/>
      <c r="R29" s="238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3"/>
      <c r="F30" s="234"/>
      <c r="G30" s="230"/>
      <c r="H30" s="275"/>
      <c r="I30" s="265"/>
      <c r="J30" s="47"/>
      <c r="K30" s="47"/>
      <c r="L30" s="14"/>
      <c r="M30" s="14"/>
      <c r="N30" s="14"/>
      <c r="O30" s="14"/>
      <c r="P30" s="14"/>
      <c r="Q30" s="14"/>
      <c r="R30" s="238"/>
      <c r="S30" s="14"/>
      <c r="T30" s="315" t="s">
        <v>22</v>
      </c>
      <c r="U30" s="312" t="s">
        <v>153</v>
      </c>
      <c r="V30" s="316">
        <v>44971</v>
      </c>
      <c r="W30" s="317"/>
    </row>
    <row r="31" spans="2:24" ht="17.399999999999999" x14ac:dyDescent="0.35">
      <c r="B31" s="235"/>
      <c r="C31" s="236"/>
      <c r="D31" s="237"/>
      <c r="E31" s="235"/>
      <c r="F31" s="230"/>
      <c r="G31" s="230"/>
      <c r="I31" s="265"/>
      <c r="J31" s="47"/>
      <c r="K31" s="47"/>
      <c r="L31" s="39">
        <f>O29</f>
        <v>1.1549999999999998</v>
      </c>
      <c r="M31" s="12">
        <v>3500</v>
      </c>
      <c r="N31" s="12">
        <f t="shared" ref="N31:N36" si="14">L31*M31</f>
        <v>4042.4999999999991</v>
      </c>
      <c r="O31" s="14" t="s">
        <v>22</v>
      </c>
      <c r="P31" s="14"/>
      <c r="Q31" s="14"/>
      <c r="R31" s="241"/>
      <c r="S31" s="14"/>
      <c r="T31" s="315" t="s">
        <v>154</v>
      </c>
      <c r="U31" s="312">
        <v>3625</v>
      </c>
      <c r="V31" s="59" t="s">
        <v>155</v>
      </c>
      <c r="W31" s="317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0.35</v>
      </c>
      <c r="M32" s="12">
        <v>25000</v>
      </c>
      <c r="N32" s="12">
        <f t="shared" si="14"/>
        <v>8750</v>
      </c>
      <c r="O32" s="39" t="s">
        <v>32</v>
      </c>
      <c r="P32" s="42"/>
      <c r="Q32" s="14"/>
      <c r="R32" s="240"/>
      <c r="S32" s="14"/>
      <c r="T32" s="315"/>
      <c r="U32" s="59">
        <v>906.25</v>
      </c>
      <c r="V32" s="59" t="s">
        <v>156</v>
      </c>
      <c r="W32" s="317"/>
    </row>
    <row r="33" spans="2:23" s="230" customFormat="1" ht="17.399999999999999" x14ac:dyDescent="0.35">
      <c r="I33" s="262"/>
      <c r="J33" s="232"/>
      <c r="K33" s="250"/>
      <c r="L33" s="14"/>
      <c r="M33" s="250">
        <v>62100</v>
      </c>
      <c r="N33" s="12">
        <f t="shared" si="14"/>
        <v>0</v>
      </c>
      <c r="O33" s="39" t="s">
        <v>31</v>
      </c>
      <c r="P33" s="42"/>
      <c r="R33" s="240"/>
      <c r="S33" s="256"/>
      <c r="T33" s="59"/>
      <c r="U33" s="59">
        <f>U32*20%</f>
        <v>181.25</v>
      </c>
      <c r="V33" s="317" t="s">
        <v>157</v>
      </c>
      <c r="W33" s="59"/>
    </row>
    <row r="34" spans="2:23" s="230" customFormat="1" ht="17.399999999999999" x14ac:dyDescent="0.35">
      <c r="B34" s="24" t="s">
        <v>152</v>
      </c>
      <c r="I34" s="262"/>
      <c r="J34" s="232"/>
      <c r="K34" s="250"/>
      <c r="L34" s="14">
        <v>0.5</v>
      </c>
      <c r="M34" s="250">
        <v>22500</v>
      </c>
      <c r="N34" s="12">
        <f t="shared" si="14"/>
        <v>11250</v>
      </c>
      <c r="O34" s="14" t="s">
        <v>142</v>
      </c>
      <c r="P34" s="17"/>
      <c r="R34" s="238"/>
      <c r="S34" s="256"/>
      <c r="T34" s="59"/>
      <c r="U34" s="59">
        <f>U32+U33</f>
        <v>1087.5</v>
      </c>
      <c r="V34" s="317" t="s">
        <v>158</v>
      </c>
      <c r="W34" s="59"/>
    </row>
    <row r="35" spans="2:23" s="230" customFormat="1" ht="17.399999999999999" x14ac:dyDescent="0.35">
      <c r="B35" s="24" t="s">
        <v>145</v>
      </c>
      <c r="C35"/>
      <c r="D35"/>
      <c r="E35"/>
      <c r="F35"/>
      <c r="I35" s="262"/>
      <c r="K35" s="250"/>
      <c r="L35" s="249"/>
      <c r="M35" s="250">
        <v>300</v>
      </c>
      <c r="N35" s="12">
        <f t="shared" si="14"/>
        <v>0</v>
      </c>
      <c r="O35" s="14" t="s">
        <v>33</v>
      </c>
      <c r="P35" s="14"/>
      <c r="Q35" s="230">
        <v>1.52</v>
      </c>
      <c r="R35" s="238"/>
      <c r="S35" s="238"/>
    </row>
    <row r="36" spans="2:23" s="230" customFormat="1" ht="17.399999999999999" x14ac:dyDescent="0.35">
      <c r="B36" s="29" t="s">
        <v>126</v>
      </c>
      <c r="C36"/>
      <c r="D36"/>
      <c r="E36"/>
      <c r="F36" s="229" t="s">
        <v>16</v>
      </c>
      <c r="I36" s="303"/>
      <c r="K36" s="250"/>
      <c r="L36" s="266">
        <v>1.375</v>
      </c>
      <c r="M36" s="12">
        <v>1500</v>
      </c>
      <c r="N36" s="12">
        <f t="shared" si="14"/>
        <v>2062.5</v>
      </c>
      <c r="O36" s="14" t="s">
        <v>23</v>
      </c>
      <c r="P36" s="14"/>
      <c r="Q36">
        <v>2.44</v>
      </c>
      <c r="R36"/>
      <c r="S36" s="238"/>
      <c r="W36" s="231"/>
    </row>
    <row r="37" spans="2:23" s="230" customFormat="1" ht="17.399999999999999" x14ac:dyDescent="0.35">
      <c r="K37" s="250"/>
      <c r="L37" s="14"/>
      <c r="M37" s="12"/>
      <c r="N37" s="12">
        <f>SUM(N31:N36)</f>
        <v>26105</v>
      </c>
      <c r="O37" s="39" t="s">
        <v>24</v>
      </c>
      <c r="P37" s="14"/>
      <c r="Q37">
        <f>Q35*Q36</f>
        <v>3.7088000000000001</v>
      </c>
      <c r="R37"/>
      <c r="S37" s="238"/>
      <c r="W37" s="231"/>
    </row>
    <row r="38" spans="2:23" s="230" customFormat="1" ht="17.399999999999999" x14ac:dyDescent="0.35">
      <c r="K38" s="250"/>
      <c r="L38" s="254" t="s">
        <v>34</v>
      </c>
      <c r="M38" s="12"/>
      <c r="N38" s="255">
        <f>N37*2.3</f>
        <v>60041.499999999993</v>
      </c>
      <c r="O38" s="14" t="s">
        <v>141</v>
      </c>
      <c r="P38" s="14"/>
      <c r="Q38" s="40">
        <f>O29/Q37</f>
        <v>0.31142148403796371</v>
      </c>
      <c r="R38"/>
      <c r="S38" s="257"/>
    </row>
    <row r="39" spans="2:23" s="230" customFormat="1" ht="17.399999999999999" x14ac:dyDescent="0.35">
      <c r="G39"/>
      <c r="H39" s="260"/>
      <c r="I39" s="260"/>
      <c r="J39" s="230">
        <v>35990</v>
      </c>
      <c r="K39" s="250"/>
      <c r="L39" s="14"/>
      <c r="M39" s="12"/>
      <c r="N39" s="12">
        <f>N38/O27</f>
        <v>62380.779220779215</v>
      </c>
      <c r="O39" s="45" t="s">
        <v>25</v>
      </c>
      <c r="P39" s="14"/>
      <c r="Q39" s="14"/>
      <c r="R39"/>
      <c r="S39" s="238"/>
      <c r="T39" s="59" t="s">
        <v>159</v>
      </c>
      <c r="U39" s="312">
        <v>43650</v>
      </c>
    </row>
    <row r="40" spans="2:23" s="230" customFormat="1" ht="17.399999999999999" x14ac:dyDescent="0.35">
      <c r="G40"/>
      <c r="J40" s="230">
        <f>J39/1.19</f>
        <v>30243.697478991598</v>
      </c>
      <c r="K40" s="250"/>
      <c r="L40" s="13"/>
      <c r="M40" s="14"/>
      <c r="N40" s="17">
        <f>N38/N37</f>
        <v>2.2999999999999998</v>
      </c>
      <c r="O40" s="15"/>
      <c r="P40"/>
      <c r="Q40"/>
      <c r="R40"/>
      <c r="S40" s="238"/>
      <c r="T40" s="59" t="s">
        <v>161</v>
      </c>
      <c r="U40" s="313" t="s">
        <v>160</v>
      </c>
      <c r="V40" s="59">
        <v>2.4</v>
      </c>
    </row>
    <row r="41" spans="2:23" s="230" customFormat="1" ht="17.399999999999999" x14ac:dyDescent="0.35">
      <c r="G41" s="23"/>
      <c r="K41" s="12"/>
      <c r="S41" s="238"/>
      <c r="T41" s="59" t="s">
        <v>162</v>
      </c>
      <c r="U41" s="314">
        <v>395.37</v>
      </c>
    </row>
    <row r="42" spans="2:23" s="230" customFormat="1" ht="17.399999999999999" x14ac:dyDescent="0.35">
      <c r="B42"/>
      <c r="C42" s="228"/>
      <c r="D42" s="22"/>
      <c r="E42" s="22"/>
      <c r="F42" s="21"/>
      <c r="G42" s="23"/>
      <c r="K42" s="12"/>
      <c r="S42" s="238"/>
      <c r="T42" s="59" t="s">
        <v>157</v>
      </c>
      <c r="U42" s="59">
        <v>474.45</v>
      </c>
    </row>
    <row r="43" spans="2:23" ht="14.4" customHeight="1" x14ac:dyDescent="0.3">
      <c r="K43" s="12"/>
      <c r="T43" s="59"/>
      <c r="U43" s="59"/>
    </row>
    <row r="44" spans="2:23" x14ac:dyDescent="0.3">
      <c r="K44" s="250"/>
    </row>
    <row r="45" spans="2:23" x14ac:dyDescent="0.3">
      <c r="K45" s="250"/>
      <c r="S45" s="270"/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45706</v>
      </c>
    </row>
    <row r="6" spans="2:31" ht="16.2" thickBot="1" x14ac:dyDescent="0.35">
      <c r="B6" s="140" t="s">
        <v>2</v>
      </c>
      <c r="C6" s="139" t="str">
        <f>'2229'!C10</f>
        <v>MARCELO CASTRO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11295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-9286.0208667874394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'2229'!H25</f>
        <v>126050</v>
      </c>
      <c r="E11" s="132">
        <f>D11*0.19</f>
        <v>23949.5</v>
      </c>
      <c r="F11" s="131">
        <f>E11+D11</f>
        <v>149999.5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96703.979133212561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42626.590787439614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78703.979133212561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83423.409212560393</v>
      </c>
      <c r="E13" s="221">
        <f>(D11/D12)-1</f>
        <v>1.95707439116013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69703.979133212561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30703.979133212561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70333.874799275363</v>
      </c>
      <c r="F15" s="216">
        <f>E15-D12</f>
        <v>27707.284011835749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30703.979133212561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70703.979133212561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'2229'!N32</f>
        <v>8750</v>
      </c>
      <c r="E19" s="123">
        <f>D19*0.19</f>
        <v>1662.5</v>
      </c>
      <c r="F19" s="120">
        <f>SUM(D19:E19)</f>
        <v>10412.5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4042.4999999999991</v>
      </c>
      <c r="E20" s="121">
        <f>D20*0.19</f>
        <v>768.07499999999982</v>
      </c>
      <c r="F20" s="120">
        <f>SUM(D20:E20)</f>
        <v>4810.5749999999989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12792.5</v>
      </c>
      <c r="E21" s="116">
        <f>SUM(E18:E20)</f>
        <v>2430.5749999999998</v>
      </c>
      <c r="F21" s="115">
        <f>SUM(F18:F20)</f>
        <v>15223.074999999999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21518.924999999999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126050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12792.5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83423.409212560393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83423.409212560393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2025-02-06T16:30:34Z</cp:lastPrinted>
  <dcterms:created xsi:type="dcterms:W3CDTF">2013-03-18T13:35:42Z</dcterms:created>
  <dcterms:modified xsi:type="dcterms:W3CDTF">2025-02-19T12:33:57Z</dcterms:modified>
</cp:coreProperties>
</file>