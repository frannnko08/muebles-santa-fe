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2 FEBRERO 2025\"/>
    </mc:Choice>
  </mc:AlternateContent>
  <xr:revisionPtr revIDLastSave="0" documentId="13_ncr:1_{DFAC0C78-E6DF-41CE-84AE-0E53F24504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K22" i="1"/>
  <c r="K21" i="1"/>
  <c r="M24" i="1" l="1"/>
  <c r="M23" i="1"/>
  <c r="O21" i="1"/>
  <c r="S22" i="1"/>
  <c r="S23" i="1"/>
  <c r="S24" i="1"/>
  <c r="S21" i="1"/>
  <c r="R21" i="1"/>
  <c r="I43" i="1"/>
  <c r="I39" i="1"/>
  <c r="I40" i="1"/>
  <c r="I41" i="1"/>
  <c r="I38" i="1"/>
  <c r="N35" i="1"/>
  <c r="L22" i="1"/>
  <c r="M22" i="1"/>
  <c r="L23" i="1"/>
  <c r="L24" i="1"/>
  <c r="N24" i="1" s="1"/>
  <c r="R24" i="1" l="1"/>
  <c r="O24" i="1"/>
  <c r="N22" i="1"/>
  <c r="O22" i="1" s="1"/>
  <c r="R22" i="1"/>
  <c r="N23" i="1"/>
  <c r="O23" i="1" s="1"/>
  <c r="R23" i="1"/>
  <c r="L21" i="1"/>
  <c r="M21" i="1"/>
  <c r="L27" i="1" l="1"/>
  <c r="N21" i="1"/>
  <c r="O28" i="1" s="1"/>
  <c r="U35" i="1"/>
  <c r="U36" i="1" s="1"/>
  <c r="R29" i="1" l="1"/>
  <c r="N34" i="1"/>
  <c r="O29" i="1" l="1"/>
  <c r="O30" i="1" s="1"/>
  <c r="O31" i="1" s="1"/>
  <c r="L33" i="1" s="1"/>
  <c r="M20" i="1"/>
  <c r="K20" i="1"/>
  <c r="N36" i="1" l="1"/>
  <c r="Q40" i="1"/>
  <c r="N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9" i="1"/>
  <c r="N38" i="1"/>
  <c r="F18" i="3" l="1"/>
  <c r="N33" i="1" l="1"/>
  <c r="N40" i="1" s="1"/>
  <c r="N41" i="1" s="1"/>
  <c r="Q41" i="1"/>
  <c r="N42" i="1" l="1"/>
  <c r="P20" i="1" s="1"/>
  <c r="P21" i="1" s="1"/>
  <c r="P42" i="1"/>
  <c r="T20" i="1" s="1"/>
  <c r="T21" i="1" s="1"/>
  <c r="D20" i="3"/>
  <c r="E20" i="3" s="1"/>
  <c r="E21" i="3" s="1"/>
  <c r="T22" i="1" l="1"/>
  <c r="N43" i="1"/>
  <c r="D21" i="3"/>
  <c r="M43" i="3" s="1"/>
  <c r="D12" i="3" s="1"/>
  <c r="F20" i="3"/>
  <c r="F21" i="3" s="1"/>
  <c r="T23" i="1" l="1"/>
  <c r="E15" i="3"/>
  <c r="T24" i="1" l="1"/>
  <c r="P22" i="1"/>
  <c r="Q22" i="1" s="1"/>
  <c r="P23" i="1"/>
  <c r="Q23" i="1" s="1"/>
  <c r="P24" i="1"/>
  <c r="Q24" i="1" s="1"/>
  <c r="F15" i="3"/>
  <c r="H23" i="1" l="1"/>
  <c r="H22" i="1"/>
  <c r="H24" i="1"/>
  <c r="Q21" i="1"/>
  <c r="H21" i="1" l="1"/>
  <c r="H28" i="1" l="1"/>
  <c r="H29" i="1" s="1"/>
  <c r="D11" i="3"/>
  <c r="X9" i="3" s="1"/>
  <c r="X15" i="3" s="1"/>
  <c r="X12" i="3" l="1"/>
  <c r="M42" i="3"/>
  <c r="M46" i="3" s="1"/>
  <c r="M49" i="3" s="1"/>
  <c r="D13" i="3"/>
  <c r="X16" i="3"/>
  <c r="E11" i="3"/>
  <c r="D40" i="3" s="1"/>
  <c r="X11" i="3"/>
  <c r="X14" i="3"/>
  <c r="E13" i="3"/>
  <c r="X13" i="3"/>
  <c r="F11" i="3" l="1"/>
</calcChain>
</file>

<file path=xl/sharedStrings.xml><?xml version="1.0" encoding="utf-8"?>
<sst xmlns="http://schemas.openxmlformats.org/spreadsheetml/2006/main" count="242" uniqueCount="182">
  <si>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</si>
  <si>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</si>
  <si>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</si>
  <si>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</si>
  <si>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</si>
  <si>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</si>
  <si>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</si>
  <si>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</si>
  <si>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</si>
  <si>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</si>
  <si>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</si>
  <si>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</si>
  <si>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</si>
  <si>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</si>
  <si>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</si>
  <si>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</si>
  <si>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</si>
  <si>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</si>
  <si>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</si>
  <si>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</si>
  <si>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</si>
  <si>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</si>
  <si>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</si>
  <si>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</si>
  <si>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</si>
  <si>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</si>
  <si>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</si>
  <si>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</si>
  <si>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</si>
  <si>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</si>
  <si>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</si>
  <si>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</si>
  <si>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</si>
  <si>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</si>
  <si>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</si>
  <si>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</si>
  <si>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</si>
  <si>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</si>
  <si>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</si>
  <si>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</si>
  <si>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</si>
  <si>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</si>
  <si>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</si>
  <si>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</si>
  <si>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</si>
  <si>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</si>
  <si>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</si>
  <si>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</si>
  <si>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</si>
  <si>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</si>
  <si>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</si>
  <si>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</si>
  <si>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</si>
  <si>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</si>
  <si>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</si>
  <si>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</si>
  <si>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</si>
  <si>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</si>
  <si>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</si>
  <si>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</si>
  <si>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</si>
  <si>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</si>
  <si>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</si>
  <si>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</si>
  <si>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</si>
  <si>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</si>
  <si>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</si>
  <si>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</si>
  <si>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</si>
  <si>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</si>
  <si>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</si>
  <si>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</si>
  <si>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</si>
  <si>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</si>
  <si>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</si>
  <si>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</si>
  <si>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</si>
  <si>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</si>
  <si>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</si>
  <si>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</si>
  <si>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</si>
  <si>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</si>
  <si>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</si>
  <si>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</si>
  <si>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</si>
  <si>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</si>
  <si>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</si>
  <si>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</si>
  <si>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</si>
  <si>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</si>
  <si>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</si>
  <si>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</si>
  <si>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</si>
  <si>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</si>
  <si>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</si>
  <si>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</si>
  <si>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</si>
  <si>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</si>
  <si>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</si>
  <si>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</si>
  <si>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</si>
  <si>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</si>
  <si>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</si>
  <si>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</si>
  <si>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</si>
  <si>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</si>
  <si>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</si>
  <si>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</si>
  <si>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</si>
  <si>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</si>
  <si>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</si>
  <si>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</si>
  <si>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</si>
  <si>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</si>
  <si>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</si>
  <si>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</si>
  <si>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</si>
  <si>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</si>
  <si>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</si>
  <si>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</si>
  <si>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</si>
  <si>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</si>
  <si>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</si>
  <si>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</si>
  <si>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</si>
  <si>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</si>
  <si>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</si>
  <si>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</si>
  <si>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</si>
  <si>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</si>
  <si>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</si>
  <si>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</si>
  <si>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</si>
  <si>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</si>
  <si>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</si>
  <si>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</si>
  <si>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</si>
  <si>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</si>
  <si>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</si>
  <si>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</si>
  <si>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</si>
  <si>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</si>
  <si>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</si>
  <si>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</si>
  <si>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</si>
  <si>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</si>
  <si>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</si>
  <si>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</si>
  <si>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</si>
  <si>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</si>
  <si>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</si>
  <si>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</si>
  <si>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</si>
  <si>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</si>
  <si>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</si>
  <si>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</si>
  <si>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</si>
  <si>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</si>
  <si>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</si>
  <si>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</si>
  <si>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</si>
  <si>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</si>
  <si>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</si>
  <si>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</si>
  <si>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</si>
  <si>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</si>
  <si>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</si>
  <si>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</si>
  <si>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N° 11298</t>
  </si>
  <si>
    <t>ENCHAPE RECTO 18mm 1 CARA</t>
  </si>
  <si>
    <t>MDF 24MM</t>
  </si>
  <si>
    <t>ENCHAPE RECTO 18mm 2 CARAS</t>
  </si>
  <si>
    <t>Metros Lineales</t>
  </si>
  <si>
    <t xml:space="preserve">Total </t>
  </si>
  <si>
    <t xml:space="preserve">SEND MADE </t>
  </si>
  <si>
    <t>77.161.825-1</t>
  </si>
  <si>
    <t xml:space="preserve">FABRICACIÓN DE PRODUCTOS METALICOS </t>
  </si>
  <si>
    <t>+569 61938532</t>
  </si>
  <si>
    <t xml:space="preserve">CERRO PORTEZUELO 9871 QUILICURA </t>
  </si>
  <si>
    <t>10 DIAS HABILES</t>
  </si>
  <si>
    <t>ENCHAPE RECTO 25mm 1 CARA</t>
  </si>
  <si>
    <t>GRIS NUBE 2189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</si>
</sst>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  <numFmt numFmtId="176" formatCode="_ &quot;$&quot;* #,##0.000_ ;_ &quot;$&quot;* \-#,##0.000_ ;_ &quot;$&quot;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u/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0" xfId="0" quotePrefix="1" applyFont="1" applyAlignment="1">
      <alignment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72" fontId="22" fillId="0" borderId="0" xfId="4" applyNumberFormat="1" applyFont="1"/>
    <xf numFmtId="172" fontId="22" fillId="0" borderId="0" xfId="0" applyNumberFormat="1" applyFont="1"/>
    <xf numFmtId="176" fontId="0" fillId="0" borderId="0" xfId="8" applyNumberFormat="1" applyFont="1" applyAlignment="1">
      <alignment horizontal="center"/>
    </xf>
    <xf numFmtId="42" fontId="11" fillId="0" borderId="1" xfId="8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6" fillId="0" borderId="0" xfId="3" quotePrefix="1" applyFont="1" applyFill="1" applyBorder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31</xdr:row>
      <xdr:rowOff>26670</xdr:rowOff>
    </xdr:from>
    <xdr:to>
      <xdr:col>7</xdr:col>
      <xdr:colOff>1034435</xdr:colOff>
      <xdr:row>34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1714500</xdr:colOff>
      <xdr:row>34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25</xdr:row>
      <xdr:rowOff>222558</xdr:rowOff>
    </xdr:from>
    <xdr:to>
      <xdr:col>5</xdr:col>
      <xdr:colOff>1659644</xdr:colOff>
      <xdr:row>29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1519948</xdr:colOff>
      <xdr:row>6</xdr:row>
      <xdr:rowOff>72390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4"/>
  <sheetViews>
    <sheetView tabSelected="1" zoomScale="93" zoomScaleNormal="93" workbookViewId="0">
      <selection activeCell="A30" sqref="A30"/>
    </sheetView>
  </sheetViews>
  <sheetFormatPr baseColWidth="10" defaultRowHeight="14.4" x14ac:dyDescent="0.3"/>
  <cols>
    <col min="1" max="1" width="6" customWidth="1"/>
    <col min="2" max="2" width="10.5546875" customWidth="1"/>
    <col min="3" max="3" width="30.6640625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3" t="s">
        <v>168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7" t="s">
        <v>163</v>
      </c>
      <c r="C10" s="279" t="s">
        <v>174</v>
      </c>
      <c r="D10" s="243"/>
      <c r="E10" s="243"/>
      <c r="F10" s="244" t="s">
        <v>0</v>
      </c>
      <c r="G10" s="277">
        <v>45709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0" t="s">
        <v>175</v>
      </c>
      <c r="F11" t="s">
        <v>124</v>
      </c>
      <c r="G11" s="289" t="s">
        <v>179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0" t="s">
        <v>176</v>
      </c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5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44" t="s">
        <v>177</v>
      </c>
      <c r="D15" s="295"/>
      <c r="E15" s="247"/>
      <c r="F15" s="247" t="s">
        <v>135</v>
      </c>
      <c r="G15" s="296" t="s">
        <v>136</v>
      </c>
      <c r="H15" s="248"/>
      <c r="K15" s="18" t="s">
        <v>165</v>
      </c>
    </row>
    <row r="16" spans="2:23" ht="16.8" x14ac:dyDescent="0.4">
      <c r="B16" s="292" t="s">
        <v>3</v>
      </c>
      <c r="C16" s="310" t="s">
        <v>178</v>
      </c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2" t="s">
        <v>167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18" t="s">
        <v>7</v>
      </c>
      <c r="C20" s="319" t="s">
        <v>1</v>
      </c>
      <c r="D20" s="319" t="s">
        <v>10</v>
      </c>
      <c r="E20" s="319" t="s">
        <v>11</v>
      </c>
      <c r="F20" s="319" t="s">
        <v>8</v>
      </c>
      <c r="G20" s="319" t="s">
        <v>5</v>
      </c>
      <c r="H20" s="320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N42</f>
        <v>128592.0348837209</v>
      </c>
      <c r="Q20" s="258">
        <v>13000</v>
      </c>
      <c r="R20" s="38"/>
      <c r="S20" s="14" t="s">
        <v>129</v>
      </c>
      <c r="T20" s="330">
        <f>P42</f>
        <v>13.323993975903614</v>
      </c>
      <c r="W20" s="4"/>
    </row>
    <row r="21" spans="2:24" ht="17.399999999999999" x14ac:dyDescent="0.3">
      <c r="B21" s="326">
        <v>1</v>
      </c>
      <c r="C21" s="326" t="s">
        <v>180</v>
      </c>
      <c r="D21" s="327">
        <v>1.2</v>
      </c>
      <c r="E21" s="327">
        <v>0.8</v>
      </c>
      <c r="F21" s="326" t="s">
        <v>181</v>
      </c>
      <c r="G21" s="331">
        <v>144678</v>
      </c>
      <c r="H21" s="331">
        <f t="shared" ref="H21" si="1">G21*B21</f>
        <v>144678</v>
      </c>
      <c r="I21" s="265"/>
      <c r="J21" s="47"/>
      <c r="K21" s="321">
        <f t="shared" ref="K21:K24" si="2">B21</f>
        <v>1</v>
      </c>
      <c r="L21" s="322">
        <f t="shared" ref="L21" si="3">D21+L$19</f>
        <v>1.28</v>
      </c>
      <c r="M21" s="322">
        <f t="shared" ref="M21" si="4">E21+M$19</f>
        <v>0.8</v>
      </c>
      <c r="N21" s="261">
        <f t="shared" ref="N21" si="5">L21*M21</f>
        <v>1.024</v>
      </c>
      <c r="O21" s="259">
        <f>N21*K21</f>
        <v>1.024</v>
      </c>
      <c r="P21" s="252">
        <f>P$20*N21</f>
        <v>131678.24372093022</v>
      </c>
      <c r="Q21" s="258">
        <f t="shared" ref="Q21" si="6">P21+Q$20</f>
        <v>144678.24372093022</v>
      </c>
      <c r="R21" s="307">
        <f>L21*K21</f>
        <v>1.28</v>
      </c>
      <c r="S21" s="46">
        <f>M21*K21*2</f>
        <v>1.6</v>
      </c>
      <c r="T21" s="330">
        <f>T20*R21</f>
        <v>17.054712289156626</v>
      </c>
      <c r="W21" s="4"/>
    </row>
    <row r="22" spans="2:24" ht="17.399999999999999" x14ac:dyDescent="0.3">
      <c r="B22" s="326">
        <v>2</v>
      </c>
      <c r="C22" s="326" t="s">
        <v>180</v>
      </c>
      <c r="D22" s="327">
        <v>1</v>
      </c>
      <c r="E22" s="327">
        <v>0.8</v>
      </c>
      <c r="F22" s="326" t="s">
        <v>181</v>
      </c>
      <c r="G22" s="331">
        <v>124104</v>
      </c>
      <c r="H22" s="331">
        <f t="shared" ref="H22:H23" si="7">G22*B22</f>
        <v>248208</v>
      </c>
      <c r="I22" s="265"/>
      <c r="J22" s="47"/>
      <c r="K22" s="321">
        <f t="shared" si="2"/>
        <v>2</v>
      </c>
      <c r="L22" s="322">
        <f t="shared" ref="L22:L24" si="8">D22+L$19</f>
        <v>1.08</v>
      </c>
      <c r="M22" s="322">
        <f t="shared" ref="M22" si="9">E22+M$19</f>
        <v>0.8</v>
      </c>
      <c r="N22" s="261">
        <f t="shared" ref="N22:N24" si="10">L22*M22</f>
        <v>0.8640000000000001</v>
      </c>
      <c r="O22" s="259">
        <f t="shared" ref="O22:O24" si="11">N22*K22</f>
        <v>1.7280000000000002</v>
      </c>
      <c r="P22" s="252">
        <f t="shared" ref="P22:P24" si="12">P$20*N22</f>
        <v>111103.51813953488</v>
      </c>
      <c r="Q22" s="258">
        <f t="shared" ref="Q22:Q24" si="13">P22+Q$20</f>
        <v>124103.51813953488</v>
      </c>
      <c r="R22" s="307">
        <f t="shared" ref="R22:R24" si="14">L22*K22</f>
        <v>2.16</v>
      </c>
      <c r="S22" s="46">
        <f t="shared" ref="S22:S24" si="15">M22*K22*2</f>
        <v>3.2</v>
      </c>
      <c r="T22" s="330">
        <f>T21*L22</f>
        <v>18.419089272289156</v>
      </c>
      <c r="W22" s="4"/>
    </row>
    <row r="23" spans="2:24" ht="17.399999999999999" x14ac:dyDescent="0.3">
      <c r="B23" s="326">
        <v>2</v>
      </c>
      <c r="C23" s="326" t="s">
        <v>169</v>
      </c>
      <c r="D23" s="327">
        <v>1</v>
      </c>
      <c r="E23" s="327">
        <v>0.8</v>
      </c>
      <c r="F23" s="326" t="s">
        <v>181</v>
      </c>
      <c r="G23" s="331">
        <v>87268</v>
      </c>
      <c r="H23" s="331">
        <f t="shared" si="7"/>
        <v>174536</v>
      </c>
      <c r="I23" s="265"/>
      <c r="J23" s="47"/>
      <c r="K23" s="321"/>
      <c r="L23" s="322">
        <f t="shared" si="8"/>
        <v>1.08</v>
      </c>
      <c r="M23" s="322">
        <f>E23+M$19</f>
        <v>0.8</v>
      </c>
      <c r="N23" s="261">
        <f t="shared" si="10"/>
        <v>0.8640000000000001</v>
      </c>
      <c r="O23" s="259">
        <f t="shared" si="11"/>
        <v>0</v>
      </c>
      <c r="P23" s="252">
        <f t="shared" si="12"/>
        <v>111103.51813953488</v>
      </c>
      <c r="Q23" s="258">
        <f t="shared" si="13"/>
        <v>124103.51813953488</v>
      </c>
      <c r="R23" s="307">
        <f t="shared" si="14"/>
        <v>0</v>
      </c>
      <c r="S23" s="46">
        <f t="shared" si="15"/>
        <v>0</v>
      </c>
      <c r="T23" s="330">
        <f>T22*L23</f>
        <v>19.89261641407229</v>
      </c>
      <c r="W23" s="4"/>
    </row>
    <row r="24" spans="2:24" ht="17.399999999999999" x14ac:dyDescent="0.3">
      <c r="B24" s="326">
        <v>8</v>
      </c>
      <c r="C24" s="326" t="s">
        <v>171</v>
      </c>
      <c r="D24" s="327">
        <v>1.34</v>
      </c>
      <c r="E24" s="327">
        <v>0.5</v>
      </c>
      <c r="F24" s="326" t="s">
        <v>181</v>
      </c>
      <c r="G24" s="331">
        <v>73509</v>
      </c>
      <c r="H24" s="331">
        <f t="shared" ref="H24" si="16">G24*B24</f>
        <v>588072</v>
      </c>
      <c r="I24" s="265"/>
      <c r="J24" s="47"/>
      <c r="K24" s="321"/>
      <c r="L24" s="322">
        <f t="shared" si="8"/>
        <v>1.4200000000000002</v>
      </c>
      <c r="M24" s="322">
        <f>E24</f>
        <v>0.5</v>
      </c>
      <c r="N24" s="261">
        <f t="shared" si="10"/>
        <v>0.71000000000000008</v>
      </c>
      <c r="O24" s="259">
        <f t="shared" si="11"/>
        <v>0</v>
      </c>
      <c r="P24" s="252">
        <f t="shared" si="12"/>
        <v>91300.344767441857</v>
      </c>
      <c r="Q24" s="258">
        <f t="shared" si="13"/>
        <v>104300.34476744186</v>
      </c>
      <c r="R24" s="307">
        <f t="shared" si="14"/>
        <v>0</v>
      </c>
      <c r="S24" s="46">
        <f t="shared" si="15"/>
        <v>0</v>
      </c>
      <c r="T24" s="330">
        <f>T23*L24</f>
        <v>28.247515307982653</v>
      </c>
      <c r="W24" s="4"/>
    </row>
    <row r="25" spans="2:24" ht="17.399999999999999" x14ac:dyDescent="0.3">
      <c r="B25" s="324"/>
      <c r="C25" s="325"/>
      <c r="D25" s="324"/>
      <c r="E25" s="324"/>
      <c r="F25" s="324"/>
      <c r="G25" s="324"/>
      <c r="H25" s="324"/>
      <c r="I25" s="265"/>
      <c r="J25" s="47"/>
      <c r="K25" s="321"/>
      <c r="L25" s="322"/>
      <c r="M25" s="322"/>
      <c r="N25" s="261"/>
      <c r="O25" s="259"/>
      <c r="P25" s="252"/>
      <c r="Q25" s="258"/>
      <c r="R25" s="307"/>
      <c r="S25" s="46"/>
      <c r="T25" s="9"/>
      <c r="W25" s="4"/>
    </row>
    <row r="26" spans="2:24" ht="18" thickBot="1" x14ac:dyDescent="0.35">
      <c r="B26" s="286"/>
      <c r="C26" s="286"/>
      <c r="D26" s="287"/>
      <c r="E26" s="287"/>
      <c r="F26" s="286"/>
      <c r="G26" s="265"/>
      <c r="H26" s="233"/>
      <c r="I26" s="233"/>
      <c r="J26" s="47"/>
      <c r="K26" s="47"/>
      <c r="L26" s="39"/>
      <c r="M26" s="39"/>
      <c r="N26" s="261"/>
      <c r="O26" s="259"/>
      <c r="P26" s="252"/>
      <c r="Q26" s="258"/>
      <c r="R26" s="307"/>
      <c r="S26" s="14"/>
      <c r="T26" s="9"/>
      <c r="W26" s="4"/>
    </row>
    <row r="27" spans="2:24" ht="17.399999999999999" x14ac:dyDescent="0.3">
      <c r="B27" s="286"/>
      <c r="C27" s="286"/>
      <c r="D27" s="287"/>
      <c r="E27" s="287"/>
      <c r="F27" s="286"/>
      <c r="G27" s="308" t="s">
        <v>29</v>
      </c>
      <c r="H27" s="309">
        <f>SUM(H21:H26)</f>
        <v>1155494</v>
      </c>
      <c r="I27" s="265"/>
      <c r="J27" s="47"/>
      <c r="K27" s="47"/>
      <c r="L27" s="39">
        <f>SUM(L21:L26)</f>
        <v>4.8600000000000003</v>
      </c>
      <c r="M27" s="39"/>
      <c r="N27" s="261"/>
      <c r="O27" s="259"/>
      <c r="P27" s="252"/>
      <c r="Q27" s="258"/>
      <c r="R27" s="307"/>
      <c r="S27" s="14"/>
      <c r="T27" s="9"/>
      <c r="W27" s="4"/>
    </row>
    <row r="28" spans="2:24" ht="17.399999999999999" x14ac:dyDescent="0.3">
      <c r="B28" s="280"/>
      <c r="C28" s="283"/>
      <c r="D28" s="284"/>
      <c r="E28" s="284"/>
      <c r="F28" s="285"/>
      <c r="G28" s="306" t="s">
        <v>52</v>
      </c>
      <c r="H28" s="303">
        <f>H27*19%</f>
        <v>219543.86000000002</v>
      </c>
      <c r="I28" s="265"/>
      <c r="J28" s="47"/>
      <c r="K28" s="47"/>
      <c r="L28" s="39"/>
      <c r="M28" s="12"/>
      <c r="N28" s="12"/>
      <c r="O28" s="253">
        <f>SUM(O21:O24)</f>
        <v>2.7520000000000002</v>
      </c>
      <c r="P28" s="14"/>
      <c r="Q28" s="12"/>
      <c r="R28" s="239"/>
      <c r="S28" s="14"/>
      <c r="T28" s="9"/>
      <c r="W28" s="4"/>
    </row>
    <row r="29" spans="2:24" ht="18" thickBot="1" x14ac:dyDescent="0.35">
      <c r="B29" s="276"/>
      <c r="C29" s="282"/>
      <c r="D29" s="272"/>
      <c r="E29" s="272"/>
      <c r="F29" s="273"/>
      <c r="G29" s="281" t="s">
        <v>6</v>
      </c>
      <c r="H29" s="304">
        <f>H27+H28</f>
        <v>1375037.86</v>
      </c>
      <c r="I29" s="265"/>
      <c r="J29" s="47"/>
      <c r="K29" s="47"/>
      <c r="L29" s="39"/>
      <c r="M29" s="12"/>
      <c r="N29" s="12"/>
      <c r="O29" s="253">
        <f>O28</f>
        <v>2.7520000000000002</v>
      </c>
      <c r="P29" s="14"/>
      <c r="Q29" s="12"/>
      <c r="R29" s="239">
        <f>SUM(R21:R28)</f>
        <v>3.4400000000000004</v>
      </c>
      <c r="S29" s="14">
        <v>26560</v>
      </c>
      <c r="T29" s="9"/>
      <c r="W29" s="4"/>
    </row>
    <row r="30" spans="2:24" ht="17.399999999999999" x14ac:dyDescent="0.3">
      <c r="B30" s="276"/>
      <c r="C30" s="271"/>
      <c r="D30" s="272"/>
      <c r="E30" s="272"/>
      <c r="F30" s="273"/>
      <c r="I30" s="265"/>
      <c r="J30" s="47"/>
      <c r="K30" s="47"/>
      <c r="L30" s="14"/>
      <c r="M30" s="12"/>
      <c r="N30" s="12"/>
      <c r="O30" s="39">
        <f>O29*20%</f>
        <v>0.55040000000000011</v>
      </c>
      <c r="P30" s="39" t="s">
        <v>131</v>
      </c>
      <c r="Q30" s="42"/>
      <c r="R30" s="240"/>
      <c r="S30" s="14"/>
      <c r="T30" s="9"/>
      <c r="W30" s="4"/>
    </row>
    <row r="31" spans="2:24" ht="17.399999999999999" x14ac:dyDescent="0.3">
      <c r="B31" s="271"/>
      <c r="C31" s="271"/>
      <c r="D31" s="272"/>
      <c r="E31" s="272"/>
      <c r="F31" s="273"/>
      <c r="G31" s="274"/>
      <c r="H31" s="275"/>
      <c r="I31" s="265"/>
      <c r="J31" s="47"/>
      <c r="K31" s="47"/>
      <c r="L31" s="14"/>
      <c r="M31" s="12"/>
      <c r="N31" s="12"/>
      <c r="O31" s="46">
        <f>O29+O30</f>
        <v>3.3024000000000004</v>
      </c>
      <c r="P31" s="14"/>
      <c r="Q31" s="14"/>
      <c r="R31" s="238">
        <v>40</v>
      </c>
      <c r="S31" s="14"/>
      <c r="T31" s="9"/>
      <c r="W31" s="4"/>
    </row>
    <row r="32" spans="2:24" ht="17.399999999999999" x14ac:dyDescent="0.35">
      <c r="B32" s="269"/>
      <c r="C32" s="230"/>
      <c r="D32" s="230"/>
      <c r="E32" s="233"/>
      <c r="F32" s="234"/>
      <c r="G32" s="230"/>
      <c r="H32" s="275"/>
      <c r="I32" s="265"/>
      <c r="J32" s="47"/>
      <c r="K32" s="47"/>
      <c r="L32" s="14"/>
      <c r="M32" s="14"/>
      <c r="N32" s="14"/>
      <c r="O32" s="14"/>
      <c r="P32" s="14"/>
      <c r="Q32" s="14"/>
      <c r="R32" s="238"/>
      <c r="S32" s="14"/>
      <c r="T32" s="314" t="s">
        <v>22</v>
      </c>
      <c r="U32" s="311" t="s">
        <v>153</v>
      </c>
      <c r="V32" s="315">
        <v>44971</v>
      </c>
      <c r="W32" s="316"/>
    </row>
    <row r="33" spans="2:23" ht="17.399999999999999" x14ac:dyDescent="0.35">
      <c r="B33" s="235"/>
      <c r="C33" s="236"/>
      <c r="D33" s="237"/>
      <c r="E33" s="235"/>
      <c r="F33" s="230"/>
      <c r="G33" s="230"/>
      <c r="I33" s="265"/>
      <c r="J33" s="47"/>
      <c r="K33" s="47"/>
      <c r="L33" s="39">
        <f>O31*2</f>
        <v>6.6048000000000009</v>
      </c>
      <c r="M33" s="12">
        <v>3500</v>
      </c>
      <c r="N33" s="12">
        <f t="shared" ref="N33:N34" si="17">L33*M33</f>
        <v>23116.800000000003</v>
      </c>
      <c r="O33" s="14" t="s">
        <v>22</v>
      </c>
      <c r="P33" s="14"/>
      <c r="Q33" s="14"/>
      <c r="R33" s="241"/>
      <c r="S33" s="14"/>
      <c r="T33" s="314" t="s">
        <v>154</v>
      </c>
      <c r="U33" s="311">
        <v>3625</v>
      </c>
      <c r="V33" s="59" t="s">
        <v>155</v>
      </c>
      <c r="W33" s="316"/>
    </row>
    <row r="34" spans="2:23" ht="17.399999999999999" x14ac:dyDescent="0.35">
      <c r="B34" s="230"/>
      <c r="C34" s="230"/>
      <c r="D34" s="230"/>
      <c r="E34" s="230"/>
      <c r="F34" s="230"/>
      <c r="G34" s="230"/>
      <c r="I34" s="265"/>
      <c r="J34" s="47"/>
      <c r="K34" s="47"/>
      <c r="L34" s="249"/>
      <c r="M34" s="12">
        <v>25000</v>
      </c>
      <c r="N34" s="12">
        <f t="shared" si="17"/>
        <v>0</v>
      </c>
      <c r="O34" s="39" t="s">
        <v>32</v>
      </c>
      <c r="P34" s="42"/>
      <c r="Q34" s="14"/>
      <c r="R34" s="240"/>
      <c r="S34" s="14"/>
      <c r="T34" s="314"/>
      <c r="U34" s="59">
        <v>906.25</v>
      </c>
      <c r="V34" s="59" t="s">
        <v>156</v>
      </c>
      <c r="W34" s="316"/>
    </row>
    <row r="35" spans="2:23" s="230" customFormat="1" ht="17.399999999999999" x14ac:dyDescent="0.35">
      <c r="I35" s="262"/>
      <c r="J35" s="232"/>
      <c r="K35" s="250"/>
      <c r="L35" s="14">
        <v>2</v>
      </c>
      <c r="M35" s="14">
        <v>39500</v>
      </c>
      <c r="N35" s="14">
        <f>L35*M35</f>
        <v>79000</v>
      </c>
      <c r="O35" s="14" t="s">
        <v>170</v>
      </c>
      <c r="R35" s="240"/>
      <c r="S35" s="256"/>
      <c r="T35" s="59"/>
      <c r="U35" s="59">
        <f>U34*20%</f>
        <v>181.25</v>
      </c>
      <c r="V35" s="316" t="s">
        <v>157</v>
      </c>
      <c r="W35" s="59"/>
    </row>
    <row r="36" spans="2:23" s="230" customFormat="1" ht="17.399999999999999" x14ac:dyDescent="0.35">
      <c r="B36" s="24" t="s">
        <v>152</v>
      </c>
      <c r="I36" s="262"/>
      <c r="J36" s="232"/>
      <c r="K36" s="250"/>
      <c r="L36" s="14"/>
      <c r="M36" s="250">
        <v>62100</v>
      </c>
      <c r="N36" s="12">
        <f>L36*M36</f>
        <v>0</v>
      </c>
      <c r="O36" s="39" t="s">
        <v>31</v>
      </c>
      <c r="P36" s="42"/>
      <c r="R36" s="238"/>
      <c r="S36" s="256"/>
      <c r="T36" s="59"/>
      <c r="U36" s="59">
        <f>U34+U35</f>
        <v>1087.5</v>
      </c>
      <c r="V36" s="316" t="s">
        <v>158</v>
      </c>
      <c r="W36" s="59"/>
    </row>
    <row r="37" spans="2:23" s="230" customFormat="1" ht="17.399999999999999" x14ac:dyDescent="0.35">
      <c r="B37" s="24" t="s">
        <v>145</v>
      </c>
      <c r="C37"/>
      <c r="D37"/>
      <c r="E37"/>
      <c r="F37"/>
      <c r="I37" s="262" t="s">
        <v>172</v>
      </c>
      <c r="K37" s="250"/>
      <c r="L37" s="14">
        <v>2</v>
      </c>
      <c r="M37" s="250">
        <v>33200</v>
      </c>
      <c r="N37" s="12">
        <f>L37*M37</f>
        <v>66400</v>
      </c>
      <c r="O37" s="14" t="s">
        <v>142</v>
      </c>
      <c r="P37" s="17"/>
      <c r="R37" s="238"/>
      <c r="S37" s="238"/>
    </row>
    <row r="38" spans="2:23" s="230" customFormat="1" ht="17.399999999999999" x14ac:dyDescent="0.35">
      <c r="B38" s="29" t="s">
        <v>126</v>
      </c>
      <c r="C38"/>
      <c r="D38"/>
      <c r="E38"/>
      <c r="F38" s="229" t="s">
        <v>16</v>
      </c>
      <c r="I38" s="328">
        <f>((D21*2)+(E21*2))*B21</f>
        <v>4</v>
      </c>
      <c r="K38" s="250"/>
      <c r="L38" s="249"/>
      <c r="M38" s="250">
        <v>300</v>
      </c>
      <c r="N38" s="12">
        <f>L38*M38</f>
        <v>0</v>
      </c>
      <c r="O38" s="14" t="s">
        <v>33</v>
      </c>
      <c r="P38" s="14"/>
      <c r="Q38" s="230">
        <v>1.52</v>
      </c>
      <c r="R38"/>
      <c r="S38" s="238"/>
      <c r="W38" s="231"/>
    </row>
    <row r="39" spans="2:23" s="230" customFormat="1" ht="17.399999999999999" x14ac:dyDescent="0.35">
      <c r="I39" s="328">
        <f t="shared" ref="I39:I41" si="18">((D22*2)+(E22*2))*B22</f>
        <v>7.2</v>
      </c>
      <c r="K39" s="250"/>
      <c r="L39" s="266"/>
      <c r="M39" s="12">
        <v>1500</v>
      </c>
      <c r="N39" s="12">
        <f>L39*M39</f>
        <v>0</v>
      </c>
      <c r="O39" s="14" t="s">
        <v>23</v>
      </c>
      <c r="P39" s="14"/>
      <c r="Q39">
        <v>2.44</v>
      </c>
      <c r="R39"/>
      <c r="S39" s="238"/>
      <c r="W39" s="231"/>
    </row>
    <row r="40" spans="2:23" s="230" customFormat="1" ht="17.399999999999999" x14ac:dyDescent="0.35">
      <c r="I40" s="328">
        <f t="shared" si="18"/>
        <v>7.2</v>
      </c>
      <c r="K40" s="250"/>
      <c r="L40" s="14"/>
      <c r="M40" s="12"/>
      <c r="N40" s="12">
        <f>SUM(N33:N39)</f>
        <v>168516.8</v>
      </c>
      <c r="O40" s="39" t="s">
        <v>24</v>
      </c>
      <c r="P40" s="14"/>
      <c r="Q40">
        <f>Q38*Q39</f>
        <v>3.7088000000000001</v>
      </c>
      <c r="R40"/>
      <c r="S40" s="257"/>
    </row>
    <row r="41" spans="2:23" s="230" customFormat="1" ht="17.399999999999999" x14ac:dyDescent="0.35">
      <c r="G41"/>
      <c r="H41" s="260"/>
      <c r="I41" s="328">
        <f t="shared" si="18"/>
        <v>29.44</v>
      </c>
      <c r="K41" s="250"/>
      <c r="L41" s="254" t="s">
        <v>34</v>
      </c>
      <c r="M41" s="12"/>
      <c r="N41" s="255">
        <f>N40*2.1</f>
        <v>353885.27999999997</v>
      </c>
      <c r="O41" s="14" t="s">
        <v>141</v>
      </c>
      <c r="P41" s="14"/>
      <c r="Q41" s="40">
        <f>O31/Q40</f>
        <v>0.89042277825711835</v>
      </c>
      <c r="R41"/>
      <c r="S41" s="238"/>
      <c r="T41" s="59" t="s">
        <v>159</v>
      </c>
      <c r="U41" s="311">
        <v>43650</v>
      </c>
    </row>
    <row r="42" spans="2:23" s="230" customFormat="1" ht="17.399999999999999" x14ac:dyDescent="0.35">
      <c r="G42"/>
      <c r="I42" s="230" t="s">
        <v>173</v>
      </c>
      <c r="K42" s="250"/>
      <c r="L42" s="14"/>
      <c r="M42" s="12"/>
      <c r="N42" s="12">
        <f>N41/O29</f>
        <v>128592.0348837209</v>
      </c>
      <c r="O42" s="45" t="s">
        <v>25</v>
      </c>
      <c r="P42" s="46">
        <f>N41/S29</f>
        <v>13.323993975903614</v>
      </c>
      <c r="Q42" s="14"/>
      <c r="R42"/>
      <c r="S42" s="238"/>
      <c r="T42" s="59" t="s">
        <v>161</v>
      </c>
      <c r="U42" s="312" t="s">
        <v>160</v>
      </c>
      <c r="V42" s="59">
        <v>2.4</v>
      </c>
    </row>
    <row r="43" spans="2:23" s="230" customFormat="1" ht="17.399999999999999" x14ac:dyDescent="0.35">
      <c r="G43" s="23"/>
      <c r="I43" s="329">
        <f>SUM(I38:I42)</f>
        <v>47.84</v>
      </c>
      <c r="K43" s="12"/>
      <c r="L43" s="13"/>
      <c r="M43" s="14"/>
      <c r="N43" s="17">
        <f>N41/N40</f>
        <v>2.1</v>
      </c>
      <c r="O43" s="15"/>
      <c r="P43"/>
      <c r="Q43"/>
      <c r="S43" s="238"/>
      <c r="T43" s="59" t="s">
        <v>162</v>
      </c>
      <c r="U43" s="313">
        <v>395.37</v>
      </c>
    </row>
    <row r="44" spans="2:23" s="230" customFormat="1" ht="17.399999999999999" x14ac:dyDescent="0.35">
      <c r="B44"/>
      <c r="C44" s="228"/>
      <c r="D44" s="22"/>
      <c r="E44" s="22"/>
      <c r="F44" s="21"/>
      <c r="G44" s="23"/>
      <c r="K44" s="12"/>
      <c r="S44" s="238"/>
      <c r="T44" s="59" t="s">
        <v>157</v>
      </c>
      <c r="U44" s="59">
        <v>474.45</v>
      </c>
    </row>
    <row r="45" spans="2:23" ht="14.4" customHeight="1" x14ac:dyDescent="0.3">
      <c r="K45" s="12"/>
      <c r="T45" s="59"/>
      <c r="U45" s="59"/>
    </row>
    <row r="46" spans="2:23" x14ac:dyDescent="0.3">
      <c r="K46" s="250"/>
    </row>
    <row r="47" spans="2:23" x14ac:dyDescent="0.3">
      <c r="K47" s="250"/>
      <c r="S47" s="270"/>
    </row>
    <row r="48" spans="2:23" x14ac:dyDescent="0.3">
      <c r="K48" s="250"/>
    </row>
    <row r="49" spans="14:19" ht="15" customHeight="1" x14ac:dyDescent="0.3"/>
    <row r="51" spans="14:19" x14ac:dyDescent="0.3">
      <c r="N51">
        <v>40935</v>
      </c>
      <c r="O51" t="s">
        <v>17</v>
      </c>
      <c r="P51" t="s">
        <v>27</v>
      </c>
    </row>
    <row r="53" spans="14:19" x14ac:dyDescent="0.3">
      <c r="N53" s="54"/>
      <c r="O53" s="54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2" spans="14:19" x14ac:dyDescent="0.3">
      <c r="R62" s="18"/>
      <c r="S62" s="18"/>
    </row>
    <row r="65" spans="3:14" x14ac:dyDescent="0.3">
      <c r="N65" s="43"/>
    </row>
    <row r="66" spans="3:14" x14ac:dyDescent="0.3">
      <c r="N66" s="43"/>
    </row>
    <row r="67" spans="3:14" x14ac:dyDescent="0.3">
      <c r="N67" s="6"/>
    </row>
    <row r="68" spans="3:14" x14ac:dyDescent="0.3">
      <c r="N68" s="6"/>
    </row>
    <row r="76" spans="3:14" x14ac:dyDescent="0.3">
      <c r="C76" t="s">
        <v>149</v>
      </c>
    </row>
    <row r="77" spans="3:14" x14ac:dyDescent="0.3">
      <c r="C77" t="s">
        <v>148</v>
      </c>
    </row>
    <row r="80" spans="3:14" x14ac:dyDescent="0.3">
      <c r="C80" t="s">
        <v>148</v>
      </c>
    </row>
    <row r="157" spans="3:3" x14ac:dyDescent="0.3">
      <c r="C157" t="s">
        <v>148</v>
      </c>
    </row>
    <row r="158" spans="3:3" x14ac:dyDescent="0.3">
      <c r="C158" t="s">
        <v>150</v>
      </c>
    </row>
    <row r="159" spans="3:3" x14ac:dyDescent="0.3">
      <c r="C159" t="s">
        <v>151</v>
      </c>
    </row>
    <row r="584" spans="3:3" x14ac:dyDescent="0.3">
      <c r="C584" t="s">
        <v>148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45709</v>
      </c>
    </row>
    <row r="6" spans="2:31" ht="16.2" thickBot="1" x14ac:dyDescent="0.35">
      <c r="B6" s="140" t="s">
        <v>2</v>
      </c>
      <c r="C6" s="139" t="str">
        <f>'2229'!C10</f>
        <v xml:space="preserve">SEND MADE 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11298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-178020.83836678744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'2229'!H27</f>
        <v>1155494</v>
      </c>
      <c r="E11" s="132">
        <f>D11*0.19</f>
        <v>219543.86000000002</v>
      </c>
      <c r="F11" s="131">
        <f>E11+D11</f>
        <v>1375037.86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-72030.838366787444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52950.890787439617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-90030.838366787444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1102543.1092125603</v>
      </c>
      <c r="E13" s="221">
        <f>(D11/D12)-1</f>
        <v>20.821993602307678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-99030.838366787444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-138030.83836678744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87368.969799275364</v>
      </c>
      <c r="F15" s="216">
        <f>E15-D12</f>
        <v>34418.079011835747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-138030.83836678744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-98030.838366787444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'2229'!N34</f>
        <v>0</v>
      </c>
      <c r="E19" s="123">
        <f>D19*0.19</f>
        <v>0</v>
      </c>
      <c r="F19" s="120">
        <f>SUM(D19:E19)</f>
        <v>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'2229'!N33</f>
        <v>23116.800000000003</v>
      </c>
      <c r="E20" s="121">
        <f>D20*0.19</f>
        <v>4392.1920000000009</v>
      </c>
      <c r="F20" s="120">
        <f>SUM(D20:E20)</f>
        <v>27508.992000000006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23116.800000000003</v>
      </c>
      <c r="E21" s="116">
        <f>SUM(E18:E20)</f>
        <v>4392.1920000000009</v>
      </c>
      <c r="F21" s="115">
        <f>SUM(F18:F20)</f>
        <v>27508.992000000006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215151.66800000001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1155494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23116.800000000003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1102543.1092125603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1102543.1092125603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2025-02-06T16:30:34Z</cp:lastPrinted>
  <dcterms:created xsi:type="dcterms:W3CDTF">2013-03-18T13:35:42Z</dcterms:created>
  <dcterms:modified xsi:type="dcterms:W3CDTF">2025-02-21T14:43:10Z</dcterms:modified>
</cp:coreProperties>
</file>