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08DD8AD2-2396-4A3A-8C3C-37832AC143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2" i="1"/>
  <c r="L22" i="1"/>
  <c r="M22" i="1"/>
  <c r="H22" i="1"/>
  <c r="K21" i="1"/>
  <c r="N22" i="1" l="1"/>
  <c r="O22" i="1" s="1"/>
  <c r="J40" i="1"/>
  <c r="L21" i="1"/>
  <c r="M21" i="1"/>
  <c r="R21" i="1" l="1"/>
  <c r="L25" i="1"/>
  <c r="O26" i="1"/>
  <c r="S21" i="1"/>
  <c r="N21" i="1"/>
  <c r="O21" i="1" s="1"/>
  <c r="U33" i="1"/>
  <c r="U34" i="1" s="1"/>
  <c r="R27" i="1" l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1" i="1"/>
  <c r="H25" i="1" s="1"/>
  <c r="H26" i="1" s="1"/>
  <c r="F15" i="3"/>
  <c r="Q21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<sst xmlns="http://schemas.openxmlformats.org/spreadsheetml/2006/main" count="232" uniqueCount="174">
  <si>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</si>
  <si>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</si>
  <si>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</si>
  <si>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</si>
  <si>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</si>
  <si>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</si>
  <si>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</si>
  <si>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</si>
  <si>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</si>
  <si>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</si>
  <si>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</si>
  <si>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</si>
  <si>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</si>
  <si>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</si>
  <si>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</si>
  <si>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</si>
  <si>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</si>
  <si>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</si>
  <si>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</si>
  <si>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</si>
  <si>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</si>
  <si>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</si>
  <si>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</si>
  <si>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</si>
  <si>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</si>
  <si>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</si>
  <si>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</si>
  <si>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</si>
  <si>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</si>
  <si>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</si>
  <si>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</si>
  <si>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</si>
  <si>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</si>
  <si>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</si>
  <si>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</si>
  <si>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</si>
  <si>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</si>
  <si>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</si>
  <si>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</si>
  <si>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</si>
  <si>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</si>
  <si>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</si>
  <si>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</si>
  <si>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</si>
  <si>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</si>
  <si>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</si>
  <si>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</si>
  <si>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</si>
  <si>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</si>
  <si>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</si>
  <si>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</si>
  <si>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</si>
  <si>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</si>
  <si>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</si>
  <si>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</si>
  <si>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</si>
  <si>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</si>
  <si>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</si>
  <si>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</si>
  <si>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</si>
  <si>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</si>
  <si>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</si>
  <si>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</si>
  <si>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</si>
  <si>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</si>
  <si>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</si>
  <si>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</si>
  <si>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</si>
  <si>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</si>
  <si>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</si>
  <si>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</si>
  <si>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</si>
  <si>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</si>
  <si>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</si>
  <si>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</si>
  <si>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</si>
  <si>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</si>
  <si>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</si>
  <si>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</si>
  <si>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</si>
  <si>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</si>
  <si>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</si>
  <si>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</si>
  <si>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</si>
  <si>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</si>
  <si>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</si>
  <si>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</si>
  <si>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</si>
  <si>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</si>
  <si>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</si>
  <si>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</si>
  <si>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</si>
  <si>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</si>
  <si>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</si>
  <si>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</si>
  <si>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</si>
  <si>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</si>
  <si>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</si>
  <si>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</si>
  <si>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</si>
  <si>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</si>
  <si>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</si>
  <si>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</si>
  <si>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</si>
  <si>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</si>
  <si>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</si>
  <si>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</si>
  <si>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</si>
  <si>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</si>
  <si>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</si>
  <si>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</si>
  <si>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</si>
  <si>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</si>
  <si>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</si>
  <si>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</si>
  <si>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</si>
  <si>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</si>
  <si>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</si>
  <si>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</si>
  <si>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</si>
  <si>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</si>
  <si>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</si>
  <si>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</si>
  <si>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</si>
  <si>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</si>
  <si>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</si>
  <si>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</si>
  <si>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</si>
  <si>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</si>
  <si>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</si>
  <si>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</si>
  <si>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</si>
  <si>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</si>
  <si>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</si>
  <si>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</si>
  <si>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</si>
  <si>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</si>
  <si>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</si>
  <si>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</si>
  <si>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</si>
  <si>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</si>
  <si>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</si>
  <si>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</si>
  <si>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</si>
  <si>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</si>
  <si>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</si>
  <si>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</si>
  <si>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</si>
  <si>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</si>
  <si>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</si>
  <si>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</si>
  <si>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</si>
  <si>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</si>
  <si>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</si>
  <si>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</si>
  <si>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</si>
  <si>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</si>
  <si>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</si>
  <si>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</si>
  <si>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</si>
  <si>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</si>
  <si>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</si>
  <si>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</si>
  <si>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</si>
  <si>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</si>
  <si>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</si>
  <si>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</si>
  <si>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</si>
  <si>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</si>
  <si>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N° 11303</t>
  </si>
  <si>
    <t>GUILLERMO VASQUEZ</t>
  </si>
  <si>
    <t>569 7253 6592</t>
  </si>
  <si>
    <t>CUB C/R FRENTE 90° R8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</si>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</sst>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23</xdr:row>
      <xdr:rowOff>222558</xdr:rowOff>
    </xdr:from>
    <xdr:to>
      <xdr:col>5</xdr:col>
      <xdr:colOff>1659644</xdr:colOff>
      <xdr:row>27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9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170</v>
      </c>
      <c r="D10" s="243"/>
      <c r="E10" s="243"/>
      <c r="F10" s="244" t="s">
        <v>0</v>
      </c>
      <c r="G10" s="277">
        <v>45715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0.08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52755.009380863041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9">
        <v>1</v>
      </c>
      <c r="C21" s="329" t="s">
        <v>172</v>
      </c>
      <c r="D21" s="330">
        <v>3.3</v>
      </c>
      <c r="E21" s="330">
        <v>0.6</v>
      </c>
      <c r="F21" s="329" t="s">
        <v>173</v>
      </c>
      <c r="G21" s="331">
        <v>118903</v>
      </c>
      <c r="H21" s="331">
        <f t="shared" ref="H21:H22" si="1">G21*B21</f>
        <v>118903</v>
      </c>
      <c r="I21" s="265"/>
      <c r="J21" s="47"/>
      <c r="K21" s="324">
        <f t="shared" ref="K21" si="2">B21</f>
        <v>1</v>
      </c>
      <c r="L21" s="325">
        <f t="shared" ref="L21" si="3">D21+L$19</f>
        <v>3.38</v>
      </c>
      <c r="M21" s="325">
        <f t="shared" ref="M21" si="4">E21+M$19</f>
        <v>0.65</v>
      </c>
      <c r="N21" s="261">
        <f t="shared" ref="N21" si="5">L21*M21</f>
        <v>2.1970000000000001</v>
      </c>
      <c r="O21" s="259">
        <f t="shared" ref="O21" si="6">N21*K21</f>
        <v>2.1970000000000001</v>
      </c>
      <c r="P21" s="252">
        <f>P$20*N21</f>
        <v>115902.7556097561</v>
      </c>
      <c r="Q21" s="258">
        <f t="shared" ref="Q21" si="7">P21+Q$20</f>
        <v>118902.7556097561</v>
      </c>
      <c r="R21" s="308">
        <f>L21*K21</f>
        <v>3.38</v>
      </c>
      <c r="S21" s="46">
        <f>M21*K21*2</f>
        <v>1.3</v>
      </c>
      <c r="T21" s="9"/>
      <c r="W21" s="4"/>
    </row>
    <row r="22" spans="2:24" ht="17.399999999999999" x14ac:dyDescent="0.3">
      <c r="B22" s="329">
        <v>1</v>
      </c>
      <c r="C22" s="329" t="s">
        <v>172</v>
      </c>
      <c r="D22" s="330">
        <v>3.1</v>
      </c>
      <c r="E22" s="330">
        <v>0.6</v>
      </c>
      <c r="F22" s="329" t="s">
        <v>173</v>
      </c>
      <c r="G22" s="331">
        <v>112045</v>
      </c>
      <c r="H22" s="331">
        <f t="shared" si="1"/>
        <v>112045</v>
      </c>
      <c r="I22" s="265"/>
      <c r="J22" s="47"/>
      <c r="K22" s="324">
        <f t="shared" ref="K22" si="8">B22</f>
        <v>1</v>
      </c>
      <c r="L22" s="325">
        <f t="shared" ref="L22" si="9">D22+L$19</f>
        <v>3.18</v>
      </c>
      <c r="M22" s="325">
        <f t="shared" ref="M22" si="10">E22+M$19</f>
        <v>0.65</v>
      </c>
      <c r="N22" s="261">
        <f t="shared" ref="N22" si="11">L22*M22</f>
        <v>2.0670000000000002</v>
      </c>
      <c r="O22" s="259">
        <f t="shared" ref="O22" si="12">N22*K22</f>
        <v>2.0670000000000002</v>
      </c>
      <c r="P22" s="252">
        <f>P$20*N22</f>
        <v>109044.60439024391</v>
      </c>
      <c r="Q22" s="258">
        <f t="shared" ref="Q22" si="13">P22+Q$20</f>
        <v>112044.60439024391</v>
      </c>
      <c r="R22" s="308"/>
      <c r="S22" s="46"/>
      <c r="T22" s="9"/>
      <c r="W22" s="4"/>
    </row>
    <row r="23" spans="2:24" ht="17.399999999999999" x14ac:dyDescent="0.3">
      <c r="B23" s="327"/>
      <c r="C23" s="328"/>
      <c r="D23" s="327"/>
      <c r="E23" s="327"/>
      <c r="F23" s="327"/>
      <c r="G23" s="327"/>
      <c r="H23" s="327"/>
      <c r="I23" s="265"/>
      <c r="J23" s="47"/>
      <c r="K23" s="324"/>
      <c r="L23" s="325"/>
      <c r="M23" s="325"/>
      <c r="N23" s="261"/>
      <c r="O23" s="259"/>
      <c r="P23" s="252"/>
      <c r="Q23" s="258"/>
      <c r="R23" s="30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29</v>
      </c>
      <c r="H25" s="310">
        <f>SUM(H21:H24)</f>
        <v>230948</v>
      </c>
      <c r="I25" s="265"/>
      <c r="J25" s="47"/>
      <c r="K25" s="47"/>
      <c r="L25" s="39">
        <f>SUM(L21:L24)</f>
        <v>6.5600000000000005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52</v>
      </c>
      <c r="H26" s="304">
        <f>H25*19%</f>
        <v>43880.12</v>
      </c>
      <c r="I26" s="265"/>
      <c r="J26" s="47"/>
      <c r="K26" s="47"/>
      <c r="L26" s="39"/>
      <c r="M26" s="12"/>
      <c r="N26" s="12"/>
      <c r="O26" s="253">
        <f>SUM(O21:O22)</f>
        <v>4.2640000000000002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274828.12</v>
      </c>
      <c r="I27" s="265"/>
      <c r="J27" s="47"/>
      <c r="K27" s="47"/>
      <c r="L27" s="39"/>
      <c r="M27" s="12"/>
      <c r="N27" s="12"/>
      <c r="O27" s="253">
        <f>O26</f>
        <v>4.2640000000000002</v>
      </c>
      <c r="P27" s="14"/>
      <c r="Q27" s="12"/>
      <c r="R27" s="239">
        <f>SUM(R21:R26)</f>
        <v>3.38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0.85280000000000011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5.1168000000000005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5" t="s">
        <v>22</v>
      </c>
      <c r="U30" s="312" t="s">
        <v>153</v>
      </c>
      <c r="V30" s="316">
        <v>44971</v>
      </c>
      <c r="W30" s="31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5.1168000000000005</v>
      </c>
      <c r="M31" s="12">
        <v>3500</v>
      </c>
      <c r="N31" s="12">
        <f t="shared" ref="N31:N36" si="14">L31*M31</f>
        <v>17908.800000000003</v>
      </c>
      <c r="O31" s="14" t="s">
        <v>22</v>
      </c>
      <c r="P31" s="14"/>
      <c r="Q31" s="14"/>
      <c r="R31" s="241"/>
      <c r="S31" s="14"/>
      <c r="T31" s="315" t="s">
        <v>154</v>
      </c>
      <c r="U31" s="312">
        <v>3625</v>
      </c>
      <c r="V31" s="59" t="s">
        <v>155</v>
      </c>
      <c r="W31" s="31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1.5</v>
      </c>
      <c r="M32" s="12">
        <v>25000</v>
      </c>
      <c r="N32" s="12">
        <f t="shared" si="14"/>
        <v>37500</v>
      </c>
      <c r="O32" s="39" t="s">
        <v>32</v>
      </c>
      <c r="P32" s="42"/>
      <c r="Q32" s="14"/>
      <c r="R32" s="240"/>
      <c r="S32" s="14"/>
      <c r="T32" s="315"/>
      <c r="U32" s="59">
        <v>906.25</v>
      </c>
      <c r="V32" s="59" t="s">
        <v>156</v>
      </c>
      <c r="W32" s="317"/>
    </row>
    <row r="33" spans="2:23" s="230" customFormat="1" ht="17.399999999999999" x14ac:dyDescent="0.35">
      <c r="I33" s="262"/>
      <c r="J33" s="232"/>
      <c r="K33" s="250"/>
      <c r="L33" s="14">
        <v>1</v>
      </c>
      <c r="M33" s="250">
        <v>37000</v>
      </c>
      <c r="N33" s="12">
        <f t="shared" si="14"/>
        <v>37000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/>
      <c r="M34" s="250">
        <v>20000</v>
      </c>
      <c r="N34" s="12">
        <f t="shared" si="14"/>
        <v>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4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3"/>
      <c r="K36" s="250"/>
      <c r="L36" s="266">
        <v>6.56</v>
      </c>
      <c r="M36" s="12">
        <v>1500</v>
      </c>
      <c r="N36" s="12">
        <f t="shared" si="14"/>
        <v>9840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102248.8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224947.36000000002</v>
      </c>
      <c r="O38" s="14" t="s">
        <v>141</v>
      </c>
      <c r="P38" s="14"/>
      <c r="Q38" s="40">
        <f>O29/Q37</f>
        <v>1.3796376186367558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60910</v>
      </c>
      <c r="K39" s="250"/>
      <c r="L39" s="14"/>
      <c r="M39" s="12"/>
      <c r="N39" s="12">
        <f>N38/O27</f>
        <v>52755.009380863041</v>
      </c>
      <c r="O39" s="45" t="s">
        <v>25</v>
      </c>
      <c r="P39" s="14"/>
      <c r="Q39" s="14"/>
      <c r="R39"/>
      <c r="S39" s="238"/>
      <c r="T39" s="59" t="s">
        <v>159</v>
      </c>
      <c r="U39" s="312">
        <v>43650</v>
      </c>
    </row>
    <row r="40" spans="2:23" s="230" customFormat="1" ht="17.399999999999999" x14ac:dyDescent="0.35">
      <c r="G40"/>
      <c r="J40" s="230">
        <f>J39/1.19</f>
        <v>51184.873949579836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1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45715</v>
      </c>
    </row>
    <row r="6" spans="2:31" ht="16.2" thickBot="1" x14ac:dyDescent="0.35">
      <c r="B6" s="140" t="s">
        <v>2</v>
      </c>
      <c r="C6" s="139" t="str">
        <f>'2229'!C10</f>
        <v>GUILLERMO VASQUEZ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11303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-4874.5383667874366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230948</v>
      </c>
      <c r="E11" s="132">
        <f>D11*0.19</f>
        <v>43880.12</v>
      </c>
      <c r="F11" s="131">
        <f>E11+D11</f>
        <v>274828.12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101115.46163321256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122242.89078743962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83115.461633212559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108705.10921256038</v>
      </c>
      <c r="E13" s="221">
        <f>(D11/D12)-1</f>
        <v>0.8892550602519762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74115.461633212559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35115.461633212566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201700.76979927538</v>
      </c>
      <c r="F15" s="216">
        <f>E15-D12</f>
        <v>79457.879011835757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35115.461633212566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75115.461633212559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37000</v>
      </c>
      <c r="E18" s="123">
        <f>D18*0.19</f>
        <v>7030</v>
      </c>
      <c r="F18" s="120">
        <f>SUM(D18:E18)</f>
        <v>44030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17908.800000000003</v>
      </c>
      <c r="E20" s="121">
        <f>D20*0.19</f>
        <v>3402.6720000000005</v>
      </c>
      <c r="F20" s="120">
        <f>SUM(D20:E20)</f>
        <v>21311.472000000002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92408.8</v>
      </c>
      <c r="E21" s="116">
        <f>SUM(E18:E20)</f>
        <v>17557.671999999999</v>
      </c>
      <c r="F21" s="115">
        <f>SUM(F18:F20)</f>
        <v>109966.47200000001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26322.448000000004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230948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92408.8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108705.10921256038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108705.10921256038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2025-02-27T12:19:07Z</dcterms:modified>
</cp:coreProperties>
</file>