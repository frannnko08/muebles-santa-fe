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EAF6D7D3-ABB2-480A-9652-F9690AC12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L22" i="1"/>
  <c r="M22" i="1"/>
  <c r="H22" i="1"/>
  <c r="K21" i="1"/>
  <c r="N22" i="1" l="1"/>
  <c r="O22" i="1" s="1"/>
  <c r="J40" i="1"/>
  <c r="L21" i="1"/>
  <c r="R21" i="1" s="1"/>
  <c r="M21" i="1"/>
  <c r="L25" i="1" l="1"/>
  <c r="S21" i="1"/>
  <c r="N21" i="1"/>
  <c r="O21" i="1" s="1"/>
  <c r="O26" i="1" s="1"/>
  <c r="U33" i="1"/>
  <c r="U34" i="1" s="1"/>
  <c r="R27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H26" i="1" s="1"/>
  <c r="F15" i="3"/>
  <c r="Q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<sst xmlns="http://schemas.openxmlformats.org/spreadsheetml/2006/main" count="233" uniqueCount="176">
  <si>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</si>
  <si>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</si>
  <si>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</si>
  <si>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</si>
  <si>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</si>
  <si>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</si>
  <si>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</si>
  <si>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</si>
  <si>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</si>
  <si>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</si>
  <si>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</si>
  <si>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</si>
  <si>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</si>
  <si>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</si>
  <si>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</si>
  <si>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</si>
  <si>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</si>
  <si>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</si>
  <si>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</si>
  <si>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</si>
  <si>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</si>
  <si>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</si>
  <si>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</si>
  <si>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</si>
  <si>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</si>
  <si>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</si>
  <si>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</si>
  <si>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</si>
  <si>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</si>
  <si>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</si>
  <si>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</si>
  <si>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</si>
  <si>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</si>
  <si>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</si>
  <si>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</si>
  <si>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</si>
  <si>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</si>
  <si>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</si>
  <si>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</si>
  <si>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</si>
  <si>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</si>
  <si>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</si>
  <si>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</si>
  <si>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</si>
  <si>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</si>
  <si>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</si>
  <si>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</si>
  <si>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</si>
  <si>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</si>
  <si>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</si>
  <si>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</si>
  <si>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</si>
  <si>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</si>
  <si>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</si>
  <si>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</si>
  <si>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</si>
  <si>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</si>
  <si>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</si>
  <si>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</si>
  <si>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</si>
  <si>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</si>
  <si>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</si>
  <si>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</si>
  <si>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</si>
  <si>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</si>
  <si>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</si>
  <si>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</si>
  <si>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</si>
  <si>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</si>
  <si>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</si>
  <si>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</si>
  <si>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</si>
  <si>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</si>
  <si>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</si>
  <si>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</si>
  <si>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</si>
  <si>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</si>
  <si>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</si>
  <si>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</si>
  <si>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</si>
  <si>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</si>
  <si>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</si>
  <si>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</si>
  <si>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</si>
  <si>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</si>
  <si>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</si>
  <si>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</si>
  <si>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</si>
  <si>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</si>
  <si>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</si>
  <si>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</si>
  <si>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</si>
  <si>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</si>
  <si>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</si>
  <si>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</si>
  <si>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</si>
  <si>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</si>
  <si>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</si>
  <si>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</si>
  <si>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</si>
  <si>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</si>
  <si>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</si>
  <si>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</si>
  <si>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</si>
  <si>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</si>
  <si>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</si>
  <si>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</si>
  <si>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</si>
  <si>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</si>
  <si>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</si>
  <si>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</si>
  <si>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</si>
  <si>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</si>
  <si>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</si>
  <si>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</si>
  <si>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</si>
  <si>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</si>
  <si>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</si>
  <si>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</si>
  <si>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</si>
  <si>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</si>
  <si>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</si>
  <si>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</si>
  <si>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</si>
  <si>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</si>
  <si>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</si>
  <si>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</si>
  <si>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</si>
  <si>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</si>
  <si>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</si>
  <si>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</si>
  <si>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</si>
  <si>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</si>
  <si>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</si>
  <si>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</si>
  <si>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</si>
  <si>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</si>
  <si>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</si>
  <si>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</si>
  <si>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</si>
  <si>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</si>
  <si>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</si>
  <si>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</si>
  <si>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</si>
  <si>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</si>
  <si>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</si>
  <si>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</si>
  <si>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</si>
  <si>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</si>
  <si>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</si>
  <si>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</si>
  <si>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</si>
  <si>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</si>
  <si>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</si>
  <si>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</si>
  <si>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</si>
  <si>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</si>
  <si>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</si>
  <si>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</si>
  <si>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</si>
  <si>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</si>
  <si>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</si>
  <si>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</si>
  <si>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</si>
  <si>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</si>
  <si>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</si>
  <si>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</si>
  <si>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</si>
  <si>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</si>
  <si>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CUB CON RESPALDO FRENTE 90° R8</t>
  </si>
  <si>
    <t>JOSE TEJOS</t>
  </si>
  <si>
    <t>569 4053 7094</t>
  </si>
  <si>
    <t>ROJO IMPERIO PF8 BRILLO</t>
  </si>
  <si>
    <t>ROJO IMPERIO F6 BRILLO</t>
  </si>
  <si>
    <t>VALORES MAS IVA</t>
  </si>
  <si>
    <t>N° 11294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</si>
</sst>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LARGO, AL MENOS QUE LA PIDA MEDIDA EXACTA.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4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170</v>
      </c>
      <c r="D10" s="243"/>
      <c r="E10" s="243"/>
      <c r="F10" s="244" t="s">
        <v>0</v>
      </c>
      <c r="G10" s="277">
        <v>45706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97020.104712041881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169</v>
      </c>
      <c r="D21" s="330">
        <v>1.83</v>
      </c>
      <c r="E21" s="330">
        <v>0.55000000000000004</v>
      </c>
      <c r="F21" s="329" t="s">
        <v>172</v>
      </c>
      <c r="G21" s="331">
        <v>127580</v>
      </c>
      <c r="H21" s="331">
        <f t="shared" ref="H21:H22" si="1">G21*B21</f>
        <v>127580</v>
      </c>
      <c r="I21" s="265"/>
      <c r="J21" s="47"/>
      <c r="K21" s="324">
        <f t="shared" ref="K21" si="2">B21</f>
        <v>1</v>
      </c>
      <c r="L21" s="325">
        <f t="shared" ref="L21" si="3">D21+L$19</f>
        <v>1.9100000000000001</v>
      </c>
      <c r="M21" s="325">
        <f t="shared" ref="M21" si="4">E21+M$19</f>
        <v>0.55000000000000004</v>
      </c>
      <c r="N21" s="261">
        <f t="shared" ref="N21" si="5">L21*M21</f>
        <v>1.0505000000000002</v>
      </c>
      <c r="O21" s="259">
        <f t="shared" ref="O21" si="6">N21*K21</f>
        <v>1.0505000000000002</v>
      </c>
      <c r="P21" s="252">
        <f>P$20*N21</f>
        <v>101919.62000000001</v>
      </c>
      <c r="Q21" s="258">
        <f t="shared" ref="Q21" si="7">P21+Q$20</f>
        <v>104919.62000000001</v>
      </c>
      <c r="R21" s="308">
        <f>L21*K21</f>
        <v>1.9100000000000001</v>
      </c>
      <c r="S21" s="46">
        <f>M21*K21*2</f>
        <v>1.1000000000000001</v>
      </c>
      <c r="T21" s="9"/>
      <c r="W21" s="4"/>
    </row>
    <row r="22" spans="2:24" ht="17.399999999999999" x14ac:dyDescent="0.3">
      <c r="B22" s="329">
        <v>1</v>
      </c>
      <c r="C22" s="329" t="s">
        <v>169</v>
      </c>
      <c r="D22" s="330">
        <v>1.83</v>
      </c>
      <c r="E22" s="330">
        <v>0.55000000000000004</v>
      </c>
      <c r="F22" s="329" t="s">
        <v>173</v>
      </c>
      <c r="G22" s="331">
        <v>104920</v>
      </c>
      <c r="H22" s="331">
        <f t="shared" si="1"/>
        <v>104920</v>
      </c>
      <c r="I22" s="265"/>
      <c r="J22" s="47"/>
      <c r="K22" s="324"/>
      <c r="L22" s="325">
        <f t="shared" ref="L22" si="8">D22+L$19</f>
        <v>1.9100000000000001</v>
      </c>
      <c r="M22" s="325">
        <f t="shared" ref="M22" si="9">E22+M$19</f>
        <v>0.55000000000000004</v>
      </c>
      <c r="N22" s="261">
        <f t="shared" ref="N22" si="10">L22*M22</f>
        <v>1.0505000000000002</v>
      </c>
      <c r="O22" s="259">
        <f t="shared" ref="O22" si="11">N22*K22</f>
        <v>0</v>
      </c>
      <c r="P22" s="252">
        <f>P$20*N22</f>
        <v>101919.62000000001</v>
      </c>
      <c r="Q22" s="258">
        <f t="shared" ref="Q22" si="12">P22+Q$20</f>
        <v>104919.62000000001</v>
      </c>
      <c r="R22" s="308"/>
      <c r="S22" s="46"/>
      <c r="T22" s="9"/>
      <c r="W22" s="4"/>
    </row>
    <row r="23" spans="2:24" ht="17.399999999999999" x14ac:dyDescent="0.3">
      <c r="B23" s="327"/>
      <c r="C23" s="328"/>
      <c r="D23" s="327"/>
      <c r="E23" s="327"/>
      <c r="F23" s="327"/>
      <c r="G23" s="327" t="s">
        <v>174</v>
      </c>
      <c r="H23" s="327"/>
      <c r="I23" s="265"/>
      <c r="J23" s="47"/>
      <c r="K23" s="324"/>
      <c r="L23" s="325"/>
      <c r="M23" s="325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/>
      <c r="I25" s="265"/>
      <c r="J25" s="47"/>
      <c r="K25" s="47"/>
      <c r="L25" s="39">
        <f>SUM(L21:L24)</f>
        <v>3.8200000000000003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0</v>
      </c>
      <c r="I26" s="265"/>
      <c r="J26" s="47"/>
      <c r="K26" s="47"/>
      <c r="L26" s="39"/>
      <c r="M26" s="12"/>
      <c r="N26" s="12"/>
      <c r="O26" s="253">
        <f>SUM(O21:O22)</f>
        <v>1.0505000000000002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0</v>
      </c>
      <c r="I27" s="265"/>
      <c r="J27" s="47"/>
      <c r="K27" s="47"/>
      <c r="L27" s="39"/>
      <c r="M27" s="12"/>
      <c r="N27" s="12"/>
      <c r="O27" s="253">
        <f>O26</f>
        <v>1.0505000000000002</v>
      </c>
      <c r="P27" s="14"/>
      <c r="Q27" s="12"/>
      <c r="R27" s="239">
        <f>SUM(R21:R26)</f>
        <v>1.9100000000000001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0.21010000000000006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1.2606000000000002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1.2606000000000002</v>
      </c>
      <c r="M31" s="12">
        <v>3500</v>
      </c>
      <c r="N31" s="12">
        <f t="shared" ref="N31:N36" si="13">L31*M31</f>
        <v>4412.1000000000004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0.35</v>
      </c>
      <c r="M32" s="12">
        <v>25000</v>
      </c>
      <c r="N32" s="12">
        <f t="shared" si="13"/>
        <v>8750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/>
      <c r="M33" s="250">
        <v>62100</v>
      </c>
      <c r="N33" s="12">
        <f t="shared" si="13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30300</v>
      </c>
      <c r="N34" s="12">
        <f t="shared" si="13"/>
        <v>30300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3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>
        <v>1.91</v>
      </c>
      <c r="M36" s="12">
        <v>1500</v>
      </c>
      <c r="N36" s="12">
        <f t="shared" si="13"/>
        <v>2865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46327.1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101919.62000000001</v>
      </c>
      <c r="O38" s="14" t="s">
        <v>141</v>
      </c>
      <c r="P38" s="14"/>
      <c r="Q38" s="40">
        <f>O29/Q37</f>
        <v>0.33989430543572047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35990</v>
      </c>
      <c r="K39" s="250"/>
      <c r="L39" s="14"/>
      <c r="M39" s="12"/>
      <c r="N39" s="12">
        <f>N38/O27</f>
        <v>97020.104712041881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30243.697478991598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45706</v>
      </c>
    </row>
    <row r="6" spans="2:31" ht="16.2" thickBot="1" x14ac:dyDescent="0.35">
      <c r="B6" s="140" t="s">
        <v>2</v>
      </c>
      <c r="C6" s="139" t="str">
        <f>'2229'!C10</f>
        <v>JOSE TEJOS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11294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11823.952466545894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117813.95246654589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42996.190787439613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99813.952466545888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-42996.190787439613</v>
      </c>
      <c r="E13" s="221">
        <f>(D11/D12)-1</f>
        <v>-1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90813.952466545888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51813.952466545896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70943.71479927536</v>
      </c>
      <c r="F15" s="216">
        <f>E15-D12</f>
        <v>27947.524011835747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51813.952466545896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91813.952466545888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8750</v>
      </c>
      <c r="E19" s="123">
        <f>D19*0.19</f>
        <v>1662.5</v>
      </c>
      <c r="F19" s="120">
        <f>SUM(D19:E19)</f>
        <v>10412.5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4412.1000000000004</v>
      </c>
      <c r="E20" s="121">
        <f>D20*0.19</f>
        <v>838.29900000000009</v>
      </c>
      <c r="F20" s="120">
        <f>SUM(D20:E20)</f>
        <v>5250.3990000000003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13162.1</v>
      </c>
      <c r="E21" s="116">
        <f>SUM(E18:E20)</f>
        <v>2500.799</v>
      </c>
      <c r="F21" s="115">
        <f>SUM(F18:F20)</f>
        <v>15662.899000000001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-2500.799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13162.1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-42996.190787439613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-42996.190787439613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2025-02-18T21:11:36Z</dcterms:modified>
</cp:coreProperties>
</file>