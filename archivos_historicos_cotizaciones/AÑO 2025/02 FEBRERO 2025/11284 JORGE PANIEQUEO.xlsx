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4922B4E7-76DA-4759-8ED0-7D8D40F40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/>
  <c r="R22" i="1"/>
  <c r="K23" i="1"/>
  <c r="L23" i="1"/>
  <c r="M23" i="1"/>
  <c r="N23" i="1"/>
  <c r="R23" i="1"/>
  <c r="H22" i="1"/>
  <c r="H23" i="1"/>
  <c r="K21" i="1"/>
  <c r="O23" i="1" l="1"/>
  <c r="O22" i="1"/>
  <c r="J41" i="1"/>
  <c r="L21" i="1"/>
  <c r="R21" i="1" s="1"/>
  <c r="M21" i="1"/>
  <c r="L26" i="1" l="1"/>
  <c r="S21" i="1"/>
  <c r="N21" i="1"/>
  <c r="O21" i="1" s="1"/>
  <c r="O27" i="1" s="1"/>
  <c r="O28" i="1" s="1"/>
  <c r="U34" i="1"/>
  <c r="U35" i="1" s="1"/>
  <c r="R28" i="1" l="1"/>
  <c r="N33" i="1"/>
  <c r="O29" i="1" l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H21" i="1" s="1"/>
  <c r="H26" i="1" s="1"/>
  <c r="H27" i="1" s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<sst xmlns="http://schemas.openxmlformats.org/spreadsheetml/2006/main" count="234" uniqueCount="174">
  <si>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</si>
  <si>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</si>
  <si>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</si>
  <si>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</si>
  <si>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</si>
  <si>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</si>
  <si>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</si>
  <si>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</si>
  <si>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</si>
  <si>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</si>
  <si>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</si>
  <si>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</si>
  <si>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</si>
  <si>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</si>
  <si>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</si>
  <si>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</si>
  <si>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</si>
  <si>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</si>
  <si>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</si>
  <si>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</si>
  <si>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</si>
  <si>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</si>
  <si>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</si>
  <si>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</si>
  <si>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</si>
  <si>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</si>
  <si>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</si>
  <si>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</si>
  <si>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</si>
  <si>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</si>
  <si>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</si>
  <si>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</si>
  <si>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</si>
  <si>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</si>
  <si>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</si>
  <si>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</si>
  <si>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</si>
  <si>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</si>
  <si>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</si>
  <si>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</si>
  <si>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</si>
  <si>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</si>
  <si>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</si>
  <si>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</si>
  <si>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</si>
  <si>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</si>
  <si>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</si>
  <si>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</si>
  <si>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</si>
  <si>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</si>
  <si>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</si>
  <si>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</si>
  <si>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</si>
  <si>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</si>
  <si>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</si>
  <si>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</si>
  <si>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</si>
  <si>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</si>
  <si>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</si>
  <si>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</si>
  <si>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</si>
  <si>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</si>
  <si>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</si>
  <si>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</si>
  <si>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</si>
  <si>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</si>
  <si>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</si>
  <si>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</si>
  <si>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</si>
  <si>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</si>
  <si>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</si>
  <si>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</si>
  <si>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</si>
  <si>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</si>
  <si>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</si>
  <si>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</si>
  <si>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</si>
  <si>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</si>
  <si>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</si>
  <si>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</si>
  <si>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</si>
  <si>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</si>
  <si>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</si>
  <si>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</si>
  <si>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</si>
  <si>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</si>
  <si>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</si>
  <si>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</si>
  <si>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</si>
  <si>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</si>
  <si>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</si>
  <si>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</si>
  <si>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</si>
  <si>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</si>
  <si>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</si>
  <si>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</si>
  <si>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</si>
  <si>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</si>
  <si>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</si>
  <si>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</si>
  <si>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</si>
  <si>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</si>
  <si>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</si>
  <si>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</si>
  <si>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</si>
  <si>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</si>
  <si>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</si>
  <si>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</si>
  <si>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</si>
  <si>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</si>
  <si>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</si>
  <si>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</si>
  <si>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</si>
  <si>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</si>
  <si>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</si>
  <si>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</si>
  <si>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</si>
  <si>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</si>
  <si>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</si>
  <si>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</si>
  <si>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</si>
  <si>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</si>
  <si>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</si>
  <si>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</si>
  <si>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</si>
  <si>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</si>
  <si>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</si>
  <si>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</si>
  <si>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</si>
  <si>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</si>
  <si>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</si>
  <si>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</si>
  <si>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</si>
  <si>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</si>
  <si>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</si>
  <si>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</si>
  <si>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</si>
  <si>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</si>
  <si>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</si>
  <si>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</si>
  <si>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</si>
  <si>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</si>
  <si>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</si>
  <si>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</si>
  <si>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</si>
  <si>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</si>
  <si>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</si>
  <si>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</si>
  <si>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</si>
  <si>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</si>
  <si>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</si>
  <si>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</si>
  <si>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</si>
  <si>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</si>
  <si>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</si>
  <si>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</si>
  <si>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</si>
  <si>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</si>
  <si>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</si>
  <si>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</si>
  <si>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</si>
  <si>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</si>
  <si>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</si>
  <si>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</si>
  <si>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</si>
  <si>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</si>
  <si>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</si>
  <si>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</si>
  <si>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CUB CON RESPALDO FRENTE 90°</t>
  </si>
  <si>
    <t>LAMINAS PF6 1 COLOR</t>
  </si>
  <si>
    <t>7 DIAS HABILES</t>
  </si>
  <si>
    <t>JORGE PANIEQUEO</t>
  </si>
  <si>
    <t>569 5401 6253</t>
  </si>
  <si>
    <t>N° 11284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</si>
</sst>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24</xdr:row>
      <xdr:rowOff>222558</xdr:rowOff>
    </xdr:from>
    <xdr:to>
      <xdr:col>5</xdr:col>
      <xdr:colOff>1659644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8" zoomScale="93" zoomScaleNormal="93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45698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48504.444444444438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2</v>
      </c>
      <c r="C21" s="332" t="s">
        <v>168</v>
      </c>
      <c r="D21" s="333">
        <v>0.8</v>
      </c>
      <c r="E21" s="333">
        <v>0.5</v>
      </c>
      <c r="F21" s="332" t="s">
        <v>169</v>
      </c>
      <c r="G21" s="322">
        <v>21342</v>
      </c>
      <c r="H21" s="323">
        <f t="shared" ref="H21" si="1">G21*B21</f>
        <v>42684</v>
      </c>
      <c r="I21" s="265"/>
      <c r="J21" s="47"/>
      <c r="K21" s="326">
        <f t="shared" ref="K21" si="2">B21</f>
        <v>2</v>
      </c>
      <c r="L21" s="327">
        <f t="shared" ref="L21" si="3">D21+L$19</f>
        <v>0.88</v>
      </c>
      <c r="M21" s="327">
        <f t="shared" ref="M21" si="4">E21+M$19</f>
        <v>0.5</v>
      </c>
      <c r="N21" s="261">
        <f t="shared" ref="N21" si="5">L21*M21</f>
        <v>0.44</v>
      </c>
      <c r="O21" s="259">
        <f t="shared" ref="O21" si="6">N21*K21</f>
        <v>0.88</v>
      </c>
      <c r="P21" s="252">
        <f>P$20*N21</f>
        <v>21341.955555555553</v>
      </c>
      <c r="Q21" s="258">
        <f t="shared" ref="Q21" si="7">P21+Q$20</f>
        <v>24341.955555555553</v>
      </c>
      <c r="R21" s="308">
        <f>L21*K21</f>
        <v>1.76</v>
      </c>
      <c r="S21" s="46">
        <f>M21*K21*2</f>
        <v>2</v>
      </c>
      <c r="T21" s="9"/>
      <c r="W21" s="4"/>
    </row>
    <row r="22" spans="2:24" ht="18" thickBot="1" x14ac:dyDescent="0.35">
      <c r="B22" s="331">
        <v>2</v>
      </c>
      <c r="C22" s="332" t="s">
        <v>168</v>
      </c>
      <c r="D22" s="333">
        <v>1</v>
      </c>
      <c r="E22" s="333">
        <v>0.5</v>
      </c>
      <c r="F22" s="332" t="s">
        <v>169</v>
      </c>
      <c r="G22" s="322">
        <v>26192</v>
      </c>
      <c r="H22" s="323">
        <f t="shared" ref="H22:H23" si="8">G22*B22</f>
        <v>52384</v>
      </c>
      <c r="I22" s="265"/>
      <c r="J22" s="47"/>
      <c r="K22" s="326">
        <f t="shared" ref="K22:K23" si="9">B22</f>
        <v>2</v>
      </c>
      <c r="L22" s="327">
        <f t="shared" ref="L22:L23" si="10">D22+L$19</f>
        <v>1.08</v>
      </c>
      <c r="M22" s="327">
        <f t="shared" ref="M22:M23" si="11">E22+M$19</f>
        <v>0.5</v>
      </c>
      <c r="N22" s="261">
        <f t="shared" ref="N22:N23" si="12">L22*M22</f>
        <v>0.54</v>
      </c>
      <c r="O22" s="259">
        <f t="shared" ref="O22:O23" si="13">N22*K22</f>
        <v>1.08</v>
      </c>
      <c r="P22" s="252">
        <f t="shared" ref="P22:P23" si="14">P$20*N22</f>
        <v>26192.399999999998</v>
      </c>
      <c r="Q22" s="258">
        <f t="shared" ref="Q22:Q23" si="15">P22+Q$20</f>
        <v>29192.399999999998</v>
      </c>
      <c r="R22" s="308">
        <f t="shared" ref="R22:R23" si="16">L22*K22</f>
        <v>2.16</v>
      </c>
      <c r="S22" s="46"/>
      <c r="T22" s="9"/>
      <c r="W22" s="4"/>
    </row>
    <row r="23" spans="2:24" ht="17.399999999999999" x14ac:dyDescent="0.3">
      <c r="B23" s="331">
        <v>2</v>
      </c>
      <c r="C23" s="332" t="s">
        <v>168</v>
      </c>
      <c r="D23" s="333">
        <v>1.2</v>
      </c>
      <c r="E23" s="333">
        <v>0.5</v>
      </c>
      <c r="F23" s="332" t="s">
        <v>169</v>
      </c>
      <c r="G23" s="322">
        <v>31043</v>
      </c>
      <c r="H23" s="323">
        <f t="shared" si="8"/>
        <v>62086</v>
      </c>
      <c r="I23" s="265"/>
      <c r="J23" s="47"/>
      <c r="K23" s="326">
        <f t="shared" si="9"/>
        <v>2</v>
      </c>
      <c r="L23" s="327">
        <f t="shared" si="10"/>
        <v>1.28</v>
      </c>
      <c r="M23" s="327">
        <f t="shared" si="11"/>
        <v>0.5</v>
      </c>
      <c r="N23" s="261">
        <f t="shared" si="12"/>
        <v>0.64</v>
      </c>
      <c r="O23" s="259">
        <f t="shared" si="13"/>
        <v>1.28</v>
      </c>
      <c r="P23" s="252">
        <f t="shared" si="14"/>
        <v>31042.844444444439</v>
      </c>
      <c r="Q23" s="258">
        <f t="shared" si="15"/>
        <v>34042.844444444439</v>
      </c>
      <c r="R23" s="308">
        <f t="shared" si="16"/>
        <v>2.56</v>
      </c>
      <c r="S23" s="46"/>
      <c r="T23" s="9"/>
      <c r="W23" s="4"/>
    </row>
    <row r="24" spans="2:24" ht="17.399999999999999" x14ac:dyDescent="0.3">
      <c r="B24" s="329"/>
      <c r="C24" s="330"/>
      <c r="D24" s="329"/>
      <c r="E24" s="329"/>
      <c r="F24" s="329"/>
      <c r="G24" s="329"/>
      <c r="H24" s="329"/>
      <c r="I24" s="265"/>
      <c r="J24" s="47"/>
      <c r="K24" s="326"/>
      <c r="L24" s="327"/>
      <c r="M24" s="327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SUM(H21:H25)</f>
        <v>157154</v>
      </c>
      <c r="I26" s="265"/>
      <c r="J26" s="47"/>
      <c r="K26" s="47"/>
      <c r="L26" s="39">
        <f>SUM(L21:L25)</f>
        <v>3.24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29859.260000000002</v>
      </c>
      <c r="I27" s="265"/>
      <c r="J27" s="47"/>
      <c r="K27" s="47"/>
      <c r="L27" s="39"/>
      <c r="M27" s="12"/>
      <c r="N27" s="12"/>
      <c r="O27" s="253">
        <f>SUM(O21:O26)</f>
        <v>3.24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187013.26</v>
      </c>
      <c r="I28" s="265"/>
      <c r="J28" s="47"/>
      <c r="K28" s="47"/>
      <c r="L28" s="39"/>
      <c r="M28" s="12"/>
      <c r="N28" s="12"/>
      <c r="O28" s="253">
        <f>O27</f>
        <v>3.24</v>
      </c>
      <c r="P28" s="14"/>
      <c r="Q28" s="12"/>
      <c r="R28" s="239">
        <f>SUM(R21:R27)</f>
        <v>6.48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0.64800000000000013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3.8880000000000003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153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3.8880000000000003</v>
      </c>
      <c r="M32" s="12">
        <v>3500</v>
      </c>
      <c r="N32" s="12">
        <f t="shared" ref="N32:N37" si="17">L32*M32</f>
        <v>13608.000000000002</v>
      </c>
      <c r="O32" s="14" t="s">
        <v>22</v>
      </c>
      <c r="P32" s="14"/>
      <c r="Q32" s="14"/>
      <c r="R32" s="241"/>
      <c r="S32" s="14"/>
      <c r="T32" s="315" t="s">
        <v>154</v>
      </c>
      <c r="U32" s="312">
        <v>3625</v>
      </c>
      <c r="V32" s="59" t="s">
        <v>155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7"/>
        <v>25000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156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34000</v>
      </c>
      <c r="N34" s="12">
        <f t="shared" si="17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20000</v>
      </c>
      <c r="N35" s="12">
        <f t="shared" si="17"/>
        <v>20000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7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>
        <v>6.48</v>
      </c>
      <c r="M37" s="12">
        <v>1500</v>
      </c>
      <c r="N37" s="12">
        <f t="shared" si="17"/>
        <v>9720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68328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N38*2.3</f>
        <v>157154.4</v>
      </c>
      <c r="O39" s="14" t="s">
        <v>141</v>
      </c>
      <c r="P39" s="14"/>
      <c r="Q39" s="40">
        <f>O30/Q38</f>
        <v>1.0483175150992234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42800</v>
      </c>
      <c r="K40" s="250"/>
      <c r="L40" s="14"/>
      <c r="M40" s="12"/>
      <c r="N40" s="12">
        <f>N39/O28</f>
        <v>48504.444444444438</v>
      </c>
      <c r="O40" s="45" t="s">
        <v>25</v>
      </c>
      <c r="P40" s="14"/>
      <c r="Q40" s="14"/>
      <c r="R40"/>
      <c r="S40" s="238"/>
      <c r="T40" s="59" t="s">
        <v>159</v>
      </c>
      <c r="U40" s="312">
        <v>43650</v>
      </c>
    </row>
    <row r="41" spans="2:23" s="230" customFormat="1" ht="17.399999999999999" x14ac:dyDescent="0.35">
      <c r="G41"/>
      <c r="J41" s="230">
        <f>J40/1.19</f>
        <v>35966.386554621851</v>
      </c>
      <c r="K41" s="250"/>
      <c r="L41" s="13"/>
      <c r="M41" s="14"/>
      <c r="N41" s="17">
        <f>N39/N38</f>
        <v>2.2999999999999998</v>
      </c>
      <c r="O41" s="15"/>
      <c r="P41"/>
      <c r="Q41"/>
      <c r="R41"/>
      <c r="S41" s="238"/>
      <c r="T41" s="59" t="s">
        <v>161</v>
      </c>
      <c r="U41" s="31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45698</v>
      </c>
    </row>
    <row r="6" spans="2:31" ht="16.2" thickBot="1" x14ac:dyDescent="0.35">
      <c r="B6" s="140" t="s">
        <v>2</v>
      </c>
      <c r="C6" s="139" t="str">
        <f>'2229'!C10</f>
        <v>JORGE PANIEQUEO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-7370.7583667874424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157154</v>
      </c>
      <c r="E11" s="132">
        <f>D11*0.19</f>
        <v>29859.260000000002</v>
      </c>
      <c r="F11" s="131">
        <f>E11+D11</f>
        <v>187013.26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98619.241633212558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68442.090787439607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80619.241633212558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88711.909212560393</v>
      </c>
      <c r="E13" s="221">
        <f>(D11/D12)-1</f>
        <v>1.2961601288317257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71619.241633212558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32619.241633212558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112929.44979927535</v>
      </c>
      <c r="F15" s="216">
        <f>E15-D12</f>
        <v>44487.359011835739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32619.241633212558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72619.241633212558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13608.000000000002</v>
      </c>
      <c r="E20" s="121">
        <f>D20*0.19</f>
        <v>2585.5200000000004</v>
      </c>
      <c r="F20" s="120">
        <f>SUM(D20:E20)</f>
        <v>16193.520000000002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38608</v>
      </c>
      <c r="E21" s="116">
        <f>SUM(E18:E20)</f>
        <v>7335.52</v>
      </c>
      <c r="F21" s="115">
        <f>SUM(F18:F20)</f>
        <v>45943.520000000004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22523.74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157154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38608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88711.909212560393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88711.909212560393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2025-02-10T21:56:14Z</dcterms:modified>
</cp:coreProperties>
</file>