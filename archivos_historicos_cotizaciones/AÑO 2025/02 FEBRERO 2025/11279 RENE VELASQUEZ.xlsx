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1602E1F3-D852-4682-AB9F-EC8394C6D0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K23" i="1"/>
  <c r="L23" i="1"/>
  <c r="M23" i="1"/>
  <c r="N23" i="1" s="1"/>
  <c r="O23" i="1" s="1"/>
  <c r="R23" i="1"/>
  <c r="K21" i="1"/>
  <c r="H22" i="1"/>
  <c r="K22" i="1"/>
  <c r="L22" i="1"/>
  <c r="M22" i="1"/>
  <c r="N22" i="1" l="1"/>
  <c r="O22" i="1"/>
  <c r="O27" i="1" s="1"/>
  <c r="R22" i="1"/>
  <c r="S22" i="1"/>
  <c r="H21" i="1" l="1"/>
  <c r="H26" i="1" s="1"/>
  <c r="J41" i="1"/>
  <c r="L21" i="1"/>
  <c r="M21" i="1"/>
  <c r="L26" i="1" l="1"/>
  <c r="S21" i="1"/>
  <c r="R21" i="1"/>
  <c r="N21" i="1"/>
  <c r="O21" i="1" s="1"/>
  <c r="U34" i="1"/>
  <c r="U35" i="1" s="1"/>
  <c r="R28" i="1" l="1"/>
  <c r="N33" i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P23" i="1" s="1"/>
  <c r="Q23" i="1" s="1"/>
  <c r="E15" i="3"/>
  <c r="P22" i="1" l="1"/>
  <c r="Q22" i="1" s="1"/>
  <c r="P21" i="1"/>
  <c r="F15" i="3"/>
  <c r="Q21" i="1" l="1"/>
  <c r="D11" i="3" l="1"/>
  <c r="X9" i="3" s="1"/>
  <c r="X15" i="3" s="1"/>
  <c r="H28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<sst xmlns="http://schemas.openxmlformats.org/spreadsheetml/2006/main" count="233" uniqueCount="173">
  <si>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</si>
  <si>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</si>
  <si>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</si>
  <si>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</si>
  <si>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</si>
  <si>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</si>
  <si>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</si>
  <si>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</si>
  <si>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</si>
  <si>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</si>
  <si>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</si>
  <si>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</si>
  <si>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</si>
  <si>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</si>
  <si>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</si>
  <si>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</si>
  <si>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</si>
  <si>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</si>
  <si>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</si>
  <si>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</si>
  <si>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</si>
  <si>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</si>
  <si>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</si>
  <si>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</si>
  <si>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</si>
  <si>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</si>
  <si>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</si>
  <si>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</si>
  <si>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</si>
  <si>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</si>
  <si>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</si>
  <si>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</si>
  <si>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</si>
  <si>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</si>
  <si>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</si>
  <si>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</si>
  <si>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</si>
  <si>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</si>
  <si>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</si>
  <si>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</si>
  <si>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</si>
  <si>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</si>
  <si>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</si>
  <si>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</si>
  <si>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</si>
  <si>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</si>
  <si>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</si>
  <si>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</si>
  <si>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</si>
  <si>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</si>
  <si>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</si>
  <si>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</si>
  <si>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</si>
  <si>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</si>
  <si>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</si>
  <si>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</si>
  <si>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</si>
  <si>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</si>
  <si>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</si>
  <si>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</si>
  <si>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</si>
  <si>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</si>
  <si>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</si>
  <si>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</si>
  <si>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</si>
  <si>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</si>
  <si>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</si>
  <si>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</si>
  <si>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</si>
  <si>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</si>
  <si>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</si>
  <si>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</si>
  <si>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</si>
  <si>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</si>
  <si>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</si>
  <si>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</si>
  <si>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</si>
  <si>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</si>
  <si>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</si>
  <si>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</si>
  <si>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</si>
  <si>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</si>
  <si>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</si>
  <si>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</si>
  <si>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</si>
  <si>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</si>
  <si>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</si>
  <si>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</si>
  <si>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</si>
  <si>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</si>
  <si>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</si>
  <si>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</si>
  <si>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</si>
  <si>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</si>
  <si>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</si>
  <si>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</si>
  <si>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</si>
  <si>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</si>
  <si>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</si>
  <si>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</si>
  <si>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</si>
  <si>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</si>
  <si>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</si>
  <si>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</si>
  <si>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</si>
  <si>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</si>
  <si>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</si>
  <si>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</si>
  <si>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</si>
  <si>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</si>
  <si>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</si>
  <si>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</si>
  <si>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</si>
  <si>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</si>
  <si>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</si>
  <si>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</si>
  <si>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</si>
  <si>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</si>
  <si>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</si>
  <si>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</si>
  <si>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</si>
  <si>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</si>
  <si>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</si>
  <si>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</si>
  <si>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</si>
  <si>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</si>
  <si>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</si>
  <si>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</si>
  <si>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</si>
  <si>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</si>
  <si>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</si>
  <si>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</si>
  <si>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</si>
  <si>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</si>
  <si>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</si>
  <si>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</si>
  <si>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</si>
  <si>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</si>
  <si>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</si>
  <si>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</si>
  <si>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</si>
  <si>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</si>
  <si>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</si>
  <si>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</si>
  <si>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</si>
  <si>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</si>
  <si>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</si>
  <si>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</si>
  <si>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</si>
  <si>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</si>
  <si>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</si>
  <si>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</si>
  <si>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</si>
  <si>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</si>
  <si>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</si>
  <si>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</si>
  <si>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</si>
  <si>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</si>
  <si>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</si>
  <si>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</si>
  <si>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</si>
  <si>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</si>
  <si>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</si>
  <si>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</si>
  <si>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</si>
  <si>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</si>
  <si>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ESKELETOR</t>
  </si>
  <si>
    <t>SANTIAGO</t>
  </si>
  <si>
    <t>RENE VELASQUEZ</t>
  </si>
  <si>
    <t>N° 11279</t>
  </si>
  <si>
    <t>569 6644 8045</t>
  </si>
  <si>
    <t>WHITE LILY MOSAIC</t>
  </si>
  <si>
    <t xml:space="preserve">CUB RECTA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</si>
</sst>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167" fontId="11" fillId="0" borderId="6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24</xdr:row>
      <xdr:rowOff>222558</xdr:rowOff>
    </xdr:from>
    <xdr:to>
      <xdr:col>5</xdr:col>
      <xdr:colOff>1659644</xdr:colOff>
      <xdr:row>28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4" zoomScale="93" zoomScaleNormal="93" workbookViewId="0">
      <selection activeCell="A27" sqref="A27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9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168</v>
      </c>
      <c r="D10" s="243"/>
      <c r="E10" s="243"/>
      <c r="F10" s="244" t="s">
        <v>0</v>
      </c>
      <c r="G10" s="277">
        <v>45693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>
        <v>45698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170</v>
      </c>
      <c r="D15" s="295"/>
      <c r="E15" s="247"/>
      <c r="F15" s="247" t="s">
        <v>135</v>
      </c>
      <c r="G15" s="296" t="s">
        <v>136</v>
      </c>
      <c r="H15" s="248"/>
      <c r="K15" s="18" t="s">
        <v>166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3" t="s">
        <v>165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104630.91837798395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31">
        <v>1</v>
      </c>
      <c r="C21" s="331" t="s">
        <v>172</v>
      </c>
      <c r="D21" s="332">
        <v>1.73</v>
      </c>
      <c r="E21" s="332">
        <v>0.9</v>
      </c>
      <c r="F21" s="331" t="s">
        <v>171</v>
      </c>
      <c r="G21" s="322">
        <v>167619</v>
      </c>
      <c r="H21" s="323">
        <f t="shared" ref="H21:H23" si="1">G21*B21</f>
        <v>167619</v>
      </c>
      <c r="I21" s="265"/>
      <c r="J21" s="47"/>
      <c r="K21" s="327">
        <f t="shared" ref="K21:K22" si="2">B21</f>
        <v>1</v>
      </c>
      <c r="L21" s="328">
        <f t="shared" ref="L21" si="3">D21+L$19</f>
        <v>1.78</v>
      </c>
      <c r="M21" s="328">
        <f t="shared" ref="M21" si="4">E21+M$19</f>
        <v>0.9</v>
      </c>
      <c r="N21" s="261">
        <f t="shared" ref="N21" si="5">L21*M21</f>
        <v>1.6020000000000001</v>
      </c>
      <c r="O21" s="259">
        <f t="shared" ref="O21" si="6">N21*K21</f>
        <v>1.6020000000000001</v>
      </c>
      <c r="P21" s="252">
        <f>P$20*N21</f>
        <v>167618.7312415303</v>
      </c>
      <c r="Q21" s="258">
        <f t="shared" ref="Q21" si="7">P21+Q$20</f>
        <v>170618.7312415303</v>
      </c>
      <c r="R21" s="308">
        <f>L21*K21*2</f>
        <v>3.56</v>
      </c>
      <c r="S21" s="46">
        <f>M21*K21*2</f>
        <v>1.8</v>
      </c>
      <c r="T21" s="9"/>
      <c r="W21" s="4"/>
    </row>
    <row r="22" spans="2:24" ht="18" thickBot="1" x14ac:dyDescent="0.35">
      <c r="B22" s="331">
        <v>1</v>
      </c>
      <c r="C22" s="331" t="s">
        <v>172</v>
      </c>
      <c r="D22" s="332">
        <v>2.33</v>
      </c>
      <c r="E22" s="332">
        <v>0.63500000000000001</v>
      </c>
      <c r="F22" s="331" t="s">
        <v>171</v>
      </c>
      <c r="G22" s="330">
        <v>158129</v>
      </c>
      <c r="H22" s="323">
        <f t="shared" si="1"/>
        <v>158129</v>
      </c>
      <c r="I22" s="265"/>
      <c r="J22" s="47"/>
      <c r="K22" s="327">
        <f t="shared" si="2"/>
        <v>1</v>
      </c>
      <c r="L22" s="328">
        <f t="shared" ref="L22" si="8">D22+L$19</f>
        <v>2.38</v>
      </c>
      <c r="M22" s="328">
        <f t="shared" ref="M22" si="9">E22+M$19</f>
        <v>0.63500000000000001</v>
      </c>
      <c r="N22" s="261">
        <f t="shared" ref="N22" si="10">L22*M22</f>
        <v>1.5112999999999999</v>
      </c>
      <c r="O22" s="259">
        <f t="shared" ref="O22" si="11">N22*K22</f>
        <v>1.5112999999999999</v>
      </c>
      <c r="P22" s="252">
        <f t="shared" ref="P22" si="12">P$20*N22</f>
        <v>158128.70694464713</v>
      </c>
      <c r="Q22" s="258">
        <f t="shared" ref="Q22" si="13">P22+Q$20</f>
        <v>161128.70694464713</v>
      </c>
      <c r="R22" s="308">
        <f t="shared" ref="R22" si="14">L22*K22*2</f>
        <v>4.76</v>
      </c>
      <c r="S22" s="46">
        <f t="shared" ref="S22" si="15">M22*K22*2</f>
        <v>1.27</v>
      </c>
      <c r="T22" s="9"/>
      <c r="W22" s="4"/>
    </row>
    <row r="23" spans="2:24" ht="17.399999999999999" x14ac:dyDescent="0.3">
      <c r="B23" s="331">
        <v>1</v>
      </c>
      <c r="C23" s="331" t="s">
        <v>172</v>
      </c>
      <c r="D23" s="332">
        <v>1.0900000000000001</v>
      </c>
      <c r="E23" s="332">
        <v>0.63500000000000001</v>
      </c>
      <c r="F23" s="331" t="s">
        <v>171</v>
      </c>
      <c r="G23" s="345">
        <v>75742</v>
      </c>
      <c r="H23" s="323">
        <f t="shared" si="1"/>
        <v>75742</v>
      </c>
      <c r="I23" s="265"/>
      <c r="J23" s="47"/>
      <c r="K23" s="327">
        <f t="shared" ref="K23" si="16">B23</f>
        <v>1</v>
      </c>
      <c r="L23" s="328">
        <f t="shared" ref="L23" si="17">D23+L$19</f>
        <v>1.1400000000000001</v>
      </c>
      <c r="M23" s="328">
        <f t="shared" ref="M23" si="18">E23+M$19</f>
        <v>0.63500000000000001</v>
      </c>
      <c r="N23" s="261">
        <f t="shared" ref="N23" si="19">L23*M23</f>
        <v>0.7239000000000001</v>
      </c>
      <c r="O23" s="259">
        <f t="shared" ref="O23" si="20">N23*K23</f>
        <v>0.7239000000000001</v>
      </c>
      <c r="P23" s="252">
        <f t="shared" ref="P23" si="21">P$20*N23</f>
        <v>75742.321813822593</v>
      </c>
      <c r="Q23" s="258">
        <f t="shared" ref="Q23" si="22">P23+Q$20</f>
        <v>78742.321813822593</v>
      </c>
      <c r="R23" s="308">
        <f t="shared" ref="R23" si="23">L23*K23*2</f>
        <v>2.2800000000000002</v>
      </c>
      <c r="S23" s="46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26"/>
      <c r="H24" s="326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29</v>
      </c>
      <c r="H26" s="310">
        <f>SUM(H21:H25)</f>
        <v>401490</v>
      </c>
      <c r="I26" s="265"/>
      <c r="J26" s="47"/>
      <c r="K26" s="47"/>
      <c r="L26" s="39">
        <f>SUM(L21:L25)</f>
        <v>5.3000000000000007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52</v>
      </c>
      <c r="H27" s="304"/>
      <c r="I27" s="265"/>
      <c r="J27" s="47"/>
      <c r="K27" s="47"/>
      <c r="L27" s="39"/>
      <c r="M27" s="12"/>
      <c r="N27" s="12"/>
      <c r="O27" s="253">
        <f>SUM(O21:O23)</f>
        <v>3.8371999999999997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401490</v>
      </c>
      <c r="I28" s="265"/>
      <c r="J28" s="47"/>
      <c r="K28" s="47"/>
      <c r="L28" s="39"/>
      <c r="M28" s="12"/>
      <c r="N28" s="12"/>
      <c r="O28" s="253">
        <f>O27</f>
        <v>3.8371999999999997</v>
      </c>
      <c r="P28" s="14"/>
      <c r="Q28" s="12"/>
      <c r="R28" s="239">
        <f>SUM(R21:R27)</f>
        <v>10.600000000000001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0.76744000000000001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4.6046399999999998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15" t="s">
        <v>22</v>
      </c>
      <c r="U31" s="312" t="s">
        <v>153</v>
      </c>
      <c r="V31" s="316">
        <v>44971</v>
      </c>
      <c r="W31" s="31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4.6046399999999998</v>
      </c>
      <c r="M32" s="12">
        <v>2500</v>
      </c>
      <c r="N32" s="12">
        <f t="shared" ref="N32:N37" si="24">L32*M32</f>
        <v>11511.6</v>
      </c>
      <c r="O32" s="14" t="s">
        <v>22</v>
      </c>
      <c r="P32" s="14"/>
      <c r="Q32" s="14"/>
      <c r="R32" s="241"/>
      <c r="S32" s="14"/>
      <c r="T32" s="315" t="s">
        <v>154</v>
      </c>
      <c r="U32" s="312">
        <v>3625</v>
      </c>
      <c r="V32" s="59" t="s">
        <v>155</v>
      </c>
      <c r="W32" s="31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1.3</v>
      </c>
      <c r="M33" s="12">
        <v>25000</v>
      </c>
      <c r="N33" s="12">
        <f t="shared" si="24"/>
        <v>32500</v>
      </c>
      <c r="O33" s="39" t="s">
        <v>32</v>
      </c>
      <c r="P33" s="42"/>
      <c r="Q33" s="14"/>
      <c r="R33" s="240"/>
      <c r="S33" s="14"/>
      <c r="T33" s="315"/>
      <c r="U33" s="59">
        <v>906.25</v>
      </c>
      <c r="V33" s="59" t="s">
        <v>156</v>
      </c>
      <c r="W33" s="317"/>
    </row>
    <row r="34" spans="2:23" s="230" customFormat="1" ht="17.399999999999999" x14ac:dyDescent="0.35">
      <c r="I34" s="262"/>
      <c r="J34" s="232"/>
      <c r="K34" s="250"/>
      <c r="L34" s="14"/>
      <c r="M34" s="250">
        <v>34000</v>
      </c>
      <c r="N34" s="12">
        <f t="shared" si="24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17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2</v>
      </c>
      <c r="M35" s="250">
        <v>73587</v>
      </c>
      <c r="N35" s="12">
        <f t="shared" si="24"/>
        <v>147174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17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24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303"/>
      <c r="K37" s="250"/>
      <c r="L37" s="266"/>
      <c r="M37" s="12">
        <v>1500</v>
      </c>
      <c r="N37" s="12">
        <f t="shared" si="24"/>
        <v>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191185.6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N38*2.1</f>
        <v>401489.76</v>
      </c>
      <c r="O39" s="14" t="s">
        <v>141</v>
      </c>
      <c r="P39" s="14"/>
      <c r="Q39" s="40">
        <f>O30/Q38</f>
        <v>1.2415444348576359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49340</v>
      </c>
      <c r="K40" s="250"/>
      <c r="L40" s="14"/>
      <c r="M40" s="12"/>
      <c r="N40" s="12">
        <f>N39/O28</f>
        <v>104630.91837798395</v>
      </c>
      <c r="O40" s="45" t="s">
        <v>25</v>
      </c>
      <c r="P40" s="14"/>
      <c r="Q40" s="14"/>
      <c r="R40"/>
      <c r="S40" s="238"/>
      <c r="T40" s="59" t="s">
        <v>159</v>
      </c>
      <c r="U40" s="312">
        <v>43650</v>
      </c>
    </row>
    <row r="41" spans="2:23" s="230" customFormat="1" ht="17.399999999999999" x14ac:dyDescent="0.35">
      <c r="G41"/>
      <c r="J41" s="230">
        <f>J40/1.19</f>
        <v>41462.184873949584</v>
      </c>
      <c r="K41" s="250"/>
      <c r="L41" s="13"/>
      <c r="M41" s="14"/>
      <c r="N41" s="17">
        <f>N39/N38</f>
        <v>2.1</v>
      </c>
      <c r="O41" s="15"/>
      <c r="P41"/>
      <c r="Q41"/>
      <c r="R41"/>
      <c r="S41" s="238"/>
      <c r="T41" s="59" t="s">
        <v>161</v>
      </c>
      <c r="U41" s="313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1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45693</v>
      </c>
    </row>
    <row r="6" spans="2:31" ht="16.2" thickBot="1" x14ac:dyDescent="0.35">
      <c r="B6" s="140" t="s">
        <v>2</v>
      </c>
      <c r="C6" s="139" t="str">
        <f>'2229'!C10</f>
        <v>RENE VELASQUEZ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11279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-46607.435033454116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401490</v>
      </c>
      <c r="E11" s="132">
        <f>D11*0.19</f>
        <v>76283.100000000006</v>
      </c>
      <c r="F11" s="131">
        <f>E11+D11</f>
        <v>477773.1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59382.564966545884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73845.690787439613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41382.564966545884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327644.30921256042</v>
      </c>
      <c r="E13" s="221">
        <f>(D11/D12)-1</f>
        <v>4.4368778424141881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32382.564966545884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-6617.4350334541159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121845.38979927535</v>
      </c>
      <c r="F15" s="216">
        <f>E15-D12</f>
        <v>47999.699011835735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-6617.4350334541159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33382.564966545884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32500</v>
      </c>
      <c r="E19" s="123">
        <f>D19*0.19</f>
        <v>6175</v>
      </c>
      <c r="F19" s="120">
        <f>SUM(D19:E19)</f>
        <v>38675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11511.6</v>
      </c>
      <c r="E20" s="121">
        <f>D20*0.19</f>
        <v>2187.2040000000002</v>
      </c>
      <c r="F20" s="120">
        <f>SUM(D20:E20)</f>
        <v>13698.804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44011.6</v>
      </c>
      <c r="E21" s="116">
        <f>SUM(E18:E20)</f>
        <v>8362.2039999999997</v>
      </c>
      <c r="F21" s="115">
        <f>SUM(F18:F20)</f>
        <v>52373.804000000004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67920.896000000008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401490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44011.6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327644.30921256042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327644.30921256042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2025-02-03T20:06:45Z</cp:lastPrinted>
  <dcterms:created xsi:type="dcterms:W3CDTF">2013-03-18T13:35:42Z</dcterms:created>
  <dcterms:modified xsi:type="dcterms:W3CDTF">2025-02-05T19:14:06Z</dcterms:modified>
</cp:coreProperties>
</file>