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F17D33AC-2452-4B47-8376-BB49BA459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2" i="1"/>
  <c r="K22" i="1"/>
  <c r="L22" i="1"/>
  <c r="M22" i="1"/>
  <c r="N22" i="1" l="1"/>
  <c r="O22" i="1"/>
  <c r="R22" i="1"/>
  <c r="S22" i="1"/>
  <c r="H21" i="1" l="1"/>
  <c r="H25" i="1" s="1"/>
  <c r="J40" i="1"/>
  <c r="L21" i="1"/>
  <c r="M21" i="1"/>
  <c r="L25" i="1" l="1"/>
  <c r="S21" i="1"/>
  <c r="R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<sst xmlns="http://schemas.openxmlformats.org/spreadsheetml/2006/main" count="233" uniqueCount="175">
  <si>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</si>
  <si>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</si>
  <si>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</si>
  <si>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</si>
  <si>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</si>
  <si>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</si>
  <si>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</si>
  <si>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</si>
  <si>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</si>
  <si>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</si>
  <si>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</si>
  <si>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</si>
  <si>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</si>
  <si>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</si>
  <si>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</si>
  <si>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</si>
  <si>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</si>
  <si>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</si>
  <si>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</si>
  <si>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</si>
  <si>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</si>
  <si>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</si>
  <si>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</si>
  <si>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</si>
  <si>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</si>
  <si>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</si>
  <si>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</si>
  <si>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</si>
  <si>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</si>
  <si>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</si>
  <si>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</si>
  <si>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</si>
  <si>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</si>
  <si>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</si>
  <si>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</si>
  <si>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</si>
  <si>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</si>
  <si>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</si>
  <si>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</si>
  <si>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</si>
  <si>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</si>
  <si>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</si>
  <si>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</si>
  <si>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</si>
  <si>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</si>
  <si>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</si>
  <si>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</si>
  <si>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</si>
  <si>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</si>
  <si>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</si>
  <si>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</si>
  <si>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</si>
  <si>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</si>
  <si>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</si>
  <si>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</si>
  <si>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</si>
  <si>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</si>
  <si>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</si>
  <si>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</si>
  <si>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</si>
  <si>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</si>
  <si>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</si>
  <si>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</si>
  <si>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</si>
  <si>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</si>
  <si>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</si>
  <si>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</si>
  <si>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</si>
  <si>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</si>
  <si>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</si>
  <si>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</si>
  <si>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</si>
  <si>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</si>
  <si>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</si>
  <si>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</si>
  <si>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</si>
  <si>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</si>
  <si>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</si>
  <si>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</si>
  <si>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</si>
  <si>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</si>
  <si>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</si>
  <si>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</si>
  <si>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</si>
  <si>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</si>
  <si>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</si>
  <si>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</si>
  <si>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</si>
  <si>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</si>
  <si>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</si>
  <si>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</si>
  <si>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</si>
  <si>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</si>
  <si>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</si>
  <si>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</si>
  <si>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</si>
  <si>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</si>
  <si>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</si>
  <si>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</si>
  <si>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</si>
  <si>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</si>
  <si>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</si>
  <si>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</si>
  <si>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</si>
  <si>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</si>
  <si>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</si>
  <si>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</si>
  <si>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</si>
  <si>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</si>
  <si>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</si>
  <si>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</si>
  <si>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</si>
  <si>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</si>
  <si>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</si>
  <si>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</si>
  <si>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</si>
  <si>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</si>
  <si>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</si>
  <si>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</si>
  <si>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</si>
  <si>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</si>
  <si>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</si>
  <si>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</si>
  <si>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</si>
  <si>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</si>
  <si>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</si>
  <si>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</si>
  <si>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</si>
  <si>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</si>
  <si>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</si>
  <si>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</si>
  <si>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</si>
  <si>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</si>
  <si>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</si>
  <si>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</si>
  <si>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</si>
  <si>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</si>
  <si>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</si>
  <si>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</si>
  <si>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</si>
  <si>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</si>
  <si>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</si>
  <si>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</si>
  <si>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</si>
  <si>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</si>
  <si>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</si>
  <si>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</si>
  <si>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</si>
  <si>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</si>
  <si>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</si>
  <si>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</si>
  <si>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</si>
  <si>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</si>
  <si>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</si>
  <si>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</si>
  <si>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</si>
  <si>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</si>
  <si>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</si>
  <si>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</si>
  <si>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</si>
  <si>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</si>
  <si>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</si>
  <si>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</si>
  <si>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</si>
  <si>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</si>
  <si>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</si>
  <si>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</si>
  <si>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</si>
  <si>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5 DIAS HABILES</t>
  </si>
  <si>
    <t>N° 11278</t>
  </si>
  <si>
    <t>MUEBLES LYM</t>
  </si>
  <si>
    <t>ANDREA NUÑEZ</t>
  </si>
  <si>
    <t>569 6191 4275</t>
  </si>
  <si>
    <t>CUB C/R FRENTE 90° R8</t>
  </si>
  <si>
    <t>SEGÚN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</si>
</sst>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8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45692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83305.330019331683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1" t="s">
        <v>173</v>
      </c>
      <c r="D21" s="332">
        <v>1.1100000000000001</v>
      </c>
      <c r="E21" s="332">
        <v>0.56999999999999995</v>
      </c>
      <c r="F21" s="331" t="s">
        <v>174</v>
      </c>
      <c r="G21" s="322">
        <v>55081</v>
      </c>
      <c r="H21" s="323">
        <f t="shared" ref="H21:H22" si="1">G21*B21</f>
        <v>55081</v>
      </c>
      <c r="I21" s="265"/>
      <c r="J21" s="47"/>
      <c r="K21" s="327">
        <f t="shared" ref="K21:K22" si="2">B21</f>
        <v>1</v>
      </c>
      <c r="L21" s="328">
        <f t="shared" ref="L21" si="3">D21+L$19</f>
        <v>1.1600000000000001</v>
      </c>
      <c r="M21" s="328">
        <f t="shared" ref="M21" si="4">E21+M$19</f>
        <v>0.56999999999999995</v>
      </c>
      <c r="N21" s="261">
        <f t="shared" ref="N21" si="5">L21*M21</f>
        <v>0.66120000000000001</v>
      </c>
      <c r="O21" s="259">
        <f t="shared" ref="O21" si="6">N21*K21</f>
        <v>0.66120000000000001</v>
      </c>
      <c r="P21" s="252">
        <f>P$20*N21</f>
        <v>55081.484208782109</v>
      </c>
      <c r="Q21" s="258">
        <f t="shared" ref="Q21" si="7">P21+Q$20</f>
        <v>58081.484208782109</v>
      </c>
      <c r="R21" s="308">
        <f>L21*K21*2</f>
        <v>2.3200000000000003</v>
      </c>
      <c r="S21" s="46">
        <f>M21*K21*2</f>
        <v>1.1399999999999999</v>
      </c>
      <c r="T21" s="9"/>
      <c r="W21" s="4"/>
    </row>
    <row r="22" spans="2:24" ht="17.399999999999999" x14ac:dyDescent="0.3">
      <c r="B22" s="331">
        <v>1</v>
      </c>
      <c r="C22" s="331" t="s">
        <v>173</v>
      </c>
      <c r="D22" s="332">
        <v>1.04</v>
      </c>
      <c r="E22" s="332">
        <v>0.39</v>
      </c>
      <c r="F22" s="331" t="s">
        <v>174</v>
      </c>
      <c r="G22" s="330">
        <v>35413</v>
      </c>
      <c r="H22" s="323">
        <f t="shared" si="1"/>
        <v>35413</v>
      </c>
      <c r="I22" s="265"/>
      <c r="J22" s="47"/>
      <c r="K22" s="327">
        <f t="shared" si="2"/>
        <v>1</v>
      </c>
      <c r="L22" s="328">
        <f t="shared" ref="L22" si="8">D22+L$19</f>
        <v>1.0900000000000001</v>
      </c>
      <c r="M22" s="328">
        <f t="shared" ref="M22" si="9">E22+M$19</f>
        <v>0.39</v>
      </c>
      <c r="N22" s="261">
        <f t="shared" ref="N22" si="10">L22*M22</f>
        <v>0.42510000000000003</v>
      </c>
      <c r="O22" s="259">
        <f t="shared" ref="O22" si="11">N22*K22</f>
        <v>0.42510000000000003</v>
      </c>
      <c r="P22" s="252">
        <f t="shared" ref="P22" si="12">P$20*N22</f>
        <v>35413.0957912179</v>
      </c>
      <c r="Q22" s="258">
        <f t="shared" ref="Q22" si="13">P22+Q$20</f>
        <v>38413.0957912179</v>
      </c>
      <c r="R22" s="308">
        <f t="shared" ref="R22" si="14">L22*K22*2</f>
        <v>2.1800000000000002</v>
      </c>
      <c r="S22" s="46">
        <f t="shared" ref="S22" si="15">M22*K22*2</f>
        <v>0.78</v>
      </c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6"/>
      <c r="H23" s="326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90494</v>
      </c>
      <c r="I25" s="265"/>
      <c r="J25" s="47"/>
      <c r="K25" s="47"/>
      <c r="L25" s="39">
        <f>SUM(L21:L24)</f>
        <v>2.25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17193.86</v>
      </c>
      <c r="I26" s="265"/>
      <c r="J26" s="47"/>
      <c r="K26" s="47"/>
      <c r="L26" s="39"/>
      <c r="M26" s="12"/>
      <c r="N26" s="12"/>
      <c r="O26" s="253">
        <f>SUM(O21:O22)</f>
        <v>1.0863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107687.86</v>
      </c>
      <c r="I27" s="265"/>
      <c r="J27" s="47"/>
      <c r="K27" s="47"/>
      <c r="L27" s="39"/>
      <c r="M27" s="12"/>
      <c r="N27" s="12"/>
      <c r="O27" s="253">
        <f>O26</f>
        <v>1.0863</v>
      </c>
      <c r="P27" s="14"/>
      <c r="Q27" s="12"/>
      <c r="R27" s="239">
        <f>SUM(R21:R26)</f>
        <v>4.5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0.21726000000000001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1.3035600000000001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1.3035600000000001</v>
      </c>
      <c r="M31" s="12">
        <v>2500</v>
      </c>
      <c r="N31" s="12">
        <f t="shared" ref="N31:N36" si="16">L31*M31</f>
        <v>3258.9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16"/>
        <v>12500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34000</v>
      </c>
      <c r="N33" s="12">
        <f t="shared" si="16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22000</v>
      </c>
      <c r="N34" s="12">
        <f t="shared" si="16"/>
        <v>22000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6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2.25</v>
      </c>
      <c r="M36" s="12">
        <v>1500</v>
      </c>
      <c r="N36" s="12">
        <f t="shared" si="16"/>
        <v>3375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41133.9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90494.580000000016</v>
      </c>
      <c r="O38" s="14" t="s">
        <v>141</v>
      </c>
      <c r="P38" s="14"/>
      <c r="Q38" s="40">
        <f>O29/Q37</f>
        <v>0.35147756686798964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49340</v>
      </c>
      <c r="K39" s="250"/>
      <c r="L39" s="14"/>
      <c r="M39" s="12"/>
      <c r="N39" s="12">
        <f>N38/O27</f>
        <v>83305.330019331683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41462.184873949584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45692</v>
      </c>
    </row>
    <row r="6" spans="2:31" ht="16.2" thickBot="1" x14ac:dyDescent="0.35">
      <c r="B6" s="140" t="s">
        <v>2</v>
      </c>
      <c r="C6" s="139" t="str">
        <f>'2229'!C10</f>
        <v>MUEBLES LYM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-2544.2608667874397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90494</v>
      </c>
      <c r="E11" s="132">
        <f>D11*0.19</f>
        <v>17193.86</v>
      </c>
      <c r="F11" s="131">
        <f>E11+D11</f>
        <v>107687.86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103445.73913321256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45592.990787439616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85445.739133212555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44901.009212560384</v>
      </c>
      <c r="E13" s="221">
        <f>(D11/D12)-1</f>
        <v>0.98482263253785352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76445.739133212555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37445.739133212563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75228.434799275361</v>
      </c>
      <c r="F15" s="216">
        <f>E15-D12</f>
        <v>29635.444011835745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37445.739133212563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77445.739133212555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3258.9</v>
      </c>
      <c r="E20" s="121">
        <f>D20*0.19</f>
        <v>619.19100000000003</v>
      </c>
      <c r="F20" s="120">
        <f>SUM(D20:E20)</f>
        <v>3878.0910000000003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15758.9</v>
      </c>
      <c r="E21" s="116">
        <f>SUM(E18:E20)</f>
        <v>2994.1909999999998</v>
      </c>
      <c r="F21" s="115">
        <f>SUM(F18:F20)</f>
        <v>18753.091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14199.669000000002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90494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15758.9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44901.009212560384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44901.009212560384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2025-02-04T22:15:07Z</dcterms:modified>
</cp:coreProperties>
</file>