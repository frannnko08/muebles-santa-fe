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8171AF86-B4FE-4335-9E65-2842EE89C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2" i="1"/>
  <c r="L22" i="1"/>
  <c r="M22" i="1"/>
  <c r="H22" i="1"/>
  <c r="K21" i="1"/>
  <c r="N22" i="1" l="1"/>
  <c r="O22" i="1" s="1"/>
  <c r="J40" i="1"/>
  <c r="L21" i="1"/>
  <c r="M21" i="1"/>
  <c r="R21" i="1" l="1"/>
  <c r="L25" i="1"/>
  <c r="S21" i="1"/>
  <c r="N21" i="1"/>
  <c r="O21" i="1" s="1"/>
  <c r="O26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H25" i="1" s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<sst xmlns="http://schemas.openxmlformats.org/spreadsheetml/2006/main" count="232" uniqueCount="174">
  <si>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</si>
  <si>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</si>
  <si>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</si>
  <si>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</si>
  <si>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</si>
  <si>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</si>
  <si>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</si>
  <si>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</si>
  <si>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</si>
  <si>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</si>
  <si>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</si>
  <si>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</si>
  <si>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</si>
  <si>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</si>
  <si>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</si>
  <si>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</si>
  <si>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</si>
  <si>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</si>
  <si>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</si>
  <si>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</si>
  <si>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</si>
  <si>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</si>
  <si>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</si>
  <si>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</si>
  <si>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</si>
  <si>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</si>
  <si>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</si>
  <si>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</si>
  <si>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</si>
  <si>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</si>
  <si>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</si>
  <si>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</si>
  <si>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</si>
  <si>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</si>
  <si>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</si>
  <si>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</si>
  <si>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</si>
  <si>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</si>
  <si>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</si>
  <si>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</si>
  <si>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</si>
  <si>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</si>
  <si>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</si>
  <si>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</si>
  <si>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</si>
  <si>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</si>
  <si>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</si>
  <si>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</si>
  <si>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</si>
  <si>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</si>
  <si>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</si>
  <si>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</si>
  <si>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</si>
  <si>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</si>
  <si>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</si>
  <si>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</si>
  <si>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</si>
  <si>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</si>
  <si>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</si>
  <si>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</si>
  <si>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</si>
  <si>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</si>
  <si>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</si>
  <si>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</si>
  <si>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</si>
  <si>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</si>
  <si>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</si>
  <si>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</si>
  <si>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</si>
  <si>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</si>
  <si>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</si>
  <si>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</si>
  <si>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</si>
  <si>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</si>
  <si>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</si>
  <si>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</si>
  <si>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</si>
  <si>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</si>
  <si>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</si>
  <si>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</si>
  <si>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</si>
  <si>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</si>
  <si>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</si>
  <si>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</si>
  <si>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</si>
  <si>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</si>
  <si>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</si>
  <si>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</si>
  <si>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</si>
  <si>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</si>
  <si>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</si>
  <si>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</si>
  <si>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</si>
  <si>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</si>
  <si>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</si>
  <si>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</si>
  <si>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</si>
  <si>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</si>
  <si>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</si>
  <si>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</si>
  <si>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</si>
  <si>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</si>
  <si>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</si>
  <si>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</si>
  <si>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</si>
  <si>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</si>
  <si>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</si>
  <si>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</si>
  <si>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</si>
  <si>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</si>
  <si>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</si>
  <si>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</si>
  <si>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</si>
  <si>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</si>
  <si>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</si>
  <si>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</si>
  <si>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</si>
  <si>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</si>
  <si>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</si>
  <si>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</si>
  <si>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</si>
  <si>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</si>
  <si>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</si>
  <si>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</si>
  <si>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</si>
  <si>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</si>
  <si>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</si>
  <si>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</si>
  <si>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</si>
  <si>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</si>
  <si>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</si>
  <si>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</si>
  <si>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</si>
  <si>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</si>
  <si>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</si>
  <si>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</si>
  <si>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</si>
  <si>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</si>
  <si>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</si>
  <si>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</si>
  <si>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</si>
  <si>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</si>
  <si>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</si>
  <si>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</si>
  <si>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</si>
  <si>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</si>
  <si>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</si>
  <si>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</si>
  <si>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</si>
  <si>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</si>
  <si>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</si>
  <si>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</si>
  <si>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</si>
  <si>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</si>
  <si>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</si>
  <si>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</si>
  <si>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</si>
  <si>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</si>
  <si>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</si>
  <si>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</si>
  <si>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</si>
  <si>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</si>
  <si>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</si>
  <si>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</si>
  <si>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</si>
  <si>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</si>
  <si>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</si>
  <si>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</si>
  <si>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</si>
  <si>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MARCO BARRERA</t>
  </si>
  <si>
    <t>569 9324 1138</t>
  </si>
  <si>
    <t>WHITE MARBLE 42004 GL</t>
  </si>
  <si>
    <t>CUB C/R FRENTE 90° R8</t>
  </si>
  <si>
    <t>N° 11305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</si>
</sst>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56528.218111002927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172</v>
      </c>
      <c r="D21" s="330">
        <v>1.2</v>
      </c>
      <c r="E21" s="330">
        <v>0.6</v>
      </c>
      <c r="F21" s="329" t="s">
        <v>171</v>
      </c>
      <c r="G21" s="331">
        <v>50031</v>
      </c>
      <c r="H21" s="331">
        <f t="shared" ref="H21:H22" si="1">G21*B21</f>
        <v>50031</v>
      </c>
      <c r="I21" s="265"/>
      <c r="J21" s="47"/>
      <c r="K21" s="324">
        <f t="shared" ref="K21" si="2">B21</f>
        <v>1</v>
      </c>
      <c r="L21" s="325">
        <f t="shared" ref="L21" si="3">D21+L$19</f>
        <v>1.28</v>
      </c>
      <c r="M21" s="325">
        <f t="shared" ref="M21" si="4">E21+M$19</f>
        <v>0.65</v>
      </c>
      <c r="N21" s="261">
        <f t="shared" ref="N21" si="5">L21*M21</f>
        <v>0.83200000000000007</v>
      </c>
      <c r="O21" s="259">
        <f t="shared" ref="O21" si="6">N21*K21</f>
        <v>0.83200000000000007</v>
      </c>
      <c r="P21" s="252">
        <f>P$20*N21</f>
        <v>47031.477468354438</v>
      </c>
      <c r="Q21" s="258">
        <f t="shared" ref="Q21" si="7">P21+Q$20</f>
        <v>50031.477468354438</v>
      </c>
      <c r="R21" s="308">
        <f>L21*K21</f>
        <v>1.28</v>
      </c>
      <c r="S21" s="46">
        <f>M21*K21*2</f>
        <v>1.3</v>
      </c>
      <c r="T21" s="9"/>
      <c r="W21" s="4"/>
    </row>
    <row r="22" spans="2:24" ht="17.399999999999999" x14ac:dyDescent="0.3">
      <c r="B22" s="329">
        <v>1</v>
      </c>
      <c r="C22" s="329" t="s">
        <v>172</v>
      </c>
      <c r="D22" s="330">
        <v>1.8</v>
      </c>
      <c r="E22" s="330">
        <v>0.6</v>
      </c>
      <c r="F22" s="329" t="s">
        <v>171</v>
      </c>
      <c r="G22" s="331">
        <v>72077</v>
      </c>
      <c r="H22" s="331">
        <f t="shared" si="1"/>
        <v>72077</v>
      </c>
      <c r="I22" s="265"/>
      <c r="J22" s="47"/>
      <c r="K22" s="324">
        <f t="shared" ref="K22" si="8">B22</f>
        <v>1</v>
      </c>
      <c r="L22" s="325">
        <f t="shared" ref="L22" si="9">D22+L$19</f>
        <v>1.8800000000000001</v>
      </c>
      <c r="M22" s="325">
        <f t="shared" ref="M22" si="10">E22+M$19</f>
        <v>0.65</v>
      </c>
      <c r="N22" s="261">
        <f t="shared" ref="N22" si="11">L22*M22</f>
        <v>1.2220000000000002</v>
      </c>
      <c r="O22" s="259">
        <f t="shared" ref="O22" si="12">N22*K22</f>
        <v>1.2220000000000002</v>
      </c>
      <c r="P22" s="252">
        <f>P$20*N22</f>
        <v>69077.482531645583</v>
      </c>
      <c r="Q22" s="258">
        <f t="shared" ref="Q22" si="13">P22+Q$20</f>
        <v>72077.482531645583</v>
      </c>
      <c r="R22" s="308"/>
      <c r="S22" s="46"/>
      <c r="T22" s="9"/>
      <c r="W22" s="4"/>
    </row>
    <row r="23" spans="2:24" ht="17.399999999999999" x14ac:dyDescent="0.3">
      <c r="B23" s="327"/>
      <c r="C23" s="328"/>
      <c r="D23" s="327"/>
      <c r="E23" s="327"/>
      <c r="F23" s="327"/>
      <c r="G23" s="327"/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122108</v>
      </c>
      <c r="I25" s="265"/>
      <c r="J25" s="47"/>
      <c r="K25" s="47"/>
      <c r="L25" s="39">
        <f>SUM(L21:L24)</f>
        <v>3.16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23200.52</v>
      </c>
      <c r="I26" s="265"/>
      <c r="J26" s="47"/>
      <c r="K26" s="47"/>
      <c r="L26" s="39"/>
      <c r="M26" s="12"/>
      <c r="N26" s="12"/>
      <c r="O26" s="253">
        <f>SUM(O21:O22)</f>
        <v>2.0540000000000003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145308.51999999999</v>
      </c>
      <c r="I27" s="265"/>
      <c r="J27" s="47"/>
      <c r="K27" s="47"/>
      <c r="L27" s="39"/>
      <c r="M27" s="12"/>
      <c r="N27" s="12"/>
      <c r="O27" s="253">
        <f>O26</f>
        <v>2.0540000000000003</v>
      </c>
      <c r="P27" s="14"/>
      <c r="Q27" s="12"/>
      <c r="R27" s="239">
        <f>SUM(R21:R26)</f>
        <v>1.28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0.41080000000000005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2.4648000000000003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2.4648000000000003</v>
      </c>
      <c r="M31" s="12">
        <v>3500</v>
      </c>
      <c r="N31" s="12">
        <f t="shared" ref="N31:N36" si="14">L31*M31</f>
        <v>8626.8000000000011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0.7</v>
      </c>
      <c r="M32" s="12">
        <v>25000</v>
      </c>
      <c r="N32" s="12">
        <f t="shared" si="14"/>
        <v>17500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77058</v>
      </c>
      <c r="N33" s="12">
        <f t="shared" si="1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22000</v>
      </c>
      <c r="N34" s="12">
        <f t="shared" si="14"/>
        <v>22000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3.1</v>
      </c>
      <c r="M36" s="12">
        <v>1500</v>
      </c>
      <c r="N36" s="12">
        <f t="shared" si="14"/>
        <v>4650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52776.800000000003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116108.96000000002</v>
      </c>
      <c r="O38" s="14" t="s">
        <v>141</v>
      </c>
      <c r="P38" s="14"/>
      <c r="Q38" s="40">
        <f>O29/Q37</f>
        <v>0.66458153580672996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42960</v>
      </c>
      <c r="K39" s="250"/>
      <c r="L39" s="14"/>
      <c r="M39" s="12"/>
      <c r="N39" s="12">
        <f>N38/O27</f>
        <v>56528.218111002927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36100.840336134454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45714</v>
      </c>
    </row>
    <row r="6" spans="2:31" ht="16.2" thickBot="1" x14ac:dyDescent="0.35">
      <c r="B6" s="140" t="s">
        <v>2</v>
      </c>
      <c r="C6" s="139" t="str">
        <f>'2229'!C10</f>
        <v>MARCO BARRERA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11305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-4962.0883667874396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122108</v>
      </c>
      <c r="E11" s="132">
        <f>D11*0.19</f>
        <v>23200.52</v>
      </c>
      <c r="F11" s="131">
        <f>E11+D11</f>
        <v>145308.51999999999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101027.91163321256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55960.890787439617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83027.911633212556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66147.109212560375</v>
      </c>
      <c r="E13" s="221">
        <f>(D11/D12)-1</f>
        <v>1.1820238792089968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74027.911633212556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35027.911633212563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92335.469799275364</v>
      </c>
      <c r="F15" s="216">
        <f>E15-D12</f>
        <v>36374.579011835747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35027.911633212563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75027.911633212556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8626.8000000000011</v>
      </c>
      <c r="E20" s="121">
        <f>D20*0.19</f>
        <v>1639.0920000000003</v>
      </c>
      <c r="F20" s="120">
        <f>SUM(D20:E20)</f>
        <v>10265.892000000002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26126.800000000003</v>
      </c>
      <c r="E21" s="116">
        <f>SUM(E18:E20)</f>
        <v>4964.0920000000006</v>
      </c>
      <c r="F21" s="115">
        <f>SUM(F18:F20)</f>
        <v>31090.892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18236.428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122108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26126.800000000003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66147.109212560375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66147.109212560375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2025-02-26T18:18:14Z</dcterms:modified>
</cp:coreProperties>
</file>