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F2D26AE7-305D-4246-88E7-BB5803D9F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2" i="1"/>
  <c r="L22" i="1"/>
  <c r="M22" i="1"/>
  <c r="H22" i="1"/>
  <c r="K21" i="1"/>
  <c r="N22" i="1" l="1"/>
  <c r="O22" i="1" s="1"/>
  <c r="J40" i="1"/>
  <c r="L21" i="1"/>
  <c r="R21" i="1" s="1"/>
  <c r="M21" i="1"/>
  <c r="L25" i="1" l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<sst xmlns="http://schemas.openxmlformats.org/spreadsheetml/2006/main" count="233" uniqueCount="175">
  <si>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</si>
  <si>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</si>
  <si>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</si>
  <si>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</si>
  <si>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</si>
  <si>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</si>
  <si>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</si>
  <si>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</si>
  <si>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</si>
  <si>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</si>
  <si>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</si>
  <si>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</si>
  <si>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</si>
  <si>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</si>
  <si>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</si>
  <si>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</si>
  <si>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</si>
  <si>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</si>
  <si>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</si>
  <si>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</si>
  <si>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</si>
  <si>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</si>
  <si>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</si>
  <si>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</si>
  <si>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</si>
  <si>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</si>
  <si>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</si>
  <si>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</si>
  <si>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</si>
  <si>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</si>
  <si>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</si>
  <si>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</si>
  <si>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</si>
  <si>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</si>
  <si>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</si>
  <si>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</si>
  <si>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</si>
  <si>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</si>
  <si>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</si>
  <si>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</si>
  <si>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</si>
  <si>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</si>
  <si>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</si>
  <si>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</si>
  <si>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</si>
  <si>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</si>
  <si>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</si>
  <si>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</si>
  <si>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</si>
  <si>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</si>
  <si>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</si>
  <si>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</si>
  <si>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</si>
  <si>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</si>
  <si>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</si>
  <si>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</si>
  <si>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</si>
  <si>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</si>
  <si>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</si>
  <si>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</si>
  <si>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</si>
  <si>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</si>
  <si>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</si>
  <si>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</si>
  <si>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</si>
  <si>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</si>
  <si>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</si>
  <si>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</si>
  <si>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</si>
  <si>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</si>
  <si>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</si>
  <si>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</si>
  <si>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</si>
  <si>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</si>
  <si>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</si>
  <si>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</si>
  <si>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</si>
  <si>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</si>
  <si>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</si>
  <si>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</si>
  <si>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</si>
  <si>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</si>
  <si>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</si>
  <si>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</si>
  <si>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</si>
  <si>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</si>
  <si>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</si>
  <si>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</si>
  <si>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</si>
  <si>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</si>
  <si>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</si>
  <si>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</si>
  <si>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</si>
  <si>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</si>
  <si>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</si>
  <si>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</si>
  <si>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</si>
  <si>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</si>
  <si>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</si>
  <si>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</si>
  <si>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</si>
  <si>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</si>
  <si>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</si>
  <si>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</si>
  <si>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</si>
  <si>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</si>
  <si>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</si>
  <si>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</si>
  <si>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</si>
  <si>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</si>
  <si>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</si>
  <si>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</si>
  <si>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</si>
  <si>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</si>
  <si>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</si>
  <si>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</si>
  <si>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</si>
  <si>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</si>
  <si>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</si>
  <si>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</si>
  <si>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</si>
  <si>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</si>
  <si>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</si>
  <si>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</si>
  <si>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</si>
  <si>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</si>
  <si>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</si>
  <si>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</si>
  <si>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</si>
  <si>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</si>
  <si>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</si>
  <si>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</si>
  <si>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</si>
  <si>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</si>
  <si>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</si>
  <si>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</si>
  <si>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</si>
  <si>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</si>
  <si>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</si>
  <si>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</si>
  <si>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</si>
  <si>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</si>
  <si>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</si>
  <si>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</si>
  <si>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</si>
  <si>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</si>
  <si>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</si>
  <si>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</si>
  <si>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</si>
  <si>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</si>
  <si>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</si>
  <si>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</si>
  <si>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</si>
  <si>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</si>
  <si>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</si>
  <si>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</si>
  <si>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</si>
  <si>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</si>
  <si>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</si>
  <si>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</si>
  <si>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</si>
  <si>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</si>
  <si>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</si>
  <si>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</si>
  <si>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</si>
  <si>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</si>
  <si>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</si>
  <si>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</si>
  <si>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</si>
  <si>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UVZ</t>
  </si>
  <si>
    <t>RAMON SALINAS</t>
  </si>
  <si>
    <t>569 42714183</t>
  </si>
  <si>
    <t>GALAXIA GRAFITO 0491 MT</t>
  </si>
  <si>
    <t>CUB SIN RESPALDO FRENTE 90° 5CMS</t>
  </si>
  <si>
    <t>N° 11301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</si>
</sst>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7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91736.51583710406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2</v>
      </c>
      <c r="C21" s="332" t="s">
        <v>173</v>
      </c>
      <c r="D21" s="333">
        <v>2.4900000000000002</v>
      </c>
      <c r="E21" s="333">
        <v>0.6</v>
      </c>
      <c r="F21" s="332" t="s">
        <v>172</v>
      </c>
      <c r="G21" s="322">
        <v>153246</v>
      </c>
      <c r="H21" s="323">
        <f t="shared" ref="H21:H22" si="1">G21*B21</f>
        <v>306492</v>
      </c>
      <c r="I21" s="265"/>
      <c r="J21" s="47"/>
      <c r="K21" s="326">
        <f t="shared" ref="K21" si="2">B21</f>
        <v>2</v>
      </c>
      <c r="L21" s="327">
        <f t="shared" ref="L21" si="3">D21+L$19</f>
        <v>2.5700000000000003</v>
      </c>
      <c r="M21" s="327">
        <f t="shared" ref="M21" si="4">E21+M$19</f>
        <v>0.65</v>
      </c>
      <c r="N21" s="261">
        <f t="shared" ref="N21" si="5">L21*M21</f>
        <v>1.6705000000000003</v>
      </c>
      <c r="O21" s="259">
        <f t="shared" ref="O21" si="6">N21*K21</f>
        <v>3.3410000000000006</v>
      </c>
      <c r="P21" s="252">
        <f>P$20*N21</f>
        <v>153245.84970588237</v>
      </c>
      <c r="Q21" s="258">
        <f t="shared" ref="Q21" si="7">P21+Q$20</f>
        <v>156245.84970588237</v>
      </c>
      <c r="R21" s="308">
        <f>L21*K21</f>
        <v>5.1400000000000006</v>
      </c>
      <c r="S21" s="46">
        <f>M21*K21*2</f>
        <v>2.6</v>
      </c>
      <c r="T21" s="9"/>
      <c r="W21" s="4"/>
    </row>
    <row r="22" spans="2:24" ht="17.399999999999999" x14ac:dyDescent="0.3">
      <c r="B22" s="331">
        <v>1</v>
      </c>
      <c r="C22" s="332" t="s">
        <v>173</v>
      </c>
      <c r="D22" s="333">
        <v>1.58</v>
      </c>
      <c r="E22" s="333">
        <v>0.6</v>
      </c>
      <c r="F22" s="332" t="s">
        <v>172</v>
      </c>
      <c r="G22" s="322">
        <v>98984</v>
      </c>
      <c r="H22" s="323">
        <f t="shared" si="1"/>
        <v>98984</v>
      </c>
      <c r="I22" s="265"/>
      <c r="J22" s="47"/>
      <c r="K22" s="326">
        <f t="shared" ref="K22" si="8">B22</f>
        <v>1</v>
      </c>
      <c r="L22" s="327">
        <f t="shared" ref="L22" si="9">D22+L$19</f>
        <v>1.6600000000000001</v>
      </c>
      <c r="M22" s="327">
        <f t="shared" ref="M22" si="10">E22+M$19</f>
        <v>0.65</v>
      </c>
      <c r="N22" s="261">
        <f t="shared" ref="N22" si="11">L22*M22</f>
        <v>1.0790000000000002</v>
      </c>
      <c r="O22" s="259">
        <f t="shared" ref="O22" si="12">N22*K22</f>
        <v>1.0790000000000002</v>
      </c>
      <c r="P22" s="252">
        <f>P$20*N22</f>
        <v>98983.700588235297</v>
      </c>
      <c r="Q22" s="258">
        <f t="shared" ref="Q22" si="13">P22+Q$20</f>
        <v>101983.7005882353</v>
      </c>
      <c r="R22" s="308"/>
      <c r="S22" s="46"/>
      <c r="T22" s="9"/>
      <c r="W22" s="4"/>
    </row>
    <row r="23" spans="2:24" ht="17.399999999999999" x14ac:dyDescent="0.3">
      <c r="B23" s="329"/>
      <c r="C23" s="330"/>
      <c r="D23" s="329"/>
      <c r="E23" s="329"/>
      <c r="F23" s="329"/>
      <c r="G23" s="329"/>
      <c r="H23" s="329"/>
      <c r="I23" s="265"/>
      <c r="J23" s="47"/>
      <c r="K23" s="326"/>
      <c r="L23" s="327"/>
      <c r="M23" s="327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405476</v>
      </c>
      <c r="I25" s="265"/>
      <c r="J25" s="47"/>
      <c r="K25" s="47"/>
      <c r="L25" s="39">
        <f>SUM(L21:L24)</f>
        <v>4.2300000000000004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77040.44</v>
      </c>
      <c r="I26" s="265"/>
      <c r="J26" s="47"/>
      <c r="K26" s="47"/>
      <c r="L26" s="39"/>
      <c r="M26" s="12"/>
      <c r="N26" s="12"/>
      <c r="O26" s="253">
        <f>SUM(O21:O22)</f>
        <v>4.4200000000000008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482516.44</v>
      </c>
      <c r="I27" s="265"/>
      <c r="J27" s="47"/>
      <c r="K27" s="47"/>
      <c r="L27" s="39"/>
      <c r="M27" s="12"/>
      <c r="N27" s="12"/>
      <c r="O27" s="253">
        <f>O26</f>
        <v>4.4200000000000008</v>
      </c>
      <c r="P27" s="14"/>
      <c r="Q27" s="12"/>
      <c r="R27" s="239">
        <f>SUM(R21:R26)</f>
        <v>5.1400000000000006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0.88400000000000023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5.3040000000000012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5.3040000000000012</v>
      </c>
      <c r="M31" s="12">
        <v>3500</v>
      </c>
      <c r="N31" s="12">
        <f t="shared" ref="N31:N36" si="14">L31*M31</f>
        <v>18564.000000000004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1.5</v>
      </c>
      <c r="M32" s="12">
        <v>25000</v>
      </c>
      <c r="N32" s="12">
        <f t="shared" si="14"/>
        <v>37500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77058</v>
      </c>
      <c r="N33" s="12">
        <f t="shared" si="14"/>
        <v>77058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51185</v>
      </c>
      <c r="N34" s="12">
        <f t="shared" si="14"/>
        <v>51185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/>
      <c r="M36" s="12">
        <v>1500</v>
      </c>
      <c r="N36" s="12">
        <f t="shared" si="1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184307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405475.4</v>
      </c>
      <c r="O38" s="14" t="s">
        <v>141</v>
      </c>
      <c r="P38" s="14"/>
      <c r="Q38" s="40">
        <f>O29/Q37</f>
        <v>1.4301121656600519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60910</v>
      </c>
      <c r="K39" s="250"/>
      <c r="L39" s="14"/>
      <c r="M39" s="12"/>
      <c r="N39" s="12">
        <f>N38/O27</f>
        <v>91736.51583710406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51184.873949579836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45712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-22766.40836678744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405476</v>
      </c>
      <c r="E11" s="132">
        <f>D11*0.19</f>
        <v>77040.44</v>
      </c>
      <c r="F11" s="131">
        <f>E11+D11</f>
        <v>482516.44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83223.591633212563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162956.09078743961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65223.591633212563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242519.90921256039</v>
      </c>
      <c r="E13" s="221">
        <f>(D11/D12)-1</f>
        <v>1.4882531118698967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56223.591633212563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17223.59163321256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268877.54979927535</v>
      </c>
      <c r="F15" s="216">
        <f>E15-D12</f>
        <v>105921.45901183574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17223.59163321256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57223.591633212563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77058</v>
      </c>
      <c r="E18" s="123">
        <f>D18*0.19</f>
        <v>14641.02</v>
      </c>
      <c r="F18" s="120">
        <f>SUM(D18:E18)</f>
        <v>91699.02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18564.000000000004</v>
      </c>
      <c r="E20" s="121">
        <f>D20*0.19</f>
        <v>3527.1600000000008</v>
      </c>
      <c r="F20" s="120">
        <f>SUM(D20:E20)</f>
        <v>22091.160000000003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133122</v>
      </c>
      <c r="E21" s="116">
        <f>SUM(E18:E20)</f>
        <v>25293.18</v>
      </c>
      <c r="F21" s="115">
        <f>SUM(F18:F20)</f>
        <v>158415.18000000002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51747.26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405476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133122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242519.90921256039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242519.90921256039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2025-02-24T17:12:07Z</dcterms:modified>
</cp:coreProperties>
</file>