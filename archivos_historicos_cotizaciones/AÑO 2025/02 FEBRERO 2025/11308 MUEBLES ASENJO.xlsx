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771735B8-9C27-4C02-9DFD-A2017228E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<sst xmlns="http://schemas.openxmlformats.org/spreadsheetml/2006/main" count="230" uniqueCount="174">
  <si>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</si>
  <si>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</si>
  <si>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</si>
  <si>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</si>
  <si>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</si>
  <si>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</si>
  <si>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</si>
  <si>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</si>
  <si>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</si>
  <si>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</si>
  <si>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</si>
  <si>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</si>
  <si>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</si>
  <si>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</si>
  <si>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</si>
  <si>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</si>
  <si>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</si>
  <si>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</si>
  <si>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</si>
  <si>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</si>
  <si>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</si>
  <si>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</si>
  <si>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</si>
  <si>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</si>
  <si>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</si>
  <si>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</si>
  <si>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</si>
  <si>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</si>
  <si>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</si>
  <si>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</si>
  <si>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</si>
  <si>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</si>
  <si>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</si>
  <si>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</si>
  <si>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</si>
  <si>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</si>
  <si>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</si>
  <si>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</si>
  <si>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</si>
  <si>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</si>
  <si>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</si>
  <si>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</si>
  <si>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</si>
  <si>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</si>
  <si>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</si>
  <si>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</si>
  <si>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</si>
  <si>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</si>
  <si>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</si>
  <si>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</si>
  <si>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</si>
  <si>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</si>
  <si>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</si>
  <si>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</si>
  <si>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</si>
  <si>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</si>
  <si>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</si>
  <si>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</si>
  <si>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</si>
  <si>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</si>
  <si>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</si>
  <si>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</si>
  <si>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</si>
  <si>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</si>
  <si>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</si>
  <si>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</si>
  <si>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</si>
  <si>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</si>
  <si>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</si>
  <si>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</si>
  <si>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</si>
  <si>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</si>
  <si>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</si>
  <si>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</si>
  <si>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</si>
  <si>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</si>
  <si>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</si>
  <si>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</si>
  <si>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</si>
  <si>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</si>
  <si>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</si>
  <si>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</si>
  <si>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</si>
  <si>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</si>
  <si>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</si>
  <si>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</si>
  <si>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</si>
  <si>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</si>
  <si>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</si>
  <si>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</si>
  <si>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</si>
  <si>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</si>
  <si>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</si>
  <si>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</si>
  <si>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</si>
  <si>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</si>
  <si>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</si>
  <si>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</si>
  <si>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</si>
  <si>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</si>
  <si>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</si>
  <si>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</si>
  <si>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</si>
  <si>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</si>
  <si>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</si>
  <si>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</si>
  <si>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</si>
  <si>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</si>
  <si>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</si>
  <si>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</si>
  <si>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</si>
  <si>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</si>
  <si>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</si>
  <si>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</si>
  <si>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</si>
  <si>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</si>
  <si>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</si>
  <si>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</si>
  <si>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</si>
  <si>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</si>
  <si>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</si>
  <si>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</si>
  <si>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</si>
  <si>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</si>
  <si>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</si>
  <si>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</si>
  <si>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</si>
  <si>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</si>
  <si>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</si>
  <si>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</si>
  <si>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</si>
  <si>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</si>
  <si>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</si>
  <si>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</si>
  <si>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</si>
  <si>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</si>
  <si>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</si>
  <si>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</si>
  <si>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</si>
  <si>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</si>
  <si>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</si>
  <si>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</si>
  <si>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</si>
  <si>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</si>
  <si>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</si>
  <si>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</si>
  <si>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</si>
  <si>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</si>
  <si>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</si>
  <si>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</si>
  <si>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</si>
  <si>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</si>
  <si>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</si>
  <si>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</si>
  <si>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</si>
  <si>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</si>
  <si>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</si>
  <si>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</si>
  <si>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</si>
  <si>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</si>
  <si>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</si>
  <si>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</si>
  <si>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</si>
  <si>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</si>
  <si>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</si>
  <si>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</si>
  <si>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</si>
  <si>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</si>
  <si>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</si>
  <si>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+569 9884 4786</t>
  </si>
  <si>
    <t>BLANCO OPACO</t>
  </si>
  <si>
    <t>CUB MESA 180° 2 LADOS</t>
  </si>
  <si>
    <t>N° 11308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</si>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</sst>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J11" sqref="J11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22.109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45715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54079.605263157886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6</v>
      </c>
      <c r="C21" s="330" t="s">
        <v>171</v>
      </c>
      <c r="D21" s="331">
        <v>2.2000000000000002</v>
      </c>
      <c r="E21" s="331">
        <v>0.8</v>
      </c>
      <c r="F21" s="330" t="s">
        <v>170</v>
      </c>
      <c r="G21" s="332">
        <v>98641</v>
      </c>
      <c r="H21" s="332">
        <f>G21*B21</f>
        <v>591846</v>
      </c>
      <c r="I21" s="320"/>
      <c r="J21" s="265"/>
      <c r="K21" s="47"/>
      <c r="L21" s="333">
        <f>B21</f>
        <v>6</v>
      </c>
      <c r="M21" s="39">
        <f>D21+M$19</f>
        <v>2.2800000000000002</v>
      </c>
      <c r="N21" s="39">
        <f>E21+$N$19</f>
        <v>0.8</v>
      </c>
      <c r="O21" s="261">
        <f t="shared" ref="O21" si="1">M21*N21</f>
        <v>1.8240000000000003</v>
      </c>
      <c r="P21" s="259">
        <f t="shared" ref="P21" si="2">O21*L21</f>
        <v>10.944000000000003</v>
      </c>
      <c r="Q21" s="252">
        <f t="shared" ref="Q21" si="3">Q$20*O21</f>
        <v>98641.2</v>
      </c>
      <c r="R21" s="319">
        <f t="shared" ref="R21" si="4">Q21+R$20</f>
        <v>101641.2</v>
      </c>
      <c r="S21" s="297"/>
      <c r="T21" s="46">
        <f>N21*2*L21*2</f>
        <v>19.200000000000003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591846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19.200000000000003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112450.74</v>
      </c>
      <c r="I25" s="322"/>
      <c r="J25" s="265"/>
      <c r="K25" s="47"/>
      <c r="L25" s="47"/>
      <c r="M25" s="39">
        <f>SUM(M21:M24)</f>
        <v>2.2800000000000002</v>
      </c>
      <c r="N25" s="12"/>
      <c r="O25" s="12"/>
      <c r="P25" s="253">
        <f>SUM(P21:P23)</f>
        <v>10.944000000000003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704296.74</v>
      </c>
      <c r="I26" s="322"/>
      <c r="J26" s="265"/>
      <c r="K26" s="47"/>
      <c r="L26" s="47"/>
      <c r="M26" s="39"/>
      <c r="N26" s="12"/>
      <c r="O26" s="12"/>
      <c r="P26" s="253">
        <f>P25</f>
        <v>10.944000000000003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2.1888000000000005</v>
      </c>
      <c r="Q27" s="39" t="s">
        <v>130</v>
      </c>
      <c r="R27" s="42"/>
      <c r="S27" s="240">
        <f>S26+T24</f>
        <v>19.200000000000003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13.132800000000003</v>
      </c>
      <c r="Q28" s="14"/>
      <c r="R28" s="14"/>
      <c r="S28" s="238">
        <f>S27*20%</f>
        <v>3.8400000000000007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23.040000000000003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13.132800000000003</v>
      </c>
      <c r="N30" s="12">
        <v>2500</v>
      </c>
      <c r="O30" s="12">
        <f t="shared" ref="O30:O35" si="5">M30*N30</f>
        <v>32832.000000000007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6</v>
      </c>
      <c r="N31" s="12">
        <v>23500</v>
      </c>
      <c r="O31" s="12">
        <f t="shared" si="5"/>
        <v>141000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46893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21420</v>
      </c>
      <c r="L33" s="250"/>
      <c r="M33" s="14">
        <v>6</v>
      </c>
      <c r="N33" s="250">
        <v>18000</v>
      </c>
      <c r="O33" s="12">
        <f t="shared" si="5"/>
        <v>108000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49385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41500</v>
      </c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7885</v>
      </c>
      <c r="L36" s="250"/>
      <c r="M36" s="14"/>
      <c r="N36" s="12"/>
      <c r="O36" s="12">
        <f>SUM(O30:O35)</f>
        <v>281832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591847.20000000007</v>
      </c>
      <c r="P37" s="14" t="s">
        <v>140</v>
      </c>
      <c r="Q37" s="14"/>
      <c r="R37" s="40">
        <f>P28/R36</f>
        <v>3.5409836065573779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54079.605263157886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11308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-42632.825033454108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591846</v>
      </c>
      <c r="E11" s="132">
        <f>D11*0.19</f>
        <v>112450.74</v>
      </c>
      <c r="F11" s="131">
        <f>E11+D11</f>
        <v>704296.74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63357.174966545892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203666.09078743961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45357.174966545892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388179.90921256039</v>
      </c>
      <c r="E13" s="221">
        <f>(D11/D12)-1</f>
        <v>1.9059623902620713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36357.174966545892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-2642.8250334541081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336049.04979927535</v>
      </c>
      <c r="F15" s="216">
        <f>E15-D12</f>
        <v>132382.95901183574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-2642.8250334541081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37357.174966545892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141000</v>
      </c>
      <c r="E19" s="123">
        <f>D19*0.19</f>
        <v>26790</v>
      </c>
      <c r="F19" s="120">
        <f>SUM(D19:E19)</f>
        <v>167790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32832.000000000007</v>
      </c>
      <c r="E20" s="121">
        <f>D20*0.19</f>
        <v>6238.0800000000017</v>
      </c>
      <c r="F20" s="120">
        <f>SUM(D20:E20)</f>
        <v>39070.080000000009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173832</v>
      </c>
      <c r="E21" s="116">
        <f>SUM(E18:E20)</f>
        <v>33028.080000000002</v>
      </c>
      <c r="F21" s="115">
        <f>SUM(F18:F20)</f>
        <v>206860.08000000002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79422.66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591846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173832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388179.90921256039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388179.90921256039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2025-01-29T19:22:31Z</cp:lastPrinted>
  <dcterms:created xsi:type="dcterms:W3CDTF">2013-03-18T13:35:42Z</dcterms:created>
  <dcterms:modified xsi:type="dcterms:W3CDTF">2025-02-27T17:31:01Z</dcterms:modified>
</cp:coreProperties>
</file>