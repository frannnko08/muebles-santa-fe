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2 FEBRERO 2025\"/>
    </mc:Choice>
  </mc:AlternateContent>
  <xr:revisionPtr revIDLastSave="0" documentId="13_ncr:1_{C4D845A3-597B-458D-B490-CA4ED9B2C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1" i="1"/>
  <c r="J39" i="1" l="1"/>
  <c r="L21" i="1"/>
  <c r="M21" i="1"/>
  <c r="S21" i="1" l="1"/>
  <c r="S24" i="1" s="1"/>
  <c r="L24" i="1"/>
  <c r="R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H21" i="1" s="1"/>
  <c r="H24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<sst xmlns="http://schemas.openxmlformats.org/spreadsheetml/2006/main" count="230" uniqueCount="174">
  <si>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</si>
  <si>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</si>
  <si>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</si>
  <si>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</si>
  <si>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</si>
  <si>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</si>
  <si>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</si>
  <si>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</si>
  <si>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</si>
  <si>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</si>
  <si>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</si>
  <si>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</si>
  <si>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</si>
  <si>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</si>
  <si>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</si>
  <si>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</si>
  <si>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</si>
  <si>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</si>
  <si>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</si>
  <si>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</si>
  <si>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</si>
  <si>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</si>
  <si>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</si>
  <si>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</si>
  <si>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</si>
  <si>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</si>
  <si>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</si>
  <si>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</si>
  <si>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</si>
  <si>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</si>
  <si>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</si>
  <si>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</si>
  <si>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</si>
  <si>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</si>
  <si>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</si>
  <si>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</si>
  <si>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</si>
  <si>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</si>
  <si>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</si>
  <si>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</si>
  <si>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</si>
  <si>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</si>
  <si>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</si>
  <si>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</si>
  <si>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</si>
  <si>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</si>
  <si>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</si>
  <si>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</si>
  <si>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</si>
  <si>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</si>
  <si>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</si>
  <si>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</si>
  <si>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</si>
  <si>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</si>
  <si>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</si>
  <si>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</si>
  <si>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</si>
  <si>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</si>
  <si>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</si>
  <si>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</si>
  <si>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</si>
  <si>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</si>
  <si>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</si>
  <si>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</si>
  <si>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</si>
  <si>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</si>
  <si>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</si>
  <si>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</si>
  <si>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</si>
  <si>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</si>
  <si>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</si>
  <si>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</si>
  <si>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</si>
  <si>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</si>
  <si>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</si>
  <si>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</si>
  <si>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</si>
  <si>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</si>
  <si>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</si>
  <si>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</si>
  <si>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</si>
  <si>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</si>
  <si>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</si>
  <si>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</si>
  <si>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</si>
  <si>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</si>
  <si>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</si>
  <si>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</si>
  <si>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</si>
  <si>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</si>
  <si>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</si>
  <si>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</si>
  <si>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</si>
  <si>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</si>
  <si>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</si>
  <si>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</si>
  <si>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</si>
  <si>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</si>
  <si>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</si>
  <si>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</si>
  <si>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</si>
  <si>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</si>
  <si>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</si>
  <si>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</si>
  <si>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</si>
  <si>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</si>
  <si>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</si>
  <si>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</si>
  <si>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</si>
  <si>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</si>
  <si>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</si>
  <si>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</si>
  <si>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</si>
  <si>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</si>
  <si>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</si>
  <si>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</si>
  <si>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</si>
  <si>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</si>
  <si>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</si>
  <si>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</si>
  <si>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</si>
  <si>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</si>
  <si>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</si>
  <si>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</si>
  <si>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</si>
  <si>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</si>
  <si>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</si>
  <si>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</si>
  <si>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</si>
  <si>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</si>
  <si>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</si>
  <si>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</si>
  <si>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</si>
  <si>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</si>
  <si>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</si>
  <si>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</si>
  <si>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</si>
  <si>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</si>
  <si>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</si>
  <si>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</si>
  <si>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</si>
  <si>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</si>
  <si>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</si>
  <si>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</si>
  <si>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</si>
  <si>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</si>
  <si>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</si>
  <si>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</si>
  <si>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</si>
  <si>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</si>
  <si>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</si>
  <si>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</si>
  <si>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</si>
  <si>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</si>
  <si>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</si>
  <si>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</si>
  <si>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</si>
  <si>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</si>
  <si>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</si>
  <si>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</si>
  <si>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</si>
  <si>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</si>
  <si>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</si>
  <si>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</si>
  <si>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</si>
  <si>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</si>
  <si>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</si>
  <si>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</si>
  <si>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5 DIAS HABILES</t>
  </si>
  <si>
    <t>CUB C/R FRENTE 90° R6</t>
  </si>
  <si>
    <t>GRANITO KOMBI</t>
  </si>
  <si>
    <t>MAIRA ORTIZ</t>
  </si>
  <si>
    <t>+569 97039900</t>
  </si>
  <si>
    <t>N° 11276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</si>
</sst>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7" fontId="11" fillId="0" borderId="58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222559</xdr:rowOff>
    </xdr:from>
    <xdr:to>
      <xdr:col>5</xdr:col>
      <xdr:colOff>1659644</xdr:colOff>
      <xdr:row>26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1527"/>
          <a:ext cx="6502032" cy="6787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UNIÓN DE CUBIERTA VA AL LADO IZQUIERDO MIRANDOLO DESDE EL FRENTE.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ABONO 04/02/2025 - TRANSFERENCIA $65.000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1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4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45692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9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0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61083.568075117379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5">
        <v>1</v>
      </c>
      <c r="C21" s="326" t="s">
        <v>169</v>
      </c>
      <c r="D21" s="327">
        <v>3.5</v>
      </c>
      <c r="E21" s="327">
        <v>0.6</v>
      </c>
      <c r="F21" s="326" t="s">
        <v>170</v>
      </c>
      <c r="G21" s="328">
        <f>P21</f>
        <v>130108.00000000001</v>
      </c>
      <c r="H21" s="329">
        <f t="shared" ref="H21" si="1">G21*B21</f>
        <v>130108.00000000001</v>
      </c>
      <c r="I21" s="265"/>
      <c r="J21" s="47"/>
      <c r="K21" s="322">
        <f t="shared" ref="K21" si="2">B21</f>
        <v>1</v>
      </c>
      <c r="L21" s="323">
        <f t="shared" ref="L21" si="3">D21+L$19</f>
        <v>3.55</v>
      </c>
      <c r="M21" s="323">
        <f t="shared" ref="M21" si="4">E21+M$19</f>
        <v>0.6</v>
      </c>
      <c r="N21" s="261">
        <f t="shared" ref="N21" si="5">L21*M21</f>
        <v>2.13</v>
      </c>
      <c r="O21" s="259">
        <f t="shared" ref="O21" si="6">N21*K21</f>
        <v>2.13</v>
      </c>
      <c r="P21" s="252">
        <f>P$20*N21</f>
        <v>130108.00000000001</v>
      </c>
      <c r="Q21" s="258">
        <f t="shared" ref="Q21" si="7">P21+Q$20</f>
        <v>133108</v>
      </c>
      <c r="R21" s="308">
        <f>L21*K21*2</f>
        <v>7.1</v>
      </c>
      <c r="S21" s="46">
        <f>L21*K21</f>
        <v>3.55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1"/>
      <c r="H22" s="321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130108.00000000001</v>
      </c>
      <c r="I24" s="265"/>
      <c r="J24" s="47"/>
      <c r="K24" s="47"/>
      <c r="L24" s="39">
        <f>SUM(L21:L23)</f>
        <v>3.55</v>
      </c>
      <c r="M24" s="39"/>
      <c r="N24" s="261"/>
      <c r="O24" s="259"/>
      <c r="P24" s="252"/>
      <c r="Q24" s="258"/>
      <c r="R24" s="308"/>
      <c r="S24" s="46">
        <f>SUM(S21:S23)</f>
        <v>3.55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H24*0.19</f>
        <v>24720.520000000004</v>
      </c>
      <c r="I25" s="265"/>
      <c r="J25" s="47"/>
      <c r="K25" s="47"/>
      <c r="L25" s="39"/>
      <c r="M25" s="12"/>
      <c r="N25" s="12"/>
      <c r="O25" s="253">
        <f>SUM(O21:O21)</f>
        <v>2.13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154828.52000000002</v>
      </c>
      <c r="I26" s="265"/>
      <c r="J26" s="47"/>
      <c r="K26" s="47"/>
      <c r="L26" s="39"/>
      <c r="M26" s="12"/>
      <c r="N26" s="12"/>
      <c r="O26" s="253">
        <f>O25</f>
        <v>2.13</v>
      </c>
      <c r="P26" s="14"/>
      <c r="Q26" s="12"/>
      <c r="R26" s="239">
        <f>SUM(R21:R25)</f>
        <v>7.1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0.42599999999999999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2.556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2.556</v>
      </c>
      <c r="M30" s="12">
        <v>2500</v>
      </c>
      <c r="N30" s="12">
        <f t="shared" ref="N30:N35" si="8">L30*M30</f>
        <v>6390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0.7</v>
      </c>
      <c r="M31" s="12">
        <v>25000</v>
      </c>
      <c r="N31" s="12">
        <f t="shared" si="8"/>
        <v>17500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1.5</v>
      </c>
      <c r="M33" s="250">
        <v>20000</v>
      </c>
      <c r="N33" s="12">
        <f t="shared" si="8"/>
        <v>30000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>
        <v>3.5</v>
      </c>
      <c r="M35" s="12">
        <v>1500</v>
      </c>
      <c r="N35" s="12">
        <f t="shared" si="8"/>
        <v>5250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59140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130108.00000000001</v>
      </c>
      <c r="O37" s="14" t="s">
        <v>141</v>
      </c>
      <c r="P37" s="14"/>
      <c r="Q37" s="40">
        <f>O28/Q36</f>
        <v>0.68917169974115622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49340</v>
      </c>
      <c r="K38" s="250"/>
      <c r="L38" s="14"/>
      <c r="M38" s="12"/>
      <c r="N38" s="12">
        <f>N37/O26</f>
        <v>61083.568075117379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41462.184873949584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45692</v>
      </c>
    </row>
    <row r="6" spans="2:31" ht="16.2" thickBot="1" x14ac:dyDescent="0.35">
      <c r="B6" s="140" t="s">
        <v>2</v>
      </c>
      <c r="C6" s="139" t="str">
        <f>'2229'!C10</f>
        <v>MAIRA ORTIZ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-6910.5417001207752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130108.00000000001</v>
      </c>
      <c r="E11" s="132">
        <f>D11*0.19</f>
        <v>24720.520000000004</v>
      </c>
      <c r="F11" s="131">
        <f>E11+D11</f>
        <v>154828.52000000002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99079.458299879218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53724.090787439614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81079.458299879218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76383.909212560393</v>
      </c>
      <c r="E13" s="221">
        <f>(D11/D12)-1</f>
        <v>1.4217813292508716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72079.458299879218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33079.458299879225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88644.749799275363</v>
      </c>
      <c r="F15" s="216">
        <f>E15-D12</f>
        <v>34920.659011835749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33079.458299879225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73079.458299879218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6390</v>
      </c>
      <c r="E20" s="121">
        <f>D20*0.19</f>
        <v>1214.0999999999999</v>
      </c>
      <c r="F20" s="120">
        <f>SUM(D20:E20)</f>
        <v>7604.1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23890</v>
      </c>
      <c r="E21" s="116">
        <f>SUM(E18:E20)</f>
        <v>4539.1000000000004</v>
      </c>
      <c r="F21" s="115">
        <f>SUM(F18:F20)</f>
        <v>28429.1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20181.420000000006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130108.00000000001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23890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76383.909212560393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76383.909212560393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2025-02-04T15:12:23Z</cp:lastPrinted>
  <dcterms:created xsi:type="dcterms:W3CDTF">2013-03-18T13:35:42Z</dcterms:created>
  <dcterms:modified xsi:type="dcterms:W3CDTF">2025-02-06T16:14:39Z</dcterms:modified>
</cp:coreProperties>
</file>