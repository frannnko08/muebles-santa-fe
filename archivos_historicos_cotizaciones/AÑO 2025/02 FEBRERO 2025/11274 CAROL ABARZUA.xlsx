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2 FEBRERO 2025\"/>
    </mc:Choice>
  </mc:AlternateContent>
  <xr:revisionPtr revIDLastSave="0" documentId="13_ncr:1_{FB04E829-5A92-44B0-A405-53A87534E5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K24" i="1"/>
  <c r="K21" i="1"/>
  <c r="H22" i="1"/>
  <c r="H23" i="1"/>
  <c r="K22" i="1"/>
  <c r="L22" i="1"/>
  <c r="N22" i="1" s="1"/>
  <c r="M22" i="1"/>
  <c r="K23" i="1"/>
  <c r="L23" i="1"/>
  <c r="M23" i="1"/>
  <c r="O22" i="1" l="1"/>
  <c r="R22" i="1"/>
  <c r="N23" i="1"/>
  <c r="O23" i="1" s="1"/>
  <c r="S22" i="1"/>
  <c r="S23" i="1"/>
  <c r="R23" i="1"/>
  <c r="H21" i="1" l="1"/>
  <c r="H27" i="1" s="1"/>
  <c r="J42" i="1"/>
  <c r="L21" i="1"/>
  <c r="M21" i="1"/>
  <c r="L27" i="1" l="1"/>
  <c r="S21" i="1"/>
  <c r="R21" i="1"/>
  <c r="N21" i="1"/>
  <c r="O21" i="1" s="1"/>
  <c r="O28" i="1" s="1"/>
  <c r="U35" i="1"/>
  <c r="U36" i="1" s="1"/>
  <c r="R29" i="1" l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Q23" i="1" s="1"/>
  <c r="P22" i="1"/>
  <c r="Q22" i="1" s="1"/>
  <c r="P21" i="1"/>
  <c r="F15" i="3"/>
  <c r="Q21" i="1" l="1"/>
  <c r="H28" i="1" s="1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<sst xmlns="http://schemas.openxmlformats.org/spreadsheetml/2006/main" count="235" uniqueCount="176">
  <si>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</si>
  <si>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</si>
  <si>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</si>
  <si>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</si>
  <si>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</si>
  <si>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</si>
  <si>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</si>
  <si>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</si>
  <si>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</si>
  <si>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</si>
  <si>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</si>
  <si>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</si>
  <si>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</si>
  <si>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</si>
  <si>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</si>
  <si>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</si>
  <si>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</si>
  <si>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</si>
  <si>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</si>
  <si>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</si>
  <si>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</si>
  <si>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</si>
  <si>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</si>
  <si>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</si>
  <si>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</si>
  <si>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</si>
  <si>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</si>
  <si>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</si>
  <si>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</si>
  <si>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</si>
  <si>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</si>
  <si>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</si>
  <si>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</si>
  <si>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</si>
  <si>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</si>
  <si>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</si>
  <si>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</si>
  <si>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</si>
  <si>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</si>
  <si>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</si>
  <si>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</si>
  <si>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</si>
  <si>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</si>
  <si>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</si>
  <si>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</si>
  <si>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</si>
  <si>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</si>
  <si>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</si>
  <si>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</si>
  <si>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</si>
  <si>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</si>
  <si>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</si>
  <si>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</si>
  <si>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</si>
  <si>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</si>
  <si>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</si>
  <si>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</si>
  <si>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</si>
  <si>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</si>
  <si>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</si>
  <si>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</si>
  <si>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</si>
  <si>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</si>
  <si>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</si>
  <si>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</si>
  <si>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</si>
  <si>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</si>
  <si>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</si>
  <si>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</si>
  <si>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</si>
  <si>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</si>
  <si>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</si>
  <si>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</si>
  <si>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</si>
  <si>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</si>
  <si>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</si>
  <si>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</si>
  <si>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</si>
  <si>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</si>
  <si>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</si>
  <si>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</si>
  <si>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</si>
  <si>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</si>
  <si>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</si>
  <si>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</si>
  <si>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</si>
  <si>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</si>
  <si>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</si>
  <si>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</si>
  <si>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</si>
  <si>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</si>
  <si>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</si>
  <si>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</si>
  <si>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</si>
  <si>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</si>
  <si>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</si>
  <si>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</si>
  <si>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</si>
  <si>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</si>
  <si>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</si>
  <si>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</si>
  <si>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</si>
  <si>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</si>
  <si>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</si>
  <si>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</si>
  <si>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</si>
  <si>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</si>
  <si>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</si>
  <si>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</si>
  <si>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</si>
  <si>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</si>
  <si>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</si>
  <si>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</si>
  <si>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</si>
  <si>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</si>
  <si>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</si>
  <si>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</si>
  <si>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</si>
  <si>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</si>
  <si>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</si>
  <si>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</si>
  <si>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</si>
  <si>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</si>
  <si>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</si>
  <si>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</si>
  <si>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</si>
  <si>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</si>
  <si>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</si>
  <si>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</si>
  <si>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</si>
  <si>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</si>
  <si>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</si>
  <si>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</si>
  <si>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</si>
  <si>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</si>
  <si>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</si>
  <si>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</si>
  <si>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</si>
  <si>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</si>
  <si>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</si>
  <si>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</si>
  <si>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</si>
  <si>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</si>
  <si>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</si>
  <si>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</si>
  <si>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</si>
  <si>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</si>
  <si>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</si>
  <si>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</si>
  <si>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</si>
  <si>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</si>
  <si>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</si>
  <si>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</si>
  <si>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</si>
  <si>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</si>
  <si>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</si>
  <si>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</si>
  <si>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</si>
  <si>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</si>
  <si>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</si>
  <si>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</si>
  <si>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</si>
  <si>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</si>
  <si>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</si>
  <si>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</si>
  <si>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</si>
  <si>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ESKELETOR</t>
  </si>
  <si>
    <t>SANTIAGO</t>
  </si>
  <si>
    <t>N° 11274</t>
  </si>
  <si>
    <t>CAROL ABARZUA</t>
  </si>
  <si>
    <t>569 9670 9311</t>
  </si>
  <si>
    <t>5 DIAS HABILES</t>
  </si>
  <si>
    <t>BLACK SF</t>
  </si>
  <si>
    <t>CUB C/R FRENTE 180°</t>
  </si>
  <si>
    <t>CUB MESA 2L 180°</t>
  </si>
  <si>
    <t>CORTE 45° Y DESFONDADO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</si>
</sst>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167" fontId="11" fillId="0" borderId="6" xfId="2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9" t="s">
        <v>168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169</v>
      </c>
      <c r="D10" s="243"/>
      <c r="E10" s="243"/>
      <c r="F10" s="244" t="s">
        <v>0</v>
      </c>
      <c r="G10" s="277">
        <v>45692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171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4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5" t="s">
        <v>170</v>
      </c>
      <c r="D15" s="295"/>
      <c r="E15" s="247"/>
      <c r="F15" s="247" t="s">
        <v>135</v>
      </c>
      <c r="G15" s="296" t="s">
        <v>136</v>
      </c>
      <c r="H15" s="248"/>
      <c r="K15" s="18" t="s">
        <v>166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167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73115.334460275306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31">
        <v>1</v>
      </c>
      <c r="C21" s="331" t="s">
        <v>173</v>
      </c>
      <c r="D21" s="332">
        <v>0.98</v>
      </c>
      <c r="E21" s="332">
        <v>0.505</v>
      </c>
      <c r="F21" s="331" t="s">
        <v>172</v>
      </c>
      <c r="G21" s="322">
        <v>41031</v>
      </c>
      <c r="H21" s="323">
        <f t="shared" ref="H21:H24" si="1">G21*B21</f>
        <v>41031</v>
      </c>
      <c r="I21" s="265"/>
      <c r="J21" s="47"/>
      <c r="K21" s="327">
        <f t="shared" ref="K21:K24" si="2">B21</f>
        <v>1</v>
      </c>
      <c r="L21" s="328">
        <f t="shared" ref="L21" si="3">D21+L$19</f>
        <v>1.03</v>
      </c>
      <c r="M21" s="328">
        <f t="shared" ref="M21" si="4">E21+M$19</f>
        <v>0.505</v>
      </c>
      <c r="N21" s="261">
        <f t="shared" ref="N21" si="5">L21*M21</f>
        <v>0.52015</v>
      </c>
      <c r="O21" s="259">
        <f t="shared" ref="O21" si="6">N21*K21</f>
        <v>0.52015</v>
      </c>
      <c r="P21" s="252">
        <f>P$20*N21</f>
        <v>38030.941219512199</v>
      </c>
      <c r="Q21" s="258">
        <f t="shared" ref="Q21" si="7">P21+Q$20</f>
        <v>41030.941219512199</v>
      </c>
      <c r="R21" s="308">
        <f>L21*K21*2</f>
        <v>2.06</v>
      </c>
      <c r="S21" s="46">
        <f>M21*K21*2</f>
        <v>1.01</v>
      </c>
      <c r="T21" s="9"/>
      <c r="W21" s="4"/>
    </row>
    <row r="22" spans="2:24" ht="18" thickBot="1" x14ac:dyDescent="0.35">
      <c r="B22" s="331">
        <v>1</v>
      </c>
      <c r="C22" s="331" t="s">
        <v>173</v>
      </c>
      <c r="D22" s="332">
        <v>2.2999999999999998</v>
      </c>
      <c r="E22" s="332">
        <v>0.505</v>
      </c>
      <c r="F22" s="331" t="s">
        <v>172</v>
      </c>
      <c r="G22" s="330">
        <v>89770</v>
      </c>
      <c r="H22" s="323">
        <f t="shared" si="1"/>
        <v>89770</v>
      </c>
      <c r="I22" s="265"/>
      <c r="J22" s="47"/>
      <c r="K22" s="327">
        <f t="shared" si="2"/>
        <v>1</v>
      </c>
      <c r="L22" s="328">
        <f t="shared" ref="L22:L23" si="8">D22+L$19</f>
        <v>2.3499999999999996</v>
      </c>
      <c r="M22" s="328">
        <f t="shared" ref="M22:M23" si="9">E22+M$19</f>
        <v>0.505</v>
      </c>
      <c r="N22" s="261">
        <f t="shared" ref="N22:N23" si="10">L22*M22</f>
        <v>1.1867499999999997</v>
      </c>
      <c r="O22" s="259">
        <f t="shared" ref="O22:O23" si="11">N22*K22</f>
        <v>1.1867499999999997</v>
      </c>
      <c r="P22" s="252">
        <f t="shared" ref="P22:P23" si="12">P$20*N22</f>
        <v>86769.623170731706</v>
      </c>
      <c r="Q22" s="258">
        <f t="shared" ref="Q22:Q23" si="13">P22+Q$20</f>
        <v>89769.623170731706</v>
      </c>
      <c r="R22" s="308">
        <f t="shared" ref="R22:R23" si="14">L22*K22*2</f>
        <v>4.6999999999999993</v>
      </c>
      <c r="S22" s="46">
        <f t="shared" ref="S22:S23" si="15">M22*K22*2</f>
        <v>1.01</v>
      </c>
      <c r="T22" s="9"/>
      <c r="W22" s="4"/>
    </row>
    <row r="23" spans="2:24" ht="18" thickBot="1" x14ac:dyDescent="0.35">
      <c r="B23" s="331">
        <v>1</v>
      </c>
      <c r="C23" s="331" t="s">
        <v>174</v>
      </c>
      <c r="D23" s="332">
        <v>1.6950000000000001</v>
      </c>
      <c r="E23" s="332">
        <v>0.505</v>
      </c>
      <c r="F23" s="331" t="s">
        <v>172</v>
      </c>
      <c r="G23" s="330">
        <v>67431</v>
      </c>
      <c r="H23" s="323">
        <f t="shared" si="1"/>
        <v>67431</v>
      </c>
      <c r="I23" s="265"/>
      <c r="J23" s="47"/>
      <c r="K23" s="327">
        <f t="shared" si="2"/>
        <v>1</v>
      </c>
      <c r="L23" s="328">
        <f t="shared" si="8"/>
        <v>1.7450000000000001</v>
      </c>
      <c r="M23" s="328">
        <f t="shared" si="9"/>
        <v>0.505</v>
      </c>
      <c r="N23" s="261">
        <f t="shared" si="10"/>
        <v>0.88122500000000004</v>
      </c>
      <c r="O23" s="259">
        <f t="shared" si="11"/>
        <v>0.88122500000000004</v>
      </c>
      <c r="P23" s="252">
        <f t="shared" si="12"/>
        <v>64431.06060975611</v>
      </c>
      <c r="Q23" s="258">
        <f t="shared" si="13"/>
        <v>67431.06060975611</v>
      </c>
      <c r="R23" s="308">
        <f t="shared" si="14"/>
        <v>3.49</v>
      </c>
      <c r="S23" s="46">
        <f t="shared" si="15"/>
        <v>1.01</v>
      </c>
      <c r="T23" s="9"/>
      <c r="W23" s="4"/>
    </row>
    <row r="24" spans="2:24" ht="17.399999999999999" x14ac:dyDescent="0.3">
      <c r="B24" s="331">
        <v>1</v>
      </c>
      <c r="C24" s="331" t="s">
        <v>175</v>
      </c>
      <c r="D24" s="332"/>
      <c r="E24" s="332"/>
      <c r="F24" s="331"/>
      <c r="G24" s="345">
        <v>25000</v>
      </c>
      <c r="H24" s="323">
        <f t="shared" si="1"/>
        <v>25000</v>
      </c>
      <c r="I24" s="265"/>
      <c r="J24" s="47"/>
      <c r="K24" s="327">
        <f t="shared" si="2"/>
        <v>1</v>
      </c>
      <c r="L24" s="328"/>
      <c r="M24" s="328"/>
      <c r="N24" s="261"/>
      <c r="O24" s="259"/>
      <c r="P24" s="252"/>
      <c r="Q24" s="258"/>
      <c r="R24" s="30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26"/>
      <c r="H25" s="326"/>
      <c r="I25" s="265"/>
      <c r="J25" s="47"/>
      <c r="K25" s="47"/>
      <c r="L25" s="39"/>
      <c r="M25" s="39"/>
      <c r="N25" s="261"/>
      <c r="O25" s="259"/>
      <c r="P25" s="252"/>
      <c r="Q25" s="258"/>
      <c r="R25" s="30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29</v>
      </c>
      <c r="H27" s="310">
        <f>SUM(H21:H26)</f>
        <v>223232</v>
      </c>
      <c r="I27" s="265"/>
      <c r="J27" s="47"/>
      <c r="K27" s="47"/>
      <c r="L27" s="39">
        <f>SUM(L21:L26)</f>
        <v>5.125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52</v>
      </c>
      <c r="H28" s="304">
        <f>H27*19%</f>
        <v>42414.080000000002</v>
      </c>
      <c r="I28" s="265"/>
      <c r="J28" s="47"/>
      <c r="K28" s="47"/>
      <c r="L28" s="39"/>
      <c r="M28" s="12"/>
      <c r="N28" s="12"/>
      <c r="O28" s="253">
        <f>SUM(O21:O23)</f>
        <v>2.5881249999999998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265646.08000000002</v>
      </c>
      <c r="I29" s="265"/>
      <c r="J29" s="47"/>
      <c r="K29" s="47"/>
      <c r="L29" s="39"/>
      <c r="M29" s="12"/>
      <c r="N29" s="12"/>
      <c r="O29" s="253">
        <f>O28</f>
        <v>2.5881249999999998</v>
      </c>
      <c r="P29" s="14"/>
      <c r="Q29" s="12"/>
      <c r="R29" s="239">
        <f>SUM(R21:R28)</f>
        <v>10.25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0.517625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3.1057499999999996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15" t="s">
        <v>22</v>
      </c>
      <c r="U32" s="312" t="s">
        <v>153</v>
      </c>
      <c r="V32" s="316">
        <v>44971</v>
      </c>
      <c r="W32" s="31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3.1057499999999996</v>
      </c>
      <c r="M33" s="12">
        <v>2500</v>
      </c>
      <c r="N33" s="12">
        <f t="shared" ref="N33:N38" si="16">L33*M33</f>
        <v>7764.3749999999991</v>
      </c>
      <c r="O33" s="14" t="s">
        <v>22</v>
      </c>
      <c r="P33" s="14"/>
      <c r="Q33" s="14"/>
      <c r="R33" s="241"/>
      <c r="S33" s="14"/>
      <c r="T33" s="315" t="s">
        <v>154</v>
      </c>
      <c r="U33" s="312">
        <v>3625</v>
      </c>
      <c r="V33" s="59" t="s">
        <v>155</v>
      </c>
      <c r="W33" s="31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1</v>
      </c>
      <c r="M34" s="12">
        <v>25000</v>
      </c>
      <c r="N34" s="12">
        <f t="shared" si="16"/>
        <v>25000</v>
      </c>
      <c r="O34" s="39" t="s">
        <v>32</v>
      </c>
      <c r="P34" s="42"/>
      <c r="Q34" s="14"/>
      <c r="R34" s="240"/>
      <c r="S34" s="14"/>
      <c r="T34" s="315"/>
      <c r="U34" s="59">
        <v>906.25</v>
      </c>
      <c r="V34" s="59" t="s">
        <v>156</v>
      </c>
      <c r="W34" s="317"/>
    </row>
    <row r="35" spans="2:23" s="230" customFormat="1" ht="17.399999999999999" x14ac:dyDescent="0.35">
      <c r="I35" s="262"/>
      <c r="J35" s="232"/>
      <c r="K35" s="250"/>
      <c r="L35" s="14"/>
      <c r="M35" s="250">
        <v>34000</v>
      </c>
      <c r="N35" s="12">
        <f t="shared" si="16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1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2</v>
      </c>
      <c r="M36" s="250">
        <v>24000</v>
      </c>
      <c r="N36" s="12">
        <f t="shared" si="16"/>
        <v>48000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1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6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03"/>
      <c r="K38" s="250"/>
      <c r="L38" s="266">
        <v>3.5</v>
      </c>
      <c r="M38" s="12">
        <v>1500</v>
      </c>
      <c r="N38" s="12">
        <f t="shared" si="16"/>
        <v>5250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86014.375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189231.62500000003</v>
      </c>
      <c r="O40" s="14" t="s">
        <v>141</v>
      </c>
      <c r="P40" s="14"/>
      <c r="Q40" s="40">
        <f>O31/Q39</f>
        <v>0.83740023727351154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49340</v>
      </c>
      <c r="K41" s="250"/>
      <c r="L41" s="14"/>
      <c r="M41" s="12"/>
      <c r="N41" s="12">
        <f>N40/O29</f>
        <v>73115.334460275306</v>
      </c>
      <c r="O41" s="45" t="s">
        <v>25</v>
      </c>
      <c r="P41" s="14"/>
      <c r="Q41" s="14"/>
      <c r="R41"/>
      <c r="S41" s="238"/>
      <c r="T41" s="59" t="s">
        <v>159</v>
      </c>
      <c r="U41" s="312">
        <v>43650</v>
      </c>
    </row>
    <row r="42" spans="2:23" s="230" customFormat="1" ht="17.399999999999999" x14ac:dyDescent="0.35">
      <c r="G42"/>
      <c r="J42" s="230">
        <f>J41/1.19</f>
        <v>41462.184873949584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1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1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45692</v>
      </c>
    </row>
    <row r="6" spans="2:31" ht="16.2" thickBot="1" x14ac:dyDescent="0.35">
      <c r="B6" s="140" t="s">
        <v>2</v>
      </c>
      <c r="C6" s="139" t="str">
        <f>'2229'!C10</f>
        <v>CAROL ABARZUA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11274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-19990.755241787439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223232</v>
      </c>
      <c r="E11" s="132">
        <f>D11*0.19</f>
        <v>42414.080000000002</v>
      </c>
      <c r="F11" s="131">
        <f>E11+D11</f>
        <v>265646.08000000002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85999.244758212561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62598.465787439614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67999.244758212561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160633.53421256039</v>
      </c>
      <c r="E13" s="221">
        <f>(D11/D12)-1</f>
        <v>2.5660937882728669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58999.244758212561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19999.244758212561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103287.46854927536</v>
      </c>
      <c r="F15" s="216">
        <f>E15-D12</f>
        <v>40689.002761835749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19999.244758212561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59999.244758212561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7764.3749999999991</v>
      </c>
      <c r="E20" s="121">
        <f>D20*0.19</f>
        <v>1475.2312499999998</v>
      </c>
      <c r="F20" s="120">
        <f>SUM(D20:E20)</f>
        <v>9239.6062499999989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32764.375</v>
      </c>
      <c r="E21" s="116">
        <f>SUM(E18:E20)</f>
        <v>6225.2312499999998</v>
      </c>
      <c r="F21" s="115">
        <f>SUM(F18:F20)</f>
        <v>38989.606249999997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36188.848750000005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223232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32764.375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160633.53421256039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160633.53421256039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2025-02-03T20:06:45Z</cp:lastPrinted>
  <dcterms:created xsi:type="dcterms:W3CDTF">2013-03-18T13:35:42Z</dcterms:created>
  <dcterms:modified xsi:type="dcterms:W3CDTF">2025-02-04T19:33:27Z</dcterms:modified>
</cp:coreProperties>
</file>