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D5A7A078-64BA-4BDD-B730-9CEB927972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H29" i="1"/>
  <c r="K31" i="1"/>
  <c r="K30" i="1"/>
  <c r="K29" i="1"/>
  <c r="M31" i="1"/>
  <c r="L31" i="1"/>
  <c r="N31" i="1" s="1"/>
  <c r="L30" i="1"/>
  <c r="M30" i="1"/>
  <c r="M29" i="1"/>
  <c r="L29" i="1"/>
  <c r="K25" i="1"/>
  <c r="K26" i="1"/>
  <c r="K27" i="1"/>
  <c r="K28" i="1"/>
  <c r="K32" i="1"/>
  <c r="K33" i="1"/>
  <c r="K34" i="1"/>
  <c r="H22" i="1"/>
  <c r="K22" i="1"/>
  <c r="L22" i="1"/>
  <c r="M22" i="1"/>
  <c r="N22" i="1" s="1"/>
  <c r="K23" i="1"/>
  <c r="L23" i="1"/>
  <c r="M23" i="1"/>
  <c r="K24" i="1"/>
  <c r="L24" i="1"/>
  <c r="M24" i="1"/>
  <c r="K21" i="1"/>
  <c r="H37" i="1"/>
  <c r="H36" i="1"/>
  <c r="H35" i="1"/>
  <c r="M36" i="1"/>
  <c r="L36" i="1"/>
  <c r="M35" i="1"/>
  <c r="L35" i="1"/>
  <c r="H34" i="1"/>
  <c r="H33" i="1"/>
  <c r="H32" i="1"/>
  <c r="L25" i="1"/>
  <c r="M25" i="1"/>
  <c r="L26" i="1"/>
  <c r="M26" i="1"/>
  <c r="L27" i="1"/>
  <c r="M27" i="1"/>
  <c r="L28" i="1"/>
  <c r="M28" i="1"/>
  <c r="L32" i="1"/>
  <c r="M32" i="1"/>
  <c r="L33" i="1"/>
  <c r="M33" i="1"/>
  <c r="L34" i="1"/>
  <c r="M34" i="1"/>
  <c r="H23" i="1"/>
  <c r="H24" i="1"/>
  <c r="H25" i="1"/>
  <c r="H26" i="1"/>
  <c r="H27" i="1"/>
  <c r="H28" i="1"/>
  <c r="N29" i="1" l="1"/>
  <c r="N30" i="1"/>
  <c r="O22" i="1"/>
  <c r="O31" i="1"/>
  <c r="O29" i="1"/>
  <c r="N33" i="1"/>
  <c r="O33" i="1" s="1"/>
  <c r="N36" i="1"/>
  <c r="O36" i="1" s="1"/>
  <c r="O30" i="1"/>
  <c r="R31" i="1"/>
  <c r="R30" i="1"/>
  <c r="R29" i="1"/>
  <c r="N23" i="1"/>
  <c r="O23" i="1" s="1"/>
  <c r="N34" i="1"/>
  <c r="O34" i="1" s="1"/>
  <c r="R23" i="1"/>
  <c r="N28" i="1"/>
  <c r="O28" i="1" s="1"/>
  <c r="R27" i="1"/>
  <c r="R34" i="1"/>
  <c r="N24" i="1"/>
  <c r="O24" i="1" s="1"/>
  <c r="N25" i="1"/>
  <c r="O25" i="1" s="1"/>
  <c r="R24" i="1"/>
  <c r="R28" i="1"/>
  <c r="N26" i="1"/>
  <c r="O26" i="1" s="1"/>
  <c r="R35" i="1"/>
  <c r="N32" i="1"/>
  <c r="O32" i="1" s="1"/>
  <c r="N27" i="1"/>
  <c r="O27" i="1" s="1"/>
  <c r="R25" i="1"/>
  <c r="N35" i="1"/>
  <c r="O35" i="1" s="1"/>
  <c r="R32" i="1"/>
  <c r="R33" i="1"/>
  <c r="R26" i="1"/>
  <c r="J54" i="1"/>
  <c r="L21" i="1"/>
  <c r="R21" i="1" s="1"/>
  <c r="M21" i="1"/>
  <c r="L39" i="1" l="1"/>
  <c r="S21" i="1"/>
  <c r="N21" i="1"/>
  <c r="O21" i="1" s="1"/>
  <c r="O40" i="1" s="1"/>
  <c r="U47" i="1"/>
  <c r="U48" i="1" s="1"/>
  <c r="R41" i="1" l="1"/>
  <c r="N46" i="1"/>
  <c r="O41" i="1" l="1"/>
  <c r="O42" i="1" s="1"/>
  <c r="O43" i="1" s="1"/>
  <c r="L45" i="1" s="1"/>
  <c r="M20" i="1"/>
  <c r="K20" i="1"/>
  <c r="N47" i="1" l="1"/>
  <c r="Q51" i="1"/>
  <c r="N4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0" i="1"/>
  <c r="N49" i="1"/>
  <c r="F18" i="3" l="1"/>
  <c r="N45" i="1" l="1"/>
  <c r="Q52" i="1"/>
  <c r="N51" i="1" l="1"/>
  <c r="N52" i="1" s="1"/>
  <c r="D20" i="3"/>
  <c r="E20" i="3" s="1"/>
  <c r="E21" i="3" s="1"/>
  <c r="N54" i="1" l="1"/>
  <c r="D21" i="3"/>
  <c r="M43" i="3" s="1"/>
  <c r="D12" i="3" s="1"/>
  <c r="F20" i="3"/>
  <c r="F21" i="3" s="1"/>
  <c r="N53" i="1" l="1"/>
  <c r="P20" i="1" s="1"/>
  <c r="E15" i="3"/>
  <c r="P31" i="1" l="1"/>
  <c r="Q31" i="1" s="1"/>
  <c r="P30" i="1"/>
  <c r="Q30" i="1" s="1"/>
  <c r="P29" i="1"/>
  <c r="Q29" i="1" s="1"/>
  <c r="P23" i="1"/>
  <c r="Q23" i="1" s="1"/>
  <c r="P22" i="1"/>
  <c r="Q22" i="1" s="1"/>
  <c r="P24" i="1"/>
  <c r="Q24" i="1" s="1"/>
  <c r="P35" i="1"/>
  <c r="Q35" i="1" s="1"/>
  <c r="P36" i="1"/>
  <c r="Q36" i="1" s="1"/>
  <c r="P25" i="1"/>
  <c r="Q25" i="1" s="1"/>
  <c r="P32" i="1"/>
  <c r="Q32" i="1" s="1"/>
  <c r="P28" i="1"/>
  <c r="Q28" i="1" s="1"/>
  <c r="P27" i="1"/>
  <c r="Q27" i="1" s="1"/>
  <c r="P34" i="1"/>
  <c r="Q34" i="1" s="1"/>
  <c r="P26" i="1"/>
  <c r="Q26" i="1" s="1"/>
  <c r="P33" i="1"/>
  <c r="Q33" i="1" s="1"/>
  <c r="P21" i="1"/>
  <c r="H21" i="1" s="1"/>
  <c r="H39" i="1" s="1"/>
  <c r="F15" i="3"/>
  <c r="Q21" i="1" l="1"/>
  <c r="D11" i="3" l="1"/>
  <c r="X9" i="3" s="1"/>
  <c r="X15" i="3" s="1"/>
  <c r="H41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<sst xmlns="http://schemas.openxmlformats.org/spreadsheetml/2006/main" count="262" uniqueCount="180">
  <si>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</si>
  <si>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</si>
  <si>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</si>
  <si>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</si>
  <si>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</si>
  <si>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</si>
  <si>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</si>
  <si>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</si>
  <si>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</si>
  <si>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</si>
  <si>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</si>
  <si>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</si>
  <si>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</si>
  <si>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</si>
  <si>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</si>
  <si>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</si>
  <si>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</si>
  <si>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</si>
  <si>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</si>
  <si>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</si>
  <si>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</si>
  <si>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</si>
  <si>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</si>
  <si>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</si>
  <si>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</si>
  <si>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</si>
  <si>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</si>
  <si>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</si>
  <si>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</si>
  <si>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</si>
  <si>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</si>
  <si>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</si>
  <si>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</si>
  <si>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</si>
  <si>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</si>
  <si>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</si>
  <si>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</si>
  <si>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</si>
  <si>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</si>
  <si>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</si>
  <si>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</si>
  <si>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</si>
  <si>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</si>
  <si>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</si>
  <si>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</si>
  <si>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</si>
  <si>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</si>
  <si>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</si>
  <si>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</si>
  <si>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</si>
  <si>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</si>
  <si>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</si>
  <si>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</si>
  <si>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</si>
  <si>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</si>
  <si>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</si>
  <si>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</si>
  <si>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</si>
  <si>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</si>
  <si>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</si>
  <si>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</si>
  <si>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</si>
  <si>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</si>
  <si>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</si>
  <si>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</si>
  <si>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</si>
  <si>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</si>
  <si>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</si>
  <si>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</si>
  <si>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</si>
  <si>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</si>
  <si>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</si>
  <si>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</si>
  <si>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</si>
  <si>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</si>
  <si>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</si>
  <si>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</si>
  <si>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</si>
  <si>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</si>
  <si>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</si>
  <si>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</si>
  <si>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</si>
  <si>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</si>
  <si>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</si>
  <si>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</si>
  <si>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</si>
  <si>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</si>
  <si>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</si>
  <si>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</si>
  <si>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</si>
  <si>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</si>
  <si>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</si>
  <si>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</si>
  <si>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</si>
  <si>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</si>
  <si>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</si>
  <si>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</si>
  <si>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</si>
  <si>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</si>
  <si>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</si>
  <si>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</si>
  <si>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</si>
  <si>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</si>
  <si>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</si>
  <si>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</si>
  <si>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</si>
  <si>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</si>
  <si>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</si>
  <si>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</si>
  <si>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</si>
  <si>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</si>
  <si>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</si>
  <si>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</si>
  <si>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</si>
  <si>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</si>
  <si>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</si>
  <si>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</si>
  <si>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</si>
  <si>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</si>
  <si>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</si>
  <si>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</si>
  <si>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</si>
  <si>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</si>
  <si>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</si>
  <si>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</si>
  <si>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</si>
  <si>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</si>
  <si>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</si>
  <si>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</si>
  <si>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</si>
  <si>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</si>
  <si>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</si>
  <si>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</si>
  <si>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</si>
  <si>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</si>
  <si>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</si>
  <si>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</si>
  <si>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</si>
  <si>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</si>
  <si>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</si>
  <si>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</si>
  <si>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</si>
  <si>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</si>
  <si>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</si>
  <si>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</si>
  <si>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</si>
  <si>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</si>
  <si>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</si>
  <si>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</si>
  <si>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</si>
  <si>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</si>
  <si>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</si>
  <si>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</si>
  <si>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</si>
  <si>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</si>
  <si>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</si>
  <si>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</si>
  <si>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</si>
  <si>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</si>
  <si>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</si>
  <si>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</si>
  <si>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</si>
  <si>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</si>
  <si>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</si>
  <si>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</si>
  <si>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</si>
  <si>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</si>
  <si>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</si>
  <si>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SI</t>
  </si>
  <si>
    <t>N° 11283</t>
  </si>
  <si>
    <t>OSCAR ALMARZA</t>
  </si>
  <si>
    <t>569 4577 9682</t>
  </si>
  <si>
    <t>PR6</t>
  </si>
  <si>
    <t>PURE OAK 10514 SF</t>
  </si>
  <si>
    <t>GALAXIA GRAFITO 0491 MT</t>
  </si>
  <si>
    <t>CENEFA 1V R6</t>
  </si>
  <si>
    <t>CORNISA 180° 1 LADO</t>
  </si>
  <si>
    <t>ZOCALO</t>
  </si>
  <si>
    <t>10 dias habiles</t>
  </si>
  <si>
    <t>STRAIGHT WALNUT 10848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</si>
</sst>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" fillId="21" borderId="0" xfId="0" applyNumberFormat="1" applyFont="1" applyFill="1" applyAlignment="1">
      <alignment horizontal="center"/>
    </xf>
    <xf numFmtId="166" fontId="3" fillId="16" borderId="0" xfId="0" applyNumberFormat="1" applyFont="1" applyFill="1" applyAlignment="1">
      <alignment horizontal="center"/>
    </xf>
    <xf numFmtId="167" fontId="0" fillId="22" borderId="0" xfId="0" applyNumberFormat="1" applyFill="1"/>
    <xf numFmtId="166" fontId="3" fillId="22" borderId="0" xfId="0" applyNumberFormat="1" applyFont="1" applyFill="1"/>
    <xf numFmtId="167" fontId="0" fillId="23" borderId="0" xfId="0" applyNumberFormat="1" applyFill="1"/>
    <xf numFmtId="166" fontId="3" fillId="23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6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43</xdr:row>
      <xdr:rowOff>26670</xdr:rowOff>
    </xdr:from>
    <xdr:to>
      <xdr:col>7</xdr:col>
      <xdr:colOff>1034435</xdr:colOff>
      <xdr:row>46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45</xdr:row>
      <xdr:rowOff>154305</xdr:rowOff>
    </xdr:from>
    <xdr:to>
      <xdr:col>7</xdr:col>
      <xdr:colOff>853440</xdr:colOff>
      <xdr:row>45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43</xdr:row>
      <xdr:rowOff>9525</xdr:rowOff>
    </xdr:from>
    <xdr:to>
      <xdr:col>5</xdr:col>
      <xdr:colOff>1714500</xdr:colOff>
      <xdr:row>46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37</xdr:row>
      <xdr:rowOff>222558</xdr:rowOff>
    </xdr:from>
    <xdr:to>
      <xdr:col>5</xdr:col>
      <xdr:colOff>1659644</xdr:colOff>
      <xdr:row>41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OBSERVACIONES:LAS PUERTAS SE ENTREGAN CON TAPACANTO DE PVC 0,4MM</a:t>
          </a:r>
          <a:r>
            <a:rPr lang="es-CL" sz="1200" b="1" baseline="0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6"/>
  <sheetViews>
    <sheetView tabSelected="1" topLeftCell="A14" zoomScale="93" zoomScaleNormal="93" workbookViewId="0">
      <selection activeCell="I25" sqref="I25"/>
    </sheetView>
  </sheetViews>
  <sheetFormatPr baseColWidth="10" defaultRowHeight="14.4" x14ac:dyDescent="0.3"/>
  <cols>
    <col min="1" max="1" width="6" customWidth="1"/>
    <col min="2" max="2" width="10.5546875" customWidth="1"/>
    <col min="3" max="3" width="25.6640625" customWidth="1"/>
    <col min="4" max="4" width="11.109375" customWidth="1"/>
    <col min="5" max="5" width="10.5546875" customWidth="1"/>
    <col min="6" max="6" width="30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4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170</v>
      </c>
      <c r="D10" s="243"/>
      <c r="E10" s="243"/>
      <c r="F10" s="244" t="s">
        <v>0</v>
      </c>
      <c r="G10" s="277">
        <v>45700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168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7" t="s">
        <v>167</v>
      </c>
      <c r="G17" s="337"/>
      <c r="H17" s="33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9" t="s">
        <v>148</v>
      </c>
      <c r="C19" s="340"/>
      <c r="D19" s="340"/>
      <c r="E19" s="340"/>
      <c r="F19" s="340"/>
      <c r="G19" s="340"/>
      <c r="H19" s="341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N53</f>
        <v>61488.113066457161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9</v>
      </c>
      <c r="C21" s="325" t="s">
        <v>172</v>
      </c>
      <c r="D21" s="326">
        <v>0.7</v>
      </c>
      <c r="E21" s="326">
        <v>0.39700000000000002</v>
      </c>
      <c r="F21" s="325" t="s">
        <v>173</v>
      </c>
      <c r="G21" s="327">
        <v>25153</v>
      </c>
      <c r="H21" s="327">
        <f t="shared" ref="H21:H22" si="1">G21*B21</f>
        <v>226377</v>
      </c>
      <c r="I21" s="265"/>
      <c r="J21" s="47"/>
      <c r="K21" s="47">
        <f>B21</f>
        <v>9</v>
      </c>
      <c r="L21" s="39">
        <f t="shared" ref="L21" si="2">D21+L$19</f>
        <v>0.77999999999999992</v>
      </c>
      <c r="M21" s="39">
        <f t="shared" ref="M21" si="3">E21+M$19</f>
        <v>0.39700000000000002</v>
      </c>
      <c r="N21" s="261">
        <f t="shared" ref="N21" si="4">L21*M21</f>
        <v>0.30965999999999999</v>
      </c>
      <c r="O21" s="259">
        <f t="shared" ref="O21" si="5">N21*K21</f>
        <v>2.78694</v>
      </c>
      <c r="P21" s="252">
        <f>P$20*N21</f>
        <v>19040.409092159123</v>
      </c>
      <c r="Q21" s="258">
        <f t="shared" ref="Q21" si="6">P21+Q$20</f>
        <v>22040.409092159123</v>
      </c>
      <c r="R21" s="308">
        <f>L21*K21</f>
        <v>7.02</v>
      </c>
      <c r="S21" s="46">
        <f>M21*K21*2</f>
        <v>7.1460000000000008</v>
      </c>
      <c r="T21" s="9"/>
      <c r="W21" s="4"/>
    </row>
    <row r="22" spans="2:24" ht="17.399999999999999" x14ac:dyDescent="0.3">
      <c r="B22" s="325">
        <v>4</v>
      </c>
      <c r="C22" s="325" t="s">
        <v>172</v>
      </c>
      <c r="D22" s="326">
        <v>0.7</v>
      </c>
      <c r="E22" s="326">
        <v>0.34699999999999998</v>
      </c>
      <c r="F22" s="325" t="s">
        <v>173</v>
      </c>
      <c r="G22" s="327">
        <v>22480</v>
      </c>
      <c r="H22" s="327">
        <f t="shared" si="1"/>
        <v>89920</v>
      </c>
      <c r="I22" s="265"/>
      <c r="J22" s="47"/>
      <c r="K22" s="47">
        <f t="shared" ref="K22:K34" si="7">B22</f>
        <v>4</v>
      </c>
      <c r="L22" s="39">
        <f t="shared" ref="L22:L24" si="8">D22+L$19</f>
        <v>0.77999999999999992</v>
      </c>
      <c r="M22" s="39">
        <f t="shared" ref="M22:M24" si="9">E22+M$19</f>
        <v>0.34699999999999998</v>
      </c>
      <c r="N22" s="261">
        <f t="shared" ref="N22:N24" si="10">L22*M22</f>
        <v>0.27065999999999996</v>
      </c>
      <c r="O22" s="259">
        <f t="shared" ref="O22:O24" si="11">N22*K22</f>
        <v>1.0826399999999998</v>
      </c>
      <c r="P22" s="252">
        <f t="shared" ref="P22:P24" si="12">P$20*N22</f>
        <v>16642.372682567293</v>
      </c>
      <c r="Q22" s="258">
        <f t="shared" ref="Q22:Q24" si="13">P22+Q$20</f>
        <v>19642.372682567293</v>
      </c>
      <c r="R22" s="308"/>
      <c r="S22" s="46"/>
      <c r="T22" s="9"/>
      <c r="W22" s="4"/>
    </row>
    <row r="23" spans="2:24" ht="17.399999999999999" x14ac:dyDescent="0.3">
      <c r="B23" s="325">
        <v>2</v>
      </c>
      <c r="C23" s="325" t="s">
        <v>172</v>
      </c>
      <c r="D23" s="326">
        <v>0.4</v>
      </c>
      <c r="E23" s="326">
        <v>0.34699999999999998</v>
      </c>
      <c r="F23" s="325" t="s">
        <v>173</v>
      </c>
      <c r="G23" s="327">
        <v>13382</v>
      </c>
      <c r="H23" s="327">
        <f t="shared" ref="H23:H37" si="14">G23*B23</f>
        <v>26764</v>
      </c>
      <c r="I23" s="265"/>
      <c r="J23" s="47"/>
      <c r="K23" s="47">
        <f t="shared" si="7"/>
        <v>2</v>
      </c>
      <c r="L23" s="39">
        <f t="shared" si="8"/>
        <v>0.48000000000000004</v>
      </c>
      <c r="M23" s="39">
        <f t="shared" si="9"/>
        <v>0.34699999999999998</v>
      </c>
      <c r="N23" s="261">
        <f t="shared" si="10"/>
        <v>0.16656000000000001</v>
      </c>
      <c r="O23" s="259">
        <f t="shared" si="11"/>
        <v>0.33312000000000003</v>
      </c>
      <c r="P23" s="252">
        <f t="shared" si="12"/>
        <v>10241.460112349105</v>
      </c>
      <c r="Q23" s="258">
        <f t="shared" si="13"/>
        <v>13241.460112349105</v>
      </c>
      <c r="R23" s="308">
        <f t="shared" ref="R23:R24" si="15">L23*K23</f>
        <v>0.96000000000000008</v>
      </c>
      <c r="S23" s="46"/>
      <c r="T23" s="9"/>
      <c r="W23" s="4"/>
    </row>
    <row r="24" spans="2:24" ht="17.399999999999999" x14ac:dyDescent="0.3">
      <c r="B24" s="325">
        <v>2</v>
      </c>
      <c r="C24" s="325" t="s">
        <v>172</v>
      </c>
      <c r="D24" s="326">
        <v>0.3</v>
      </c>
      <c r="E24" s="326">
        <v>0.29699999999999999</v>
      </c>
      <c r="F24" s="325" t="s">
        <v>173</v>
      </c>
      <c r="G24" s="327">
        <v>11067</v>
      </c>
      <c r="H24" s="327">
        <f t="shared" si="14"/>
        <v>22134</v>
      </c>
      <c r="I24" s="265"/>
      <c r="J24" s="47"/>
      <c r="K24" s="47">
        <f t="shared" si="7"/>
        <v>2</v>
      </c>
      <c r="L24" s="39">
        <f t="shared" si="8"/>
        <v>0.38</v>
      </c>
      <c r="M24" s="39">
        <f t="shared" si="9"/>
        <v>0.29699999999999999</v>
      </c>
      <c r="N24" s="261">
        <f t="shared" si="10"/>
        <v>0.11286</v>
      </c>
      <c r="O24" s="259">
        <f t="shared" si="11"/>
        <v>0.22572</v>
      </c>
      <c r="P24" s="252">
        <f t="shared" si="12"/>
        <v>6939.5484406803553</v>
      </c>
      <c r="Q24" s="258">
        <f t="shared" si="13"/>
        <v>9939.5484406803553</v>
      </c>
      <c r="R24" s="308">
        <f t="shared" si="15"/>
        <v>0.76</v>
      </c>
      <c r="S24" s="46"/>
      <c r="T24" s="9"/>
      <c r="W24" s="4"/>
    </row>
    <row r="25" spans="2:24" ht="17.399999999999999" x14ac:dyDescent="0.3">
      <c r="B25" s="325">
        <v>18</v>
      </c>
      <c r="C25" s="325" t="s">
        <v>172</v>
      </c>
      <c r="D25" s="326">
        <v>0.7</v>
      </c>
      <c r="E25" s="326">
        <v>0.39700000000000002</v>
      </c>
      <c r="F25" s="325" t="s">
        <v>179</v>
      </c>
      <c r="G25" s="327">
        <v>24771</v>
      </c>
      <c r="H25" s="327">
        <f t="shared" si="14"/>
        <v>445878</v>
      </c>
      <c r="I25" s="265"/>
      <c r="J25" s="47">
        <v>2</v>
      </c>
      <c r="K25" s="334">
        <f t="shared" si="7"/>
        <v>18</v>
      </c>
      <c r="L25" s="335">
        <f t="shared" ref="L25:L36" si="16">D25+L$19</f>
        <v>0.77999999999999992</v>
      </c>
      <c r="M25" s="335">
        <f t="shared" ref="M25:M36" si="17">E25+M$19</f>
        <v>0.39700000000000002</v>
      </c>
      <c r="N25" s="261">
        <f t="shared" ref="N25:N34" si="18">L25*M25</f>
        <v>0.30965999999999999</v>
      </c>
      <c r="O25" s="259">
        <f t="shared" ref="O25:O34" si="19">N25*K25</f>
        <v>5.5738799999999999</v>
      </c>
      <c r="P25" s="252">
        <f t="shared" ref="P25:P34" si="20">P$20*N25</f>
        <v>19040.409092159123</v>
      </c>
      <c r="Q25" s="258">
        <f t="shared" ref="Q25:Q34" si="21">P25+Q$20</f>
        <v>22040.409092159123</v>
      </c>
      <c r="R25" s="308">
        <f t="shared" ref="R25:R35" si="22">L25*K25</f>
        <v>14.04</v>
      </c>
      <c r="S25" s="46"/>
      <c r="T25" s="9"/>
      <c r="W25" s="4"/>
    </row>
    <row r="26" spans="2:24" ht="17.399999999999999" x14ac:dyDescent="0.3">
      <c r="B26" s="325">
        <v>1</v>
      </c>
      <c r="C26" s="325" t="s">
        <v>172</v>
      </c>
      <c r="D26" s="326">
        <v>0.73</v>
      </c>
      <c r="E26" s="326">
        <v>0.69699999999999995</v>
      </c>
      <c r="F26" s="325" t="s">
        <v>179</v>
      </c>
      <c r="G26" s="327">
        <v>38190</v>
      </c>
      <c r="H26" s="327">
        <f t="shared" si="14"/>
        <v>38190</v>
      </c>
      <c r="I26" s="265"/>
      <c r="J26" s="47"/>
      <c r="K26" s="336">
        <f t="shared" si="7"/>
        <v>1</v>
      </c>
      <c r="L26" s="39">
        <f t="shared" si="16"/>
        <v>0.80999999999999994</v>
      </c>
      <c r="M26" s="39">
        <f t="shared" si="17"/>
        <v>0.69699999999999995</v>
      </c>
      <c r="N26" s="261">
        <f t="shared" si="18"/>
        <v>0.56456999999999991</v>
      </c>
      <c r="O26" s="259">
        <f t="shared" si="19"/>
        <v>0.56456999999999991</v>
      </c>
      <c r="P26" s="252">
        <f t="shared" si="20"/>
        <v>34714.343993929717</v>
      </c>
      <c r="Q26" s="258">
        <f t="shared" si="21"/>
        <v>37714.343993929717</v>
      </c>
      <c r="R26" s="308">
        <f t="shared" si="22"/>
        <v>0.80999999999999994</v>
      </c>
      <c r="S26" s="46"/>
      <c r="T26" s="9"/>
      <c r="W26" s="4"/>
    </row>
    <row r="27" spans="2:24" ht="17.399999999999999" x14ac:dyDescent="0.3">
      <c r="B27" s="325">
        <v>1</v>
      </c>
      <c r="C27" s="325" t="s">
        <v>172</v>
      </c>
      <c r="D27" s="326">
        <v>0.73</v>
      </c>
      <c r="E27" s="326">
        <v>0.59699999999999998</v>
      </c>
      <c r="F27" s="325" t="s">
        <v>179</v>
      </c>
      <c r="G27" s="327">
        <v>33141</v>
      </c>
      <c r="H27" s="327">
        <f t="shared" si="14"/>
        <v>33141</v>
      </c>
      <c r="I27" s="265"/>
      <c r="J27" s="47"/>
      <c r="K27" s="336">
        <f t="shared" si="7"/>
        <v>1</v>
      </c>
      <c r="L27" s="39">
        <f t="shared" si="16"/>
        <v>0.80999999999999994</v>
      </c>
      <c r="M27" s="39">
        <f t="shared" si="17"/>
        <v>0.59699999999999998</v>
      </c>
      <c r="N27" s="261">
        <f t="shared" si="18"/>
        <v>0.48356999999999994</v>
      </c>
      <c r="O27" s="259">
        <f t="shared" si="19"/>
        <v>0.48356999999999994</v>
      </c>
      <c r="P27" s="252">
        <f t="shared" si="20"/>
        <v>29733.806835546686</v>
      </c>
      <c r="Q27" s="258">
        <f t="shared" si="21"/>
        <v>32733.806835546686</v>
      </c>
      <c r="R27" s="308">
        <f t="shared" si="22"/>
        <v>0.80999999999999994</v>
      </c>
      <c r="S27" s="46"/>
      <c r="T27" s="9"/>
      <c r="W27" s="4"/>
    </row>
    <row r="28" spans="2:24" ht="17.399999999999999" x14ac:dyDescent="0.3">
      <c r="B28" s="325">
        <v>1</v>
      </c>
      <c r="C28" s="325" t="s">
        <v>172</v>
      </c>
      <c r="D28" s="326">
        <v>0.73</v>
      </c>
      <c r="E28" s="326">
        <v>0.39700000000000002</v>
      </c>
      <c r="F28" s="325" t="s">
        <v>179</v>
      </c>
      <c r="G28" s="327">
        <v>23044</v>
      </c>
      <c r="H28" s="327">
        <f t="shared" si="14"/>
        <v>23044</v>
      </c>
      <c r="I28" s="265"/>
      <c r="J28" s="47"/>
      <c r="K28" s="47">
        <f t="shared" si="7"/>
        <v>1</v>
      </c>
      <c r="L28" s="39">
        <f t="shared" si="16"/>
        <v>0.80999999999999994</v>
      </c>
      <c r="M28" s="39">
        <f t="shared" si="17"/>
        <v>0.39700000000000002</v>
      </c>
      <c r="N28" s="261">
        <f t="shared" si="18"/>
        <v>0.32156999999999997</v>
      </c>
      <c r="O28" s="259">
        <f t="shared" si="19"/>
        <v>0.32156999999999997</v>
      </c>
      <c r="P28" s="252">
        <f t="shared" si="20"/>
        <v>19772.732518780627</v>
      </c>
      <c r="Q28" s="258">
        <f t="shared" si="21"/>
        <v>22772.732518780627</v>
      </c>
      <c r="R28" s="308">
        <f t="shared" si="22"/>
        <v>0.80999999999999994</v>
      </c>
      <c r="S28" s="46"/>
      <c r="T28" s="9"/>
      <c r="W28" s="4"/>
    </row>
    <row r="29" spans="2:24" ht="17.399999999999999" x14ac:dyDescent="0.3">
      <c r="B29" s="325">
        <v>2</v>
      </c>
      <c r="C29" s="325" t="s">
        <v>172</v>
      </c>
      <c r="D29" s="326">
        <v>0.7</v>
      </c>
      <c r="E29" s="326">
        <v>0.41699999999999998</v>
      </c>
      <c r="F29" s="325" t="s">
        <v>179</v>
      </c>
      <c r="G29" s="327">
        <v>23274</v>
      </c>
      <c r="H29" s="327">
        <f t="shared" si="14"/>
        <v>46548</v>
      </c>
      <c r="I29" s="265"/>
      <c r="J29" s="47"/>
      <c r="K29" s="332">
        <f t="shared" si="7"/>
        <v>2</v>
      </c>
      <c r="L29" s="333">
        <f t="shared" si="16"/>
        <v>0.77999999999999992</v>
      </c>
      <c r="M29" s="333">
        <f t="shared" si="17"/>
        <v>0.41699999999999998</v>
      </c>
      <c r="N29" s="261">
        <f t="shared" si="18"/>
        <v>0.32525999999999994</v>
      </c>
      <c r="O29" s="259">
        <f t="shared" si="19"/>
        <v>0.65051999999999988</v>
      </c>
      <c r="P29" s="252">
        <f t="shared" si="20"/>
        <v>19999.623655995852</v>
      </c>
      <c r="Q29" s="258">
        <f t="shared" si="21"/>
        <v>22999.623655995852</v>
      </c>
      <c r="R29" s="308">
        <f t="shared" si="22"/>
        <v>1.5599999999999998</v>
      </c>
      <c r="S29" s="46"/>
      <c r="T29" s="9"/>
      <c r="W29" s="4"/>
    </row>
    <row r="30" spans="2:24" ht="17.399999999999999" x14ac:dyDescent="0.3">
      <c r="B30" s="325">
        <v>1</v>
      </c>
      <c r="C30" s="325" t="s">
        <v>172</v>
      </c>
      <c r="D30" s="326">
        <v>0.7</v>
      </c>
      <c r="E30" s="326">
        <v>0.35699999999999998</v>
      </c>
      <c r="F30" s="325" t="s">
        <v>179</v>
      </c>
      <c r="G30" s="327">
        <v>20357</v>
      </c>
      <c r="H30" s="327">
        <f t="shared" si="14"/>
        <v>20357</v>
      </c>
      <c r="I30" s="265"/>
      <c r="J30" s="47"/>
      <c r="K30" s="332">
        <f t="shared" si="7"/>
        <v>1</v>
      </c>
      <c r="L30" s="333">
        <f t="shared" si="16"/>
        <v>0.77999999999999992</v>
      </c>
      <c r="M30" s="333">
        <f t="shared" si="17"/>
        <v>0.35699999999999998</v>
      </c>
      <c r="N30" s="261">
        <f t="shared" si="18"/>
        <v>0.27845999999999993</v>
      </c>
      <c r="O30" s="259">
        <f t="shared" si="19"/>
        <v>0.27845999999999993</v>
      </c>
      <c r="P30" s="252">
        <f t="shared" si="20"/>
        <v>17121.979964485658</v>
      </c>
      <c r="Q30" s="258">
        <f t="shared" si="21"/>
        <v>20121.979964485658</v>
      </c>
      <c r="R30" s="308">
        <f t="shared" si="22"/>
        <v>0.77999999999999992</v>
      </c>
      <c r="S30" s="46"/>
      <c r="T30" s="9"/>
      <c r="W30" s="4"/>
    </row>
    <row r="31" spans="2:24" ht="17.399999999999999" x14ac:dyDescent="0.3">
      <c r="B31" s="325">
        <v>1</v>
      </c>
      <c r="C31" s="325" t="s">
        <v>172</v>
      </c>
      <c r="D31" s="326">
        <v>0.7</v>
      </c>
      <c r="E31" s="326">
        <v>0.19700000000000001</v>
      </c>
      <c r="F31" s="325" t="s">
        <v>179</v>
      </c>
      <c r="G31" s="327">
        <v>13775</v>
      </c>
      <c r="H31" s="327">
        <f t="shared" si="14"/>
        <v>13775</v>
      </c>
      <c r="I31" s="265"/>
      <c r="J31" s="47"/>
      <c r="K31" s="47">
        <f t="shared" si="7"/>
        <v>1</v>
      </c>
      <c r="L31" s="39">
        <f t="shared" si="16"/>
        <v>0.77999999999999992</v>
      </c>
      <c r="M31" s="39">
        <f t="shared" si="17"/>
        <v>0.19700000000000001</v>
      </c>
      <c r="N31" s="261">
        <f t="shared" si="18"/>
        <v>0.15365999999999999</v>
      </c>
      <c r="O31" s="259">
        <f t="shared" si="19"/>
        <v>0.15365999999999999</v>
      </c>
      <c r="P31" s="252">
        <f t="shared" si="20"/>
        <v>9448.2634537918075</v>
      </c>
      <c r="Q31" s="258">
        <f t="shared" si="21"/>
        <v>12448.263453791807</v>
      </c>
      <c r="R31" s="308">
        <f t="shared" si="22"/>
        <v>0.77999999999999992</v>
      </c>
      <c r="S31" s="46"/>
      <c r="T31" s="9"/>
      <c r="W31" s="4"/>
    </row>
    <row r="32" spans="2:24" ht="17.399999999999999" x14ac:dyDescent="0.3">
      <c r="B32" s="325">
        <v>2</v>
      </c>
      <c r="C32" s="325" t="s">
        <v>172</v>
      </c>
      <c r="D32" s="326">
        <v>1.63</v>
      </c>
      <c r="E32" s="326">
        <v>0.39200000000000002</v>
      </c>
      <c r="F32" s="325" t="s">
        <v>179</v>
      </c>
      <c r="G32" s="327">
        <v>44782</v>
      </c>
      <c r="H32" s="327">
        <f t="shared" si="14"/>
        <v>89564</v>
      </c>
      <c r="I32" s="265"/>
      <c r="J32" s="47"/>
      <c r="K32" s="330">
        <f t="shared" si="7"/>
        <v>2</v>
      </c>
      <c r="L32" s="331">
        <f t="shared" si="16"/>
        <v>1.71</v>
      </c>
      <c r="M32" s="331">
        <f t="shared" si="17"/>
        <v>0.39200000000000002</v>
      </c>
      <c r="N32" s="328">
        <f t="shared" si="18"/>
        <v>0.67032000000000003</v>
      </c>
      <c r="O32" s="259">
        <f t="shared" si="19"/>
        <v>1.3406400000000001</v>
      </c>
      <c r="P32" s="252">
        <f t="shared" si="20"/>
        <v>41216.711950707562</v>
      </c>
      <c r="Q32" s="258">
        <f t="shared" si="21"/>
        <v>44216.711950707562</v>
      </c>
      <c r="R32" s="308">
        <f t="shared" si="22"/>
        <v>3.42</v>
      </c>
      <c r="S32" s="46"/>
      <c r="T32" s="9"/>
      <c r="W32" s="4"/>
    </row>
    <row r="33" spans="2:23" ht="17.399999999999999" x14ac:dyDescent="0.3">
      <c r="B33" s="325">
        <v>2</v>
      </c>
      <c r="C33" s="325" t="s">
        <v>172</v>
      </c>
      <c r="D33" s="326">
        <v>1.23</v>
      </c>
      <c r="E33" s="326">
        <v>0.309</v>
      </c>
      <c r="F33" s="325" t="s">
        <v>179</v>
      </c>
      <c r="G33" s="327">
        <v>28231</v>
      </c>
      <c r="H33" s="327">
        <f t="shared" si="14"/>
        <v>56462</v>
      </c>
      <c r="I33" s="265"/>
      <c r="J33" s="47"/>
      <c r="K33" s="330">
        <f t="shared" si="7"/>
        <v>2</v>
      </c>
      <c r="L33" s="331">
        <f t="shared" si="16"/>
        <v>1.31</v>
      </c>
      <c r="M33" s="331">
        <f t="shared" si="17"/>
        <v>0.309</v>
      </c>
      <c r="N33" s="329">
        <f t="shared" si="18"/>
        <v>0.40479000000000004</v>
      </c>
      <c r="O33" s="259">
        <f t="shared" si="19"/>
        <v>0.80958000000000008</v>
      </c>
      <c r="P33" s="252">
        <f t="shared" si="20"/>
        <v>24889.773288171196</v>
      </c>
      <c r="Q33" s="258">
        <f t="shared" si="21"/>
        <v>27889.773288171196</v>
      </c>
      <c r="R33" s="308">
        <f t="shared" si="22"/>
        <v>2.62</v>
      </c>
      <c r="S33" s="46"/>
      <c r="T33" s="9"/>
      <c r="W33" s="4"/>
    </row>
    <row r="34" spans="2:23" ht="17.399999999999999" x14ac:dyDescent="0.3">
      <c r="B34" s="325">
        <v>2</v>
      </c>
      <c r="C34" s="325" t="s">
        <v>172</v>
      </c>
      <c r="D34" s="326">
        <v>1.23</v>
      </c>
      <c r="E34" s="326">
        <v>0.372</v>
      </c>
      <c r="F34" s="325" t="s">
        <v>179</v>
      </c>
      <c r="G34" s="327">
        <v>33375</v>
      </c>
      <c r="H34" s="327">
        <f t="shared" si="14"/>
        <v>66750</v>
      </c>
      <c r="I34" s="265"/>
      <c r="J34" s="47"/>
      <c r="K34" s="332">
        <f t="shared" si="7"/>
        <v>2</v>
      </c>
      <c r="L34" s="333">
        <f t="shared" si="16"/>
        <v>1.31</v>
      </c>
      <c r="M34" s="333">
        <f t="shared" si="17"/>
        <v>0.372</v>
      </c>
      <c r="N34" s="329">
        <f t="shared" si="18"/>
        <v>0.48732000000000003</v>
      </c>
      <c r="O34" s="259">
        <f t="shared" si="19"/>
        <v>0.97464000000000006</v>
      </c>
      <c r="P34" s="252">
        <f t="shared" si="20"/>
        <v>29964.387259545907</v>
      </c>
      <c r="Q34" s="258">
        <f t="shared" si="21"/>
        <v>32964.387259545911</v>
      </c>
      <c r="R34" s="308">
        <f t="shared" si="22"/>
        <v>2.62</v>
      </c>
      <c r="S34" s="46"/>
      <c r="T34" s="9"/>
      <c r="W34" s="4"/>
    </row>
    <row r="35" spans="2:23" ht="17.399999999999999" x14ac:dyDescent="0.3">
      <c r="B35" s="325">
        <v>5</v>
      </c>
      <c r="C35" s="325" t="s">
        <v>175</v>
      </c>
      <c r="D35" s="326">
        <v>2.4</v>
      </c>
      <c r="E35" s="326">
        <v>0.06</v>
      </c>
      <c r="F35" s="325" t="s">
        <v>174</v>
      </c>
      <c r="G35" s="327">
        <v>12545</v>
      </c>
      <c r="H35" s="327">
        <f t="shared" si="14"/>
        <v>62725</v>
      </c>
      <c r="I35" s="265"/>
      <c r="J35" s="47"/>
      <c r="K35" s="47"/>
      <c r="L35" s="39">
        <f t="shared" si="16"/>
        <v>2.48</v>
      </c>
      <c r="M35" s="39">
        <f t="shared" si="17"/>
        <v>0.06</v>
      </c>
      <c r="N35" s="329">
        <f t="shared" ref="N35:N36" si="23">L35*M35</f>
        <v>0.14879999999999999</v>
      </c>
      <c r="O35" s="259">
        <f t="shared" ref="O35:O36" si="24">N35*K35</f>
        <v>0</v>
      </c>
      <c r="P35" s="252">
        <f t="shared" ref="P35:P36" si="25">P$20*N35</f>
        <v>9149.4312242888245</v>
      </c>
      <c r="Q35" s="258">
        <f t="shared" ref="Q35:Q36" si="26">P35+Q$20</f>
        <v>12149.431224288825</v>
      </c>
      <c r="R35" s="308">
        <f t="shared" si="22"/>
        <v>0</v>
      </c>
      <c r="S35" s="46"/>
      <c r="T35" s="9"/>
      <c r="W35" s="4"/>
    </row>
    <row r="36" spans="2:23" ht="17.399999999999999" x14ac:dyDescent="0.3">
      <c r="B36" s="325">
        <v>5</v>
      </c>
      <c r="C36" s="325" t="s">
        <v>176</v>
      </c>
      <c r="D36" s="326">
        <v>3</v>
      </c>
      <c r="E36" s="326">
        <v>0.1</v>
      </c>
      <c r="F36" s="325" t="s">
        <v>174</v>
      </c>
      <c r="G36" s="327">
        <v>19756</v>
      </c>
      <c r="H36" s="327">
        <f t="shared" si="14"/>
        <v>98780</v>
      </c>
      <c r="I36" s="265"/>
      <c r="J36" s="47"/>
      <c r="K36" s="47"/>
      <c r="L36" s="39">
        <f t="shared" si="16"/>
        <v>3.08</v>
      </c>
      <c r="M36" s="39">
        <f t="shared" si="17"/>
        <v>0.1</v>
      </c>
      <c r="N36" s="329">
        <f t="shared" si="23"/>
        <v>0.30800000000000005</v>
      </c>
      <c r="O36" s="259">
        <f t="shared" si="24"/>
        <v>0</v>
      </c>
      <c r="P36" s="252">
        <f t="shared" si="25"/>
        <v>18938.33882446881</v>
      </c>
      <c r="Q36" s="258">
        <f t="shared" si="26"/>
        <v>21938.33882446881</v>
      </c>
      <c r="R36" s="308"/>
      <c r="S36" s="46"/>
      <c r="T36" s="9"/>
      <c r="W36" s="4"/>
    </row>
    <row r="37" spans="2:23" ht="17.399999999999999" x14ac:dyDescent="0.3">
      <c r="B37" s="325">
        <v>10</v>
      </c>
      <c r="C37" s="325" t="s">
        <v>177</v>
      </c>
      <c r="D37" s="326">
        <v>3</v>
      </c>
      <c r="E37" s="326">
        <v>0.1</v>
      </c>
      <c r="F37" s="325" t="s">
        <v>174</v>
      </c>
      <c r="G37" s="327">
        <v>4000</v>
      </c>
      <c r="H37" s="327">
        <f t="shared" si="14"/>
        <v>40000</v>
      </c>
      <c r="I37" s="265"/>
      <c r="J37" s="47"/>
      <c r="K37" s="47"/>
      <c r="L37" s="39"/>
      <c r="M37" s="39"/>
      <c r="N37" s="261"/>
      <c r="O37" s="259"/>
      <c r="P37" s="252"/>
      <c r="Q37" s="258"/>
      <c r="R37" s="308"/>
      <c r="S37" s="46"/>
      <c r="T37" s="9"/>
      <c r="W37" s="4"/>
    </row>
    <row r="38" spans="2:23" ht="18" thickBot="1" x14ac:dyDescent="0.35">
      <c r="B38" s="286"/>
      <c r="C38" s="286"/>
      <c r="D38" s="287"/>
      <c r="E38" s="287"/>
      <c r="F38" s="286"/>
      <c r="G38" s="265"/>
      <c r="H38" s="233"/>
      <c r="I38" s="233"/>
      <c r="J38" s="47"/>
      <c r="K38" s="47"/>
      <c r="L38" s="39"/>
      <c r="M38" s="39"/>
      <c r="N38" s="261"/>
      <c r="O38" s="259"/>
      <c r="P38" s="252"/>
      <c r="Q38" s="258"/>
      <c r="R38" s="308"/>
      <c r="S38" s="14"/>
      <c r="T38" s="9"/>
      <c r="W38" s="4"/>
    </row>
    <row r="39" spans="2:23" ht="17.399999999999999" x14ac:dyDescent="0.3">
      <c r="B39" s="286"/>
      <c r="C39" s="286"/>
      <c r="D39" s="287"/>
      <c r="E39" s="287"/>
      <c r="F39" s="286"/>
      <c r="G39" s="309" t="s">
        <v>29</v>
      </c>
      <c r="H39" s="310">
        <f>SUM(H21:H38)</f>
        <v>1400409</v>
      </c>
      <c r="I39" s="265"/>
      <c r="J39" s="47"/>
      <c r="K39" s="47"/>
      <c r="L39" s="39">
        <f>SUM(L21:L38)</f>
        <v>17.86</v>
      </c>
      <c r="M39" s="39"/>
      <c r="N39" s="261"/>
      <c r="O39" s="259"/>
      <c r="P39" s="252"/>
      <c r="Q39" s="258"/>
      <c r="R39" s="308"/>
      <c r="S39" s="14"/>
      <c r="T39" s="9"/>
      <c r="W39" s="4"/>
    </row>
    <row r="40" spans="2:23" ht="17.399999999999999" x14ac:dyDescent="0.3">
      <c r="B40" s="280"/>
      <c r="C40" s="283"/>
      <c r="D40" s="284"/>
      <c r="E40" s="284"/>
      <c r="F40" s="285"/>
      <c r="G40" s="307" t="s">
        <v>52</v>
      </c>
      <c r="H40" s="304"/>
      <c r="I40" s="265"/>
      <c r="J40" s="47"/>
      <c r="K40" s="47"/>
      <c r="L40" s="39"/>
      <c r="M40" s="12"/>
      <c r="N40" s="12"/>
      <c r="O40" s="253">
        <f>SUM(O21:O37)</f>
        <v>15.579510000000001</v>
      </c>
      <c r="P40" s="14"/>
      <c r="Q40" s="12"/>
      <c r="R40" s="239"/>
      <c r="S40" s="14"/>
      <c r="T40" s="9"/>
      <c r="W40" s="4"/>
    </row>
    <row r="41" spans="2:23" ht="18" thickBot="1" x14ac:dyDescent="0.35">
      <c r="B41" s="276"/>
      <c r="C41" s="282"/>
      <c r="D41" s="272"/>
      <c r="E41" s="272"/>
      <c r="F41" s="273"/>
      <c r="G41" s="281" t="s">
        <v>6</v>
      </c>
      <c r="H41" s="305">
        <f>H39+H40</f>
        <v>1400409</v>
      </c>
      <c r="I41" s="265"/>
      <c r="J41" s="47"/>
      <c r="K41" s="47"/>
      <c r="L41" s="39"/>
      <c r="M41" s="12"/>
      <c r="N41" s="12"/>
      <c r="O41" s="253">
        <f>O40</f>
        <v>15.579510000000001</v>
      </c>
      <c r="P41" s="14"/>
      <c r="Q41" s="12"/>
      <c r="R41" s="239">
        <f>SUM(R21:R40)</f>
        <v>36.989999999999995</v>
      </c>
      <c r="S41" s="14"/>
      <c r="T41" s="9"/>
      <c r="W41" s="4"/>
    </row>
    <row r="42" spans="2:23" ht="17.399999999999999" x14ac:dyDescent="0.3">
      <c r="B42" s="276"/>
      <c r="C42" s="271"/>
      <c r="D42" s="272"/>
      <c r="E42" s="272"/>
      <c r="F42" s="273"/>
      <c r="I42" s="265"/>
      <c r="J42" s="47"/>
      <c r="K42" s="47"/>
      <c r="L42" s="14"/>
      <c r="M42" s="12"/>
      <c r="N42" s="12"/>
      <c r="O42" s="39">
        <f>O41*20%</f>
        <v>3.1159020000000002</v>
      </c>
      <c r="P42" s="39" t="s">
        <v>131</v>
      </c>
      <c r="Q42" s="42"/>
      <c r="R42" s="240"/>
      <c r="S42" s="14"/>
      <c r="T42" s="9"/>
      <c r="W42" s="4"/>
    </row>
    <row r="43" spans="2:23" ht="17.399999999999999" x14ac:dyDescent="0.3">
      <c r="B43" s="271"/>
      <c r="C43" s="271"/>
      <c r="D43" s="272"/>
      <c r="E43" s="272"/>
      <c r="F43" s="273"/>
      <c r="G43" s="274"/>
      <c r="H43" s="275"/>
      <c r="I43" s="265"/>
      <c r="J43" s="47"/>
      <c r="K43" s="47"/>
      <c r="L43" s="14"/>
      <c r="M43" s="12"/>
      <c r="N43" s="12"/>
      <c r="O43" s="46">
        <f>O41+O42</f>
        <v>18.695412000000001</v>
      </c>
      <c r="P43" s="14"/>
      <c r="Q43" s="14"/>
      <c r="R43" s="238">
        <v>40</v>
      </c>
      <c r="S43" s="14"/>
      <c r="T43" s="9"/>
      <c r="W43" s="4"/>
    </row>
    <row r="44" spans="2:23" ht="17.399999999999999" x14ac:dyDescent="0.35">
      <c r="B44" s="269"/>
      <c r="C44" s="230"/>
      <c r="D44" s="230"/>
      <c r="E44" s="233"/>
      <c r="F44" s="234"/>
      <c r="G44" s="230"/>
      <c r="H44" s="275"/>
      <c r="I44" s="265"/>
      <c r="J44" s="47"/>
      <c r="K44" s="47"/>
      <c r="L44" s="14"/>
      <c r="M44" s="14"/>
      <c r="N44" s="14"/>
      <c r="O44" s="14"/>
      <c r="P44" s="14"/>
      <c r="Q44" s="14"/>
      <c r="R44" s="238"/>
      <c r="S44" s="14"/>
      <c r="T44" s="315" t="s">
        <v>22</v>
      </c>
      <c r="U44" s="312" t="s">
        <v>153</v>
      </c>
      <c r="V44" s="316">
        <v>44971</v>
      </c>
      <c r="W44" s="317"/>
    </row>
    <row r="45" spans="2:23" ht="17.399999999999999" x14ac:dyDescent="0.35">
      <c r="B45" s="235"/>
      <c r="C45" s="236"/>
      <c r="D45" s="237"/>
      <c r="E45" s="235"/>
      <c r="F45" s="230"/>
      <c r="G45" s="230"/>
      <c r="I45" s="265"/>
      <c r="J45" s="47"/>
      <c r="K45" s="47"/>
      <c r="L45" s="39">
        <f>O43</f>
        <v>18.695412000000001</v>
      </c>
      <c r="M45" s="12">
        <v>3500</v>
      </c>
      <c r="N45" s="12">
        <f t="shared" ref="N45:N50" si="27">L45*M45</f>
        <v>65433.942000000003</v>
      </c>
      <c r="O45" s="14" t="s">
        <v>22</v>
      </c>
      <c r="P45" s="14"/>
      <c r="Q45" s="14"/>
      <c r="R45" s="241"/>
      <c r="S45" s="14"/>
      <c r="T45" s="315" t="s">
        <v>154</v>
      </c>
      <c r="U45" s="312">
        <v>3625</v>
      </c>
      <c r="V45" s="59" t="s">
        <v>155</v>
      </c>
      <c r="W45" s="317"/>
    </row>
    <row r="46" spans="2:23" ht="17.399999999999999" x14ac:dyDescent="0.35">
      <c r="B46" s="230"/>
      <c r="C46" s="230"/>
      <c r="D46" s="230"/>
      <c r="E46" s="230"/>
      <c r="F46" s="230"/>
      <c r="G46" s="230"/>
      <c r="I46" s="265"/>
      <c r="J46" s="47"/>
      <c r="K46" s="47"/>
      <c r="L46" s="249">
        <v>5</v>
      </c>
      <c r="M46" s="12">
        <v>45000</v>
      </c>
      <c r="N46" s="12">
        <f t="shared" si="27"/>
        <v>225000</v>
      </c>
      <c r="O46" s="39" t="s">
        <v>32</v>
      </c>
      <c r="P46" s="42"/>
      <c r="Q46" s="14"/>
      <c r="R46" s="240"/>
      <c r="S46" s="14"/>
      <c r="T46" s="315"/>
      <c r="U46" s="59">
        <v>906.25</v>
      </c>
      <c r="V46" s="59" t="s">
        <v>156</v>
      </c>
      <c r="W46" s="317"/>
    </row>
    <row r="47" spans="2:23" s="230" customFormat="1" ht="17.399999999999999" x14ac:dyDescent="0.35">
      <c r="I47" s="262"/>
      <c r="J47" s="232"/>
      <c r="K47" s="250"/>
      <c r="L47" s="14"/>
      <c r="M47" s="250">
        <v>25000</v>
      </c>
      <c r="N47" s="12">
        <f t="shared" si="27"/>
        <v>0</v>
      </c>
      <c r="O47" s="39" t="s">
        <v>31</v>
      </c>
      <c r="P47" s="42"/>
      <c r="R47" s="240"/>
      <c r="S47" s="256"/>
      <c r="T47" s="59"/>
      <c r="U47" s="59">
        <f>U46*20%</f>
        <v>181.25</v>
      </c>
      <c r="V47" s="317" t="s">
        <v>157</v>
      </c>
      <c r="W47" s="59"/>
    </row>
    <row r="48" spans="2:23" s="230" customFormat="1" ht="17.399999999999999" x14ac:dyDescent="0.35">
      <c r="B48" s="24" t="s">
        <v>152</v>
      </c>
      <c r="I48" s="262"/>
      <c r="J48" s="232"/>
      <c r="K48" s="250"/>
      <c r="L48" s="14">
        <v>5</v>
      </c>
      <c r="M48" s="250">
        <v>29000</v>
      </c>
      <c r="N48" s="12">
        <f t="shared" si="27"/>
        <v>145000</v>
      </c>
      <c r="O48" s="14" t="s">
        <v>142</v>
      </c>
      <c r="P48" s="17"/>
      <c r="R48" s="238"/>
      <c r="S48" s="256"/>
      <c r="T48" s="59"/>
      <c r="U48" s="59">
        <f>U46+U47</f>
        <v>1087.5</v>
      </c>
      <c r="V48" s="317" t="s">
        <v>158</v>
      </c>
      <c r="W48" s="59"/>
    </row>
    <row r="49" spans="2:23" s="230" customFormat="1" ht="17.399999999999999" x14ac:dyDescent="0.35">
      <c r="B49" s="24" t="s">
        <v>145</v>
      </c>
      <c r="C49"/>
      <c r="D49"/>
      <c r="E49"/>
      <c r="F49"/>
      <c r="I49" s="262"/>
      <c r="K49" s="250"/>
      <c r="L49" s="249"/>
      <c r="M49" s="250">
        <v>300</v>
      </c>
      <c r="N49" s="12">
        <f t="shared" si="27"/>
        <v>0</v>
      </c>
      <c r="O49" s="14" t="s">
        <v>33</v>
      </c>
      <c r="P49" s="14"/>
      <c r="Q49" s="230">
        <v>1.52</v>
      </c>
      <c r="R49" s="238"/>
      <c r="S49" s="238"/>
    </row>
    <row r="50" spans="2:23" s="230" customFormat="1" ht="17.399999999999999" x14ac:dyDescent="0.35">
      <c r="B50" s="29" t="s">
        <v>126</v>
      </c>
      <c r="C50"/>
      <c r="D50"/>
      <c r="E50"/>
      <c r="F50" s="229" t="s">
        <v>16</v>
      </c>
      <c r="I50" s="303"/>
      <c r="K50" s="250"/>
      <c r="L50" s="266"/>
      <c r="M50" s="12">
        <v>1500</v>
      </c>
      <c r="N50" s="12">
        <f t="shared" si="27"/>
        <v>0</v>
      </c>
      <c r="O50" s="14" t="s">
        <v>23</v>
      </c>
      <c r="P50" s="14"/>
      <c r="Q50">
        <v>2.44</v>
      </c>
      <c r="R50"/>
      <c r="S50" s="238"/>
      <c r="W50" s="231"/>
    </row>
    <row r="51" spans="2:23" s="230" customFormat="1" ht="17.399999999999999" x14ac:dyDescent="0.35">
      <c r="K51" s="250"/>
      <c r="L51" s="14"/>
      <c r="M51" s="12"/>
      <c r="N51" s="12">
        <f>SUM(N45:N50)</f>
        <v>435433.94199999998</v>
      </c>
      <c r="O51" s="39" t="s">
        <v>24</v>
      </c>
      <c r="P51" s="14"/>
      <c r="Q51">
        <f>Q49*Q50</f>
        <v>3.7088000000000001</v>
      </c>
      <c r="R51"/>
      <c r="S51" s="238"/>
      <c r="W51" s="231"/>
    </row>
    <row r="52" spans="2:23" s="230" customFormat="1" ht="17.399999999999999" x14ac:dyDescent="0.35">
      <c r="K52" s="250"/>
      <c r="L52" s="254" t="s">
        <v>34</v>
      </c>
      <c r="M52" s="12"/>
      <c r="N52" s="255">
        <f>N51*2.2</f>
        <v>957954.67240000004</v>
      </c>
      <c r="O52" s="14" t="s">
        <v>141</v>
      </c>
      <c r="P52" s="14"/>
      <c r="Q52" s="40">
        <f>O43/Q51</f>
        <v>5.0408250647109583</v>
      </c>
      <c r="R52"/>
      <c r="S52" s="257"/>
    </row>
    <row r="53" spans="2:23" s="230" customFormat="1" ht="17.399999999999999" x14ac:dyDescent="0.35">
      <c r="G53"/>
      <c r="H53" s="260"/>
      <c r="I53" s="260"/>
      <c r="J53" s="230">
        <v>42800</v>
      </c>
      <c r="K53" s="250"/>
      <c r="L53" s="14"/>
      <c r="M53" s="12"/>
      <c r="N53" s="12">
        <f>N52/O41</f>
        <v>61488.113066457161</v>
      </c>
      <c r="O53" s="45" t="s">
        <v>25</v>
      </c>
      <c r="P53" s="14"/>
      <c r="Q53" s="14"/>
      <c r="R53"/>
      <c r="S53" s="238"/>
      <c r="T53" s="59" t="s">
        <v>159</v>
      </c>
      <c r="U53" s="312">
        <v>43650</v>
      </c>
    </row>
    <row r="54" spans="2:23" s="230" customFormat="1" ht="17.399999999999999" x14ac:dyDescent="0.35">
      <c r="G54"/>
      <c r="J54" s="230">
        <f>J53/1.19</f>
        <v>35966.386554621851</v>
      </c>
      <c r="K54" s="250"/>
      <c r="L54" s="13"/>
      <c r="M54" s="14"/>
      <c r="N54" s="17">
        <f>N52/N51</f>
        <v>2.2000000000000002</v>
      </c>
      <c r="O54" s="15"/>
      <c r="P54"/>
      <c r="Q54"/>
      <c r="R54"/>
      <c r="S54" s="238"/>
      <c r="T54" s="59" t="s">
        <v>161</v>
      </c>
      <c r="U54" s="313" t="s">
        <v>160</v>
      </c>
      <c r="V54" s="59">
        <v>2.4</v>
      </c>
    </row>
    <row r="55" spans="2:23" s="230" customFormat="1" ht="17.399999999999999" x14ac:dyDescent="0.35">
      <c r="G55" s="23"/>
      <c r="K55" s="12"/>
      <c r="S55" s="238"/>
      <c r="T55" s="59" t="s">
        <v>162</v>
      </c>
      <c r="U55" s="314">
        <v>395.37</v>
      </c>
    </row>
    <row r="56" spans="2:23" s="230" customFormat="1" ht="17.399999999999999" x14ac:dyDescent="0.35">
      <c r="B56"/>
      <c r="C56" s="228"/>
      <c r="D56" s="22"/>
      <c r="E56" s="22"/>
      <c r="F56" s="21"/>
      <c r="G56" s="23"/>
      <c r="K56" s="12"/>
      <c r="S56" s="238"/>
      <c r="T56" s="59" t="s">
        <v>157</v>
      </c>
      <c r="U56" s="59">
        <v>474.45</v>
      </c>
    </row>
    <row r="57" spans="2:23" ht="14.4" customHeight="1" x14ac:dyDescent="0.3">
      <c r="K57" s="12"/>
      <c r="T57" s="59"/>
      <c r="U57" s="59"/>
    </row>
    <row r="58" spans="2:23" x14ac:dyDescent="0.3">
      <c r="K58" s="250"/>
    </row>
    <row r="59" spans="2:23" x14ac:dyDescent="0.3">
      <c r="K59" s="250"/>
      <c r="S59" s="270"/>
    </row>
    <row r="60" spans="2:23" x14ac:dyDescent="0.3">
      <c r="K60" s="250"/>
    </row>
    <row r="61" spans="2:23" ht="15" customHeight="1" x14ac:dyDescent="0.3"/>
    <row r="63" spans="2:23" x14ac:dyDescent="0.3">
      <c r="N63">
        <v>40935</v>
      </c>
      <c r="O63" t="s">
        <v>17</v>
      </c>
      <c r="P63" t="s">
        <v>27</v>
      </c>
    </row>
    <row r="65" spans="14:19" x14ac:dyDescent="0.3">
      <c r="N65" s="54"/>
      <c r="O65" s="54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4" spans="14:19" x14ac:dyDescent="0.3">
      <c r="R74" s="18"/>
      <c r="S74" s="18"/>
    </row>
    <row r="77" spans="14:19" x14ac:dyDescent="0.3">
      <c r="N77" s="43"/>
    </row>
    <row r="78" spans="14:19" x14ac:dyDescent="0.3">
      <c r="N78" s="43"/>
    </row>
    <row r="79" spans="14:19" x14ac:dyDescent="0.3">
      <c r="N79" s="6"/>
    </row>
    <row r="80" spans="14:19" x14ac:dyDescent="0.3">
      <c r="N80" s="6"/>
    </row>
    <row r="88" spans="3:3" x14ac:dyDescent="0.3">
      <c r="C88" t="s">
        <v>149</v>
      </c>
    </row>
    <row r="89" spans="3:3" x14ac:dyDescent="0.3">
      <c r="C89" t="s">
        <v>148</v>
      </c>
    </row>
    <row r="92" spans="3:3" x14ac:dyDescent="0.3">
      <c r="C92" t="s">
        <v>148</v>
      </c>
    </row>
    <row r="169" spans="3:3" x14ac:dyDescent="0.3">
      <c r="C169" t="s">
        <v>148</v>
      </c>
    </row>
    <row r="170" spans="3:3" x14ac:dyDescent="0.3">
      <c r="C170" t="s">
        <v>150</v>
      </c>
    </row>
    <row r="171" spans="3:3" x14ac:dyDescent="0.3">
      <c r="C171" t="s">
        <v>151</v>
      </c>
    </row>
    <row r="596" spans="3:3" x14ac:dyDescent="0.3">
      <c r="C596" t="s">
        <v>148</v>
      </c>
    </row>
  </sheetData>
  <mergeCells count="2">
    <mergeCell ref="F17:H17"/>
    <mergeCell ref="B19:H19"/>
  </mergeCells>
  <phoneticPr fontId="34" type="noConversion"/>
  <hyperlinks>
    <hyperlink ref="F5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45700</v>
      </c>
    </row>
    <row r="6" spans="2:31" ht="16.2" thickBot="1" x14ac:dyDescent="0.35">
      <c r="B6" s="140" t="s">
        <v>2</v>
      </c>
      <c r="C6" s="139" t="str">
        <f>'2229'!C10</f>
        <v>OSCAR ALMARZA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99</v>
      </c>
      <c r="I7" s="344"/>
      <c r="J7" s="344"/>
      <c r="K7" s="345"/>
      <c r="N7" s="75"/>
      <c r="O7" s="342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11283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2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-145327.79098345412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'2229'!H39</f>
        <v>1400409</v>
      </c>
      <c r="E11" s="132">
        <f>D11*0.19</f>
        <v>266077.71000000002</v>
      </c>
      <c r="F11" s="131">
        <f>E11+D11</f>
        <v>1666486.71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-39337.790983454121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320268.03278743965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-57337.790983454121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1080140.9672125604</v>
      </c>
      <c r="E13" s="221">
        <f>(D11/D12)-1</f>
        <v>3.3726156114039787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-66337.790983454121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-105337.79098345412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528442.25409927533</v>
      </c>
      <c r="F15" s="216">
        <f>E15-D12</f>
        <v>208174.22131183569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-105337.79098345412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-65337.790983454121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'2229'!N46</f>
        <v>225000</v>
      </c>
      <c r="E19" s="123">
        <f>D19*0.19</f>
        <v>42750</v>
      </c>
      <c r="F19" s="120">
        <f>SUM(D19:E19)</f>
        <v>267750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'2229'!N45</f>
        <v>65433.942000000003</v>
      </c>
      <c r="E20" s="121">
        <f>D20*0.19</f>
        <v>12432.448980000001</v>
      </c>
      <c r="F20" s="120">
        <f>SUM(D20:E20)</f>
        <v>77866.390979999996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290433.94199999998</v>
      </c>
      <c r="E21" s="116">
        <f>SUM(E18:E20)</f>
        <v>55182.448980000001</v>
      </c>
      <c r="F21" s="115">
        <f>SUM(F18:F20)</f>
        <v>345616.39098000003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210895.26102000003</v>
      </c>
    </row>
    <row r="41" spans="2:16" ht="15" thickBot="1" x14ac:dyDescent="0.35">
      <c r="H41" s="346" t="s">
        <v>61</v>
      </c>
      <c r="I41" s="347"/>
      <c r="J41" s="347"/>
      <c r="K41" s="347"/>
      <c r="L41" s="347"/>
      <c r="M41" s="348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1400409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290433.94199999998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1080140.9672125604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1080140.9672125604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2025-02-18T18:07:11Z</dcterms:modified>
</cp:coreProperties>
</file>