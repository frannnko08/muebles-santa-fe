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62E2DA9E-47AE-4CBD-9C0E-2AE654198E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M24" i="1"/>
  <c r="N24" i="1"/>
  <c r="O24" i="1" s="1"/>
  <c r="P24" i="1" s="1"/>
  <c r="H24" i="1"/>
  <c r="L23" i="1"/>
  <c r="M23" i="1"/>
  <c r="N23" i="1"/>
  <c r="H23" i="1"/>
  <c r="O23" i="1" l="1"/>
  <c r="P23" i="1" s="1"/>
  <c r="L22" i="1"/>
  <c r="M22" i="1"/>
  <c r="N22" i="1"/>
  <c r="H22" i="1"/>
  <c r="L21" i="1"/>
  <c r="N21" i="1"/>
  <c r="S22" i="1" l="1"/>
  <c r="O22" i="1"/>
  <c r="P22" i="1" s="1"/>
  <c r="M21" i="1"/>
  <c r="M28" i="1" s="1"/>
  <c r="S21" i="1" l="1"/>
  <c r="S28" i="1" s="1"/>
  <c r="T21" i="1"/>
  <c r="T27" i="1" s="1"/>
  <c r="O21" i="1"/>
  <c r="P21" i="1" s="1"/>
  <c r="K42" i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s="1"/>
  <c r="D20" i="3" l="1"/>
  <c r="E20" i="3" s="1"/>
  <c r="E21" i="3" s="1"/>
  <c r="Q20" i="1" l="1"/>
  <c r="Q24" i="1" s="1"/>
  <c r="R24" i="1" s="1"/>
  <c r="D21" i="3"/>
  <c r="M43" i="3" s="1"/>
  <c r="D12" i="3" s="1"/>
  <c r="F20" i="3"/>
  <c r="F21" i="3" s="1"/>
  <c r="Q23" i="1" l="1"/>
  <c r="R23" i="1" s="1"/>
  <c r="Q22" i="1"/>
  <c r="R22" i="1" s="1"/>
  <c r="O42" i="1"/>
  <c r="E15" i="3"/>
  <c r="Q21" i="1" l="1"/>
  <c r="F15" i="3"/>
  <c r="R21" i="1" l="1"/>
  <c r="H21" i="1" l="1"/>
  <c r="H27" i="1" l="1"/>
  <c r="H28" i="1" s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<sst xmlns="http://schemas.openxmlformats.org/spreadsheetml/2006/main" count="235" uniqueCount="173">
  <si>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</si>
  <si>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</si>
  <si>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</si>
  <si>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</si>
  <si>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</si>
  <si>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</si>
  <si>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</si>
  <si>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</si>
  <si>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</si>
  <si>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</si>
  <si>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</si>
  <si>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</si>
  <si>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</si>
  <si>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</si>
  <si>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</si>
  <si>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</si>
  <si>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</si>
  <si>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</si>
  <si>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</si>
  <si>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</si>
  <si>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</si>
  <si>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</si>
  <si>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</si>
  <si>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</si>
  <si>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</si>
  <si>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</si>
  <si>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</si>
  <si>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</si>
  <si>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</si>
  <si>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</si>
  <si>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</si>
  <si>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</si>
  <si>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</si>
  <si>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</si>
  <si>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</si>
  <si>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</si>
  <si>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</si>
  <si>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</si>
  <si>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</si>
  <si>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</si>
  <si>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</si>
  <si>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</si>
  <si>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</si>
  <si>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</si>
  <si>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</si>
  <si>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</si>
  <si>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</si>
  <si>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</si>
  <si>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</si>
  <si>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</si>
  <si>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</si>
  <si>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</si>
  <si>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</si>
  <si>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</si>
  <si>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</si>
  <si>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</si>
  <si>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</si>
  <si>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</si>
  <si>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</si>
  <si>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</si>
  <si>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</si>
  <si>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</si>
  <si>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</si>
  <si>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</si>
  <si>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</si>
  <si>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</si>
  <si>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</si>
  <si>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</si>
  <si>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</si>
  <si>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</si>
  <si>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</si>
  <si>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</si>
  <si>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</si>
  <si>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</si>
  <si>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</si>
  <si>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</si>
  <si>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</si>
  <si>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</si>
  <si>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</si>
  <si>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</si>
  <si>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</si>
  <si>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</si>
  <si>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</si>
  <si>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</si>
  <si>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</si>
  <si>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</si>
  <si>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</si>
  <si>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</si>
  <si>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</si>
  <si>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</si>
  <si>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</si>
  <si>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</si>
  <si>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</si>
  <si>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</si>
  <si>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</si>
  <si>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</si>
  <si>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</si>
  <si>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</si>
  <si>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</si>
  <si>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</si>
  <si>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</si>
  <si>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</si>
  <si>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</si>
  <si>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</si>
  <si>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</si>
  <si>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</si>
  <si>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</si>
  <si>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</si>
  <si>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</si>
  <si>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</si>
  <si>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</si>
  <si>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</si>
  <si>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</si>
  <si>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</si>
  <si>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</si>
  <si>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</si>
  <si>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</si>
  <si>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</si>
  <si>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</si>
  <si>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</si>
  <si>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</si>
  <si>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</si>
  <si>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</si>
  <si>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</si>
  <si>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</si>
  <si>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</si>
  <si>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</si>
  <si>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</si>
  <si>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</si>
  <si>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</si>
  <si>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</si>
  <si>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</si>
  <si>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</si>
  <si>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</si>
  <si>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</si>
  <si>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</si>
  <si>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</si>
  <si>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</si>
  <si>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</si>
  <si>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</si>
  <si>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</si>
  <si>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</si>
  <si>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</si>
  <si>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</si>
  <si>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</si>
  <si>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</si>
  <si>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</si>
  <si>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</si>
  <si>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</si>
  <si>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</si>
  <si>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</si>
  <si>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</si>
  <si>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</si>
  <si>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</si>
  <si>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</si>
  <si>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</si>
  <si>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</si>
  <si>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</si>
  <si>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</si>
  <si>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</si>
  <si>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</si>
  <si>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</si>
  <si>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</si>
  <si>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</si>
  <si>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</si>
  <si>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</si>
  <si>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</si>
  <si>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RENE VELASQUEZ</t>
  </si>
  <si>
    <t>7 DIAS HABILES</t>
  </si>
  <si>
    <t>+569 6644 8046</t>
  </si>
  <si>
    <t>CUB SIN RESPALDO FRENTE RECTO ENCHAPADO</t>
  </si>
  <si>
    <t>N° 11311</t>
  </si>
  <si>
    <t>COLOR X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</si>
</sst>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FRENTE RECTO ENCHAPADO CON</a:t>
          </a:r>
          <a:r>
            <a:rPr lang="es-CL" sz="1200" b="1" baseline="0"/>
            <a:t> LA MISMA LAMINA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3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48.66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45719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89001.699557263957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170</v>
      </c>
      <c r="D21" s="331">
        <v>1.51</v>
      </c>
      <c r="E21" s="331">
        <v>0.51500000000000001</v>
      </c>
      <c r="F21" s="330" t="s">
        <v>172</v>
      </c>
      <c r="G21" s="332">
        <v>77879</v>
      </c>
      <c r="H21" s="332">
        <f>G21*B21</f>
        <v>77879</v>
      </c>
      <c r="I21" s="320"/>
      <c r="J21" s="265"/>
      <c r="K21" s="47"/>
      <c r="L21" s="47">
        <f>B21</f>
        <v>1</v>
      </c>
      <c r="M21" s="39">
        <f>D21+M$19</f>
        <v>1.59</v>
      </c>
      <c r="N21" s="39">
        <f>E21+$N$19</f>
        <v>0.51500000000000001</v>
      </c>
      <c r="O21" s="261">
        <f t="shared" ref="O21" si="1">M21*N21</f>
        <v>0.81885000000000008</v>
      </c>
      <c r="P21" s="259">
        <f t="shared" ref="P21" si="2">O21*L21</f>
        <v>0.81885000000000008</v>
      </c>
      <c r="Q21" s="252">
        <f t="shared" ref="Q21" si="3">Q$20*O21</f>
        <v>72879.041682465599</v>
      </c>
      <c r="R21" s="319">
        <f t="shared" ref="R21" si="4">Q21+R$20</f>
        <v>77879.041682465599</v>
      </c>
      <c r="S21" s="297">
        <f>M21*L21</f>
        <v>1.59</v>
      </c>
      <c r="T21" s="46">
        <f>N21*2*L21*2</f>
        <v>2.06</v>
      </c>
      <c r="U21" s="9"/>
      <c r="X21" s="4"/>
    </row>
    <row r="22" spans="2:25" ht="17.399999999999999" x14ac:dyDescent="0.3">
      <c r="B22" s="330">
        <v>1</v>
      </c>
      <c r="C22" s="330" t="s">
        <v>170</v>
      </c>
      <c r="D22" s="331">
        <v>1.67</v>
      </c>
      <c r="E22" s="331">
        <v>0.51500000000000001</v>
      </c>
      <c r="F22" s="330" t="s">
        <v>172</v>
      </c>
      <c r="G22" s="332">
        <v>85213</v>
      </c>
      <c r="H22" s="332">
        <f t="shared" ref="H22:H23" si="5">G22*B22</f>
        <v>85213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1.75</v>
      </c>
      <c r="N22" s="39">
        <f t="shared" ref="N22" si="8">E22+$N$19</f>
        <v>0.51500000000000001</v>
      </c>
      <c r="O22" s="261">
        <f t="shared" ref="O22" si="9">M22*N22</f>
        <v>0.90125</v>
      </c>
      <c r="P22" s="259">
        <f t="shared" ref="P22" si="10">O22*L22</f>
        <v>0.90125</v>
      </c>
      <c r="Q22" s="252">
        <f t="shared" ref="Q22" si="11">Q$20*O22</f>
        <v>80212.781725984139</v>
      </c>
      <c r="R22" s="319">
        <f t="shared" ref="R22" si="12">Q22+R$20</f>
        <v>85212.781725984139</v>
      </c>
      <c r="S22" s="297">
        <f>M22*L22</f>
        <v>1.75</v>
      </c>
      <c r="T22" s="46"/>
      <c r="U22" s="9"/>
      <c r="X22" s="4"/>
    </row>
    <row r="23" spans="2:25" ht="17.399999999999999" x14ac:dyDescent="0.3">
      <c r="B23" s="330">
        <v>1</v>
      </c>
      <c r="C23" s="330" t="s">
        <v>170</v>
      </c>
      <c r="D23" s="331">
        <v>2.12</v>
      </c>
      <c r="E23" s="331">
        <v>0.32</v>
      </c>
      <c r="F23" s="330" t="s">
        <v>172</v>
      </c>
      <c r="G23" s="332">
        <v>67657</v>
      </c>
      <c r="H23" s="332">
        <f t="shared" si="5"/>
        <v>67657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2.2000000000000002</v>
      </c>
      <c r="N23" s="39">
        <f t="shared" ref="N23" si="15">E23+$N$19</f>
        <v>0.32</v>
      </c>
      <c r="O23" s="261">
        <f t="shared" ref="O23" si="16">M23*N23</f>
        <v>0.70400000000000007</v>
      </c>
      <c r="P23" s="259">
        <f t="shared" ref="P23" si="17">O23*L23</f>
        <v>0.70400000000000007</v>
      </c>
      <c r="Q23" s="252">
        <f t="shared" ref="Q23" si="18">Q$20*O23</f>
        <v>62657.196488313835</v>
      </c>
      <c r="R23" s="319">
        <f t="shared" ref="R23" si="19">Q23+R$20</f>
        <v>67657.196488313843</v>
      </c>
      <c r="S23" s="297"/>
      <c r="T23" s="46"/>
      <c r="U23" s="9"/>
      <c r="X23" s="4"/>
    </row>
    <row r="24" spans="2:25" ht="17.399999999999999" x14ac:dyDescent="0.3">
      <c r="B24" s="330">
        <v>2</v>
      </c>
      <c r="C24" s="330" t="s">
        <v>170</v>
      </c>
      <c r="D24" s="331">
        <v>1.45</v>
      </c>
      <c r="E24" s="331">
        <v>0.32</v>
      </c>
      <c r="F24" s="330" t="s">
        <v>172</v>
      </c>
      <c r="G24" s="332">
        <v>48575</v>
      </c>
      <c r="H24" s="332">
        <f t="shared" ref="H24" si="20">G24*B24</f>
        <v>97150</v>
      </c>
      <c r="I24" s="320"/>
      <c r="J24" s="265"/>
      <c r="K24" s="47"/>
      <c r="L24" s="47">
        <v>1</v>
      </c>
      <c r="M24" s="39">
        <f t="shared" ref="M24" si="21">D24+M$19</f>
        <v>1.53</v>
      </c>
      <c r="N24" s="39">
        <f t="shared" ref="N24" si="22">E24+$N$19</f>
        <v>0.32</v>
      </c>
      <c r="O24" s="261">
        <f t="shared" ref="O24" si="23">M24*N24</f>
        <v>0.48960000000000004</v>
      </c>
      <c r="P24" s="259">
        <f t="shared" ref="P24" si="24">O24*L24</f>
        <v>0.48960000000000004</v>
      </c>
      <c r="Q24" s="252">
        <f t="shared" ref="Q24" si="25">Q$20*O24</f>
        <v>43575.232103236434</v>
      </c>
      <c r="R24" s="319">
        <f t="shared" ref="R24" si="26">Q24+R$20</f>
        <v>48575.232103236434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327899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2.06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62300.81</v>
      </c>
      <c r="I28" s="322"/>
      <c r="J28" s="265"/>
      <c r="K28" s="47"/>
      <c r="L28" s="47"/>
      <c r="M28" s="39">
        <f>SUM(M21:M22)</f>
        <v>3.34</v>
      </c>
      <c r="N28" s="12"/>
      <c r="O28" s="12"/>
      <c r="P28" s="253">
        <f>SUM(P21:P26)</f>
        <v>2.9137000000000004</v>
      </c>
      <c r="Q28" s="14"/>
      <c r="R28" s="12"/>
      <c r="S28" s="239">
        <f>SUM(S21:S27)</f>
        <v>3.34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390199.81</v>
      </c>
      <c r="I29" s="322"/>
      <c r="J29" s="265"/>
      <c r="K29" s="47"/>
      <c r="L29" s="47"/>
      <c r="M29" s="39"/>
      <c r="N29" s="12"/>
      <c r="O29" s="12"/>
      <c r="P29" s="253">
        <f>P28</f>
        <v>2.9137000000000004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0.58274000000000015</v>
      </c>
      <c r="Q30" s="39" t="s">
        <v>130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3.4964400000000007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3.4964400000000007</v>
      </c>
      <c r="N33" s="12">
        <v>1500</v>
      </c>
      <c r="O33" s="12">
        <f t="shared" ref="O33:O38" si="27">M33*N33</f>
        <v>5244.6600000000008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25000</v>
      </c>
      <c r="O34" s="12">
        <f t="shared" si="27"/>
        <v>25000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27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2</v>
      </c>
      <c r="N36" s="250">
        <v>43815</v>
      </c>
      <c r="O36" s="12">
        <f t="shared" si="27"/>
        <v>87630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27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/>
      <c r="N38" s="12">
        <v>500</v>
      </c>
      <c r="O38" s="12">
        <f t="shared" si="27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117874.66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259324.25200000004</v>
      </c>
      <c r="P40" s="14" t="s">
        <v>140</v>
      </c>
      <c r="Q40" s="14"/>
      <c r="R40" s="40">
        <f>P31/R39</f>
        <v>0.94274158757549631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60910</v>
      </c>
      <c r="L41" s="250"/>
      <c r="M41" s="14"/>
      <c r="N41" s="12"/>
      <c r="O41" s="12">
        <f>O40/P29</f>
        <v>89001.699557263957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51184.873949579836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45719</v>
      </c>
    </row>
    <row r="6" spans="2:31" ht="16.2" thickBot="1" x14ac:dyDescent="0.35">
      <c r="B6" s="140" t="s">
        <v>2</v>
      </c>
      <c r="C6" s="139" t="str">
        <f>'2229'!C10</f>
        <v>RENE VELASQUEZ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-38128.176866787442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327899</v>
      </c>
      <c r="E11" s="132">
        <f>D11*0.19</f>
        <v>62300.81</v>
      </c>
      <c r="F11" s="131">
        <f>E11+D11</f>
        <v>390199.81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67861.823133212558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60078.750787439611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49861.823133212558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267820.24921256036</v>
      </c>
      <c r="E13" s="221">
        <f>(D11/D12)-1</f>
        <v>4.4578198731214691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40861.823133212558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1861.8231332125579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99129.938799275347</v>
      </c>
      <c r="F15" s="216">
        <f>E15-D12</f>
        <v>39051.188011835737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1861.8231332125579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41861.823133212558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5244.6600000000008</v>
      </c>
      <c r="E20" s="121">
        <f>D20*0.19</f>
        <v>996.48540000000014</v>
      </c>
      <c r="F20" s="120">
        <f>SUM(D20:E20)</f>
        <v>6241.1454000000012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30244.66</v>
      </c>
      <c r="E21" s="116">
        <f>SUM(E18:E20)</f>
        <v>5746.4854000000005</v>
      </c>
      <c r="F21" s="115">
        <f>SUM(F18:F20)</f>
        <v>35991.145400000001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56554.3246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327899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30244.66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267820.24921256036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267820.24921256036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2025-03-03T12:41:53Z</dcterms:modified>
</cp:coreProperties>
</file>