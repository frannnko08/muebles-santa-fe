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BF25CBC3-DE09-4860-AEBC-E3AC892AC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L21" i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<sst xmlns="http://schemas.openxmlformats.org/spreadsheetml/2006/main" count="229" uniqueCount="173">
  <si>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</si>
  <si>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</si>
  <si>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</si>
  <si>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</si>
  <si>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</si>
  <si>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</si>
  <si>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</si>
  <si>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</si>
  <si>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</si>
  <si>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</si>
  <si>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</si>
  <si>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</si>
  <si>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</si>
  <si>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</si>
  <si>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</si>
  <si>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</si>
  <si>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</si>
  <si>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</si>
  <si>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</si>
  <si>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</si>
  <si>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</si>
  <si>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</si>
  <si>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</si>
  <si>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</si>
  <si>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</si>
  <si>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</si>
  <si>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</si>
  <si>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</si>
  <si>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</si>
  <si>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</si>
  <si>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</si>
  <si>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</si>
  <si>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</si>
  <si>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</si>
  <si>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</si>
  <si>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</si>
  <si>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</si>
  <si>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</si>
  <si>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</si>
  <si>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</si>
  <si>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</si>
  <si>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</si>
  <si>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</si>
  <si>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</si>
  <si>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</si>
  <si>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</si>
  <si>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</si>
  <si>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</si>
  <si>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</si>
  <si>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</si>
  <si>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</si>
  <si>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</si>
  <si>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</si>
  <si>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</si>
  <si>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</si>
  <si>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</si>
  <si>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</si>
  <si>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</si>
  <si>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</si>
  <si>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</si>
  <si>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</si>
  <si>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</si>
  <si>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</si>
  <si>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</si>
  <si>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</si>
  <si>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</si>
  <si>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</si>
  <si>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</si>
  <si>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</si>
  <si>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</si>
  <si>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</si>
  <si>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</si>
  <si>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</si>
  <si>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</si>
  <si>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</si>
  <si>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</si>
  <si>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</si>
  <si>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</si>
  <si>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</si>
  <si>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</si>
  <si>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</si>
  <si>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</si>
  <si>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</si>
  <si>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</si>
  <si>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</si>
  <si>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</si>
  <si>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</si>
  <si>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</si>
  <si>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</si>
  <si>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</si>
  <si>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</si>
  <si>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</si>
  <si>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</si>
  <si>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</si>
  <si>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</si>
  <si>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</si>
  <si>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</si>
  <si>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</si>
  <si>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</si>
  <si>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</si>
  <si>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</si>
  <si>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</si>
  <si>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</si>
  <si>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</si>
  <si>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</si>
  <si>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</si>
  <si>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</si>
  <si>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</si>
  <si>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</si>
  <si>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</si>
  <si>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</si>
  <si>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</si>
  <si>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</si>
  <si>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</si>
  <si>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</si>
  <si>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</si>
  <si>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</si>
  <si>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</si>
  <si>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</si>
  <si>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</si>
  <si>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</si>
  <si>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</si>
  <si>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</si>
  <si>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</si>
  <si>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</si>
  <si>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</si>
  <si>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</si>
  <si>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</si>
  <si>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</si>
  <si>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</si>
  <si>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</si>
  <si>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</si>
  <si>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</si>
  <si>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</si>
  <si>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</si>
  <si>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</si>
  <si>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</si>
  <si>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</si>
  <si>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</si>
  <si>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</si>
  <si>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</si>
  <si>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</si>
  <si>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</si>
  <si>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</si>
  <si>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</si>
  <si>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</si>
  <si>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</si>
  <si>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</si>
  <si>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</si>
  <si>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</si>
  <si>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</si>
  <si>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</si>
  <si>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</si>
  <si>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</si>
  <si>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</si>
  <si>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</si>
  <si>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</si>
  <si>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</si>
  <si>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</si>
  <si>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</si>
  <si>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</si>
  <si>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</si>
  <si>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</si>
  <si>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</si>
  <si>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</si>
  <si>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</si>
  <si>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</si>
  <si>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URGENTE</t>
  </si>
  <si>
    <t>N° 11288</t>
  </si>
  <si>
    <t>ESTÁNDAR SPA</t>
  </si>
  <si>
    <t>76.761.179-K</t>
  </si>
  <si>
    <t>CUB MESA 180° 4L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</si>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</sst>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45702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170</v>
      </c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6301.9015026282068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760</v>
      </c>
      <c r="E21" s="331">
        <v>510</v>
      </c>
      <c r="F21" s="330" t="s">
        <v>172</v>
      </c>
      <c r="G21" s="332">
        <v>38516</v>
      </c>
      <c r="H21" s="332">
        <f>G21*B21</f>
        <v>38516</v>
      </c>
      <c r="I21" s="320"/>
      <c r="J21" s="265"/>
      <c r="K21" s="47"/>
      <c r="L21" s="333">
        <f>B21</f>
        <v>1</v>
      </c>
      <c r="M21" s="39">
        <f>D21+M$19</f>
        <v>760.08</v>
      </c>
      <c r="N21" s="39">
        <f>E21+$N$19</f>
        <v>510</v>
      </c>
      <c r="O21" s="261">
        <f t="shared" ref="O21" si="1">M21*N21</f>
        <v>387640.80000000005</v>
      </c>
      <c r="P21" s="259">
        <f t="shared" ref="P21" si="2">O21*L21</f>
        <v>387640.80000000005</v>
      </c>
      <c r="Q21" s="252">
        <f t="shared" ref="Q21" si="3">Q$20*O21</f>
        <v>2442874140.0000005</v>
      </c>
      <c r="R21" s="319">
        <f t="shared" ref="R21" si="4">Q21+R$20</f>
        <v>2442877140.0000005</v>
      </c>
      <c r="S21" s="297"/>
      <c r="T21" s="46">
        <f>N21*2*L21*2</f>
        <v>2040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38516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2040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7318.04</v>
      </c>
      <c r="I25" s="322"/>
      <c r="J25" s="265"/>
      <c r="K25" s="47"/>
      <c r="L25" s="47"/>
      <c r="M25" s="39">
        <f>SUM(M21:M24)</f>
        <v>760.08</v>
      </c>
      <c r="N25" s="12"/>
      <c r="O25" s="12"/>
      <c r="P25" s="253">
        <f>SUM(P21:P23)</f>
        <v>387640.80000000005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45834.04</v>
      </c>
      <c r="I26" s="322"/>
      <c r="J26" s="265"/>
      <c r="K26" s="47">
        <v>70</v>
      </c>
      <c r="L26" s="47"/>
      <c r="M26" s="39"/>
      <c r="N26" s="12"/>
      <c r="O26" s="12"/>
      <c r="P26" s="253">
        <f>P25</f>
        <v>387640.80000000005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>
        <v>12</v>
      </c>
      <c r="L27" s="47"/>
      <c r="M27" s="14"/>
      <c r="N27" s="12"/>
      <c r="O27" s="12"/>
      <c r="P27" s="39">
        <f>P26*20%</f>
        <v>77528.160000000018</v>
      </c>
      <c r="Q27" s="39" t="s">
        <v>130</v>
      </c>
      <c r="R27" s="42"/>
      <c r="S27" s="240">
        <f>S26+T24</f>
        <v>2040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>
        <f>K26-K27</f>
        <v>58</v>
      </c>
      <c r="L28" s="47"/>
      <c r="M28" s="14"/>
      <c r="N28" s="12"/>
      <c r="O28" s="12"/>
      <c r="P28" s="46">
        <f>P26+P27</f>
        <v>465168.96000000008</v>
      </c>
      <c r="Q28" s="14"/>
      <c r="R28" s="14"/>
      <c r="S28" s="238">
        <f>S27*20%</f>
        <v>408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2448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465168.96000000008</v>
      </c>
      <c r="N30" s="12">
        <v>2500</v>
      </c>
      <c r="O30" s="12">
        <f t="shared" ref="O30:O35" si="5">M30*N30</f>
        <v>1162922400.0000002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6</v>
      </c>
      <c r="N31" s="12">
        <v>23500</v>
      </c>
      <c r="O31" s="12">
        <f t="shared" si="5"/>
        <v>141000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>
        <v>6</v>
      </c>
      <c r="N32" s="250">
        <v>35000</v>
      </c>
      <c r="O32" s="12">
        <f t="shared" si="5"/>
        <v>210000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33853.119999999995</v>
      </c>
      <c r="L33" s="250"/>
      <c r="M33" s="14"/>
      <c r="N33" s="250">
        <v>28448</v>
      </c>
      <c r="O33" s="12">
        <f t="shared" si="5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61818.119999999995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51948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9870.1199999999953</v>
      </c>
      <c r="L36" s="250"/>
      <c r="M36" s="14"/>
      <c r="N36" s="12"/>
      <c r="O36" s="12">
        <f>SUM(O30:O35)</f>
        <v>1163273400.0000002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2442874140.0000005</v>
      </c>
      <c r="P37" s="14" t="s">
        <v>140</v>
      </c>
      <c r="Q37" s="14"/>
      <c r="R37" s="40">
        <f>P28/R36</f>
        <v>125423.03710094911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6301.9015026282068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45702</v>
      </c>
    </row>
    <row r="6" spans="2:31" ht="16.2" thickBot="1" x14ac:dyDescent="0.35">
      <c r="B6" s="140" t="s">
        <v>2</v>
      </c>
      <c r="C6" s="139" t="str">
        <f>'2229'!C10</f>
        <v>ESTÁNDAR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11288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319901970.04163325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38516</v>
      </c>
      <c r="E11" s="132">
        <f>D11*0.19</f>
        <v>7318.04</v>
      </c>
      <c r="F11" s="131">
        <f>E11+D11</f>
        <v>45834.04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320007960.04163325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1163303234.0907876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319989960.04163325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-1163264718.0907876</v>
      </c>
      <c r="E13" s="221">
        <f>(D11/D12)-1</f>
        <v>-0.99996689083390189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319980960.04163325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319941960.04163325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1919450336.2497995</v>
      </c>
      <c r="F15" s="216">
        <f>E15-D12</f>
        <v>756147102.15901184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319941960.04163325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319981960.04163325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210000</v>
      </c>
      <c r="E18" s="123">
        <f>D18*0.19</f>
        <v>39900</v>
      </c>
      <c r="F18" s="120">
        <f>SUM(D18:E18)</f>
        <v>249900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1162922400.0000002</v>
      </c>
      <c r="E20" s="121">
        <f>D20*0.19</f>
        <v>220955256.00000006</v>
      </c>
      <c r="F20" s="120">
        <f>SUM(D20:E20)</f>
        <v>1383877656.0000002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1163273400.0000002</v>
      </c>
      <c r="E21" s="116">
        <f>SUM(E18:E20)</f>
        <v>221021946.00000006</v>
      </c>
      <c r="F21" s="115">
        <f>SUM(F18:F20)</f>
        <v>1384295346.0000002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-221014627.96000007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38516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1163273400.0000002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-1163264718.0907876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-1163264718.0907876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2025-02-17T13:39:25Z</dcterms:modified>
</cp:coreProperties>
</file>