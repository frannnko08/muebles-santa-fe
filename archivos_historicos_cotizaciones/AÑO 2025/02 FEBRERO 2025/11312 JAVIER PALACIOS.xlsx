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9DC9966A-4038-4CF5-A9AD-80AC608E11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3" i="1"/>
  <c r="M23" i="1"/>
  <c r="N23" i="1"/>
  <c r="H23" i="1"/>
  <c r="O23" i="1" l="1"/>
  <c r="P23" i="1" s="1"/>
  <c r="L22" i="1"/>
  <c r="M22" i="1"/>
  <c r="N22" i="1"/>
  <c r="H22" i="1"/>
  <c r="L21" i="1"/>
  <c r="N21" i="1"/>
  <c r="S22" i="1" l="1"/>
  <c r="O22" i="1"/>
  <c r="P22" i="1" s="1"/>
  <c r="M21" i="1"/>
  <c r="M27" i="1" s="1"/>
  <c r="S21" i="1" l="1"/>
  <c r="S27" i="1" s="1"/>
  <c r="T21" i="1"/>
  <c r="T26" i="1" s="1"/>
  <c r="O21" i="1"/>
  <c r="P21" i="1" s="1"/>
  <c r="K41" i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s="1"/>
  <c r="D20" i="3" l="1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l="1"/>
  <c r="H27" i="1" s="1"/>
  <c r="D11" i="3" l="1"/>
  <c r="X9" i="3" s="1"/>
  <c r="X15" i="3" s="1"/>
  <c r="H28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<sst xmlns="http://schemas.openxmlformats.org/spreadsheetml/2006/main" count="233" uniqueCount="172">
  <si>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</si>
  <si>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</si>
  <si>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</si>
  <si>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</si>
  <si>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</si>
  <si>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</si>
  <si>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</si>
  <si>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</si>
  <si>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</si>
  <si>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</si>
  <si>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</si>
  <si>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</si>
  <si>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</si>
  <si>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</si>
  <si>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</si>
  <si>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</si>
  <si>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</si>
  <si>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</si>
  <si>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</si>
  <si>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</si>
  <si>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</si>
  <si>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</si>
  <si>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</si>
  <si>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</si>
  <si>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</si>
  <si>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</si>
  <si>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</si>
  <si>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</si>
  <si>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</si>
  <si>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</si>
  <si>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</si>
  <si>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</si>
  <si>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</si>
  <si>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</si>
  <si>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</si>
  <si>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</si>
  <si>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</si>
  <si>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</si>
  <si>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</si>
  <si>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</si>
  <si>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</si>
  <si>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</si>
  <si>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</si>
  <si>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</si>
  <si>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</si>
  <si>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</si>
  <si>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</si>
  <si>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</si>
  <si>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</si>
  <si>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</si>
  <si>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</si>
  <si>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</si>
  <si>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</si>
  <si>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</si>
  <si>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</si>
  <si>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</si>
  <si>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</si>
  <si>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</si>
  <si>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</si>
  <si>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</si>
  <si>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</si>
  <si>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</si>
  <si>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</si>
  <si>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</si>
  <si>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</si>
  <si>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</si>
  <si>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</si>
  <si>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</si>
  <si>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</si>
  <si>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</si>
  <si>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</si>
  <si>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</si>
  <si>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</si>
  <si>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</si>
  <si>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</si>
  <si>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</si>
  <si>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</si>
  <si>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</si>
  <si>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</si>
  <si>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</si>
  <si>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</si>
  <si>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</si>
  <si>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</si>
  <si>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</si>
  <si>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</si>
  <si>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</si>
  <si>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</si>
  <si>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</si>
  <si>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</si>
  <si>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</si>
  <si>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</si>
  <si>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</si>
  <si>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</si>
  <si>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</si>
  <si>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</si>
  <si>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</si>
  <si>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</si>
  <si>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</si>
  <si>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</si>
  <si>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</si>
  <si>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</si>
  <si>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</si>
  <si>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</si>
  <si>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</si>
  <si>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</si>
  <si>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</si>
  <si>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</si>
  <si>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</si>
  <si>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</si>
  <si>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</si>
  <si>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</si>
  <si>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</si>
  <si>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</si>
  <si>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</si>
  <si>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</si>
  <si>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</si>
  <si>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</si>
  <si>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</si>
  <si>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</si>
  <si>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</si>
  <si>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</si>
  <si>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</si>
  <si>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</si>
  <si>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</si>
  <si>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</si>
  <si>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</si>
  <si>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</si>
  <si>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</si>
  <si>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</si>
  <si>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</si>
  <si>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</si>
  <si>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</si>
  <si>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</si>
  <si>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</si>
  <si>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</si>
  <si>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</si>
  <si>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</si>
  <si>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</si>
  <si>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</si>
  <si>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</si>
  <si>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</si>
  <si>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</si>
  <si>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</si>
  <si>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</si>
  <si>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</si>
  <si>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</si>
  <si>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</si>
  <si>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</si>
  <si>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</si>
  <si>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</si>
  <si>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</si>
  <si>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</si>
  <si>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</si>
  <si>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</si>
  <si>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</si>
  <si>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</si>
  <si>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</si>
  <si>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</si>
  <si>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</si>
  <si>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</si>
  <si>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</si>
  <si>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</si>
  <si>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</si>
  <si>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</si>
  <si>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</si>
  <si>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</si>
  <si>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</si>
  <si>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7 DIAS HABILES</t>
  </si>
  <si>
    <t>N° 11312</t>
  </si>
  <si>
    <t>JAVIER PALACIOS</t>
  </si>
  <si>
    <t>+569 5495 7348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</si>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</sst>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DE 3510</a:t>
          </a:r>
          <a:r>
            <a:rPr lang="es-CL" sz="1200" b="1" baseline="0"/>
            <a:t> X 680 DEBE LLEVAR UNION DE LAMINADO,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8" zoomScale="93" zoomScaleNormal="93" workbookViewId="0">
      <selection activeCell="F22" sqref="F22:F23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45719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68556.967267869069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35</v>
      </c>
      <c r="D21" s="331">
        <v>3.51</v>
      </c>
      <c r="E21" s="331">
        <v>0.68</v>
      </c>
      <c r="F21" s="330" t="s">
        <v>171</v>
      </c>
      <c r="G21" s="332">
        <v>167361</v>
      </c>
      <c r="H21" s="332">
        <f>G21*B21</f>
        <v>167361</v>
      </c>
      <c r="I21" s="320"/>
      <c r="J21" s="265"/>
      <c r="K21" s="47"/>
      <c r="L21" s="47">
        <f>B21</f>
        <v>1</v>
      </c>
      <c r="M21" s="39">
        <f>D21+M$19</f>
        <v>3.59</v>
      </c>
      <c r="N21" s="39">
        <f>E21+$N$19</f>
        <v>0.68</v>
      </c>
      <c r="O21" s="261">
        <f t="shared" ref="O21" si="1">M21*N21</f>
        <v>2.4412000000000003</v>
      </c>
      <c r="P21" s="259">
        <f t="shared" ref="P21" si="2">O21*L21</f>
        <v>2.4412000000000003</v>
      </c>
      <c r="Q21" s="252">
        <f t="shared" ref="Q21" si="3">Q$20*O21</f>
        <v>167361.26849432199</v>
      </c>
      <c r="R21" s="319">
        <f t="shared" ref="R21" si="4">Q21+R$20</f>
        <v>172361.26849432199</v>
      </c>
      <c r="S21" s="297">
        <f>M21*L21</f>
        <v>3.59</v>
      </c>
      <c r="T21" s="46">
        <f>N21*2*L21*2</f>
        <v>2.72</v>
      </c>
      <c r="U21" s="9"/>
      <c r="X21" s="4"/>
    </row>
    <row r="22" spans="2:25" ht="17.399999999999999" x14ac:dyDescent="0.3">
      <c r="B22" s="330">
        <v>1</v>
      </c>
      <c r="C22" s="330" t="s">
        <v>35</v>
      </c>
      <c r="D22" s="331">
        <v>2.2850000000000001</v>
      </c>
      <c r="E22" s="331">
        <v>0.68</v>
      </c>
      <c r="F22" s="330" t="s">
        <v>171</v>
      </c>
      <c r="G22" s="332">
        <v>110253</v>
      </c>
      <c r="H22" s="332">
        <f t="shared" ref="H22:H23" si="5">G22*B22</f>
        <v>110253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2.3650000000000002</v>
      </c>
      <c r="N22" s="39">
        <f t="shared" ref="N22" si="8">E22+$N$19</f>
        <v>0.68</v>
      </c>
      <c r="O22" s="261">
        <f t="shared" ref="O22" si="9">M22*N22</f>
        <v>1.6082000000000003</v>
      </c>
      <c r="P22" s="259">
        <f t="shared" ref="P22" si="10">O22*L22</f>
        <v>1.6082000000000003</v>
      </c>
      <c r="Q22" s="252">
        <f t="shared" ref="Q22" si="11">Q$20*O22</f>
        <v>110253.31476018706</v>
      </c>
      <c r="R22" s="319">
        <f t="shared" ref="R22" si="12">Q22+R$20</f>
        <v>115253.31476018706</v>
      </c>
      <c r="S22" s="297">
        <f>M22*L22</f>
        <v>2.3650000000000002</v>
      </c>
      <c r="T22" s="46"/>
      <c r="U22" s="9"/>
      <c r="X22" s="4"/>
    </row>
    <row r="23" spans="2:25" ht="17.399999999999999" x14ac:dyDescent="0.3">
      <c r="B23" s="330">
        <v>1</v>
      </c>
      <c r="C23" s="330" t="s">
        <v>35</v>
      </c>
      <c r="D23" s="331">
        <v>1.45</v>
      </c>
      <c r="E23" s="331">
        <v>0.68</v>
      </c>
      <c r="F23" s="330" t="s">
        <v>171</v>
      </c>
      <c r="G23" s="332">
        <v>71327</v>
      </c>
      <c r="H23" s="332">
        <f t="shared" si="5"/>
        <v>71327</v>
      </c>
      <c r="I23" s="320"/>
      <c r="J23" s="265"/>
      <c r="K23" s="47"/>
      <c r="L23" s="47">
        <f t="shared" ref="L23" si="13">B23</f>
        <v>1</v>
      </c>
      <c r="M23" s="39">
        <f t="shared" ref="M23" si="14">D23+M$19</f>
        <v>1.53</v>
      </c>
      <c r="N23" s="39">
        <f t="shared" ref="N23" si="15">E23+$N$19</f>
        <v>0.68</v>
      </c>
      <c r="O23" s="261">
        <f t="shared" ref="O23" si="16">M23*N23</f>
        <v>1.0404</v>
      </c>
      <c r="P23" s="259">
        <f t="shared" ref="P23" si="17">O23*L23</f>
        <v>1.0404</v>
      </c>
      <c r="Q23" s="252">
        <f t="shared" ref="Q23" si="18">Q$20*O23</f>
        <v>71326.668745490984</v>
      </c>
      <c r="R23" s="319">
        <f t="shared" ref="R23" si="19">Q23+R$20</f>
        <v>76326.668745490984</v>
      </c>
      <c r="S23" s="297"/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348941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2.72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66298.789999999994</v>
      </c>
      <c r="I27" s="322"/>
      <c r="J27" s="265"/>
      <c r="K27" s="47"/>
      <c r="L27" s="47"/>
      <c r="M27" s="39">
        <f>SUM(M21:M22)</f>
        <v>5.9550000000000001</v>
      </c>
      <c r="N27" s="12"/>
      <c r="O27" s="12"/>
      <c r="P27" s="253">
        <f>SUM(P21:P25)</f>
        <v>5.0898000000000003</v>
      </c>
      <c r="Q27" s="14"/>
      <c r="R27" s="12"/>
      <c r="S27" s="239">
        <f>SUM(S21:S26)</f>
        <v>5.9550000000000001</v>
      </c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415239.79</v>
      </c>
      <c r="I28" s="322"/>
      <c r="J28" s="265"/>
      <c r="K28" s="47"/>
      <c r="L28" s="47"/>
      <c r="M28" s="39"/>
      <c r="N28" s="12"/>
      <c r="O28" s="12"/>
      <c r="P28" s="253">
        <f>P27</f>
        <v>5.0898000000000003</v>
      </c>
      <c r="Q28" s="14"/>
      <c r="R28" s="12"/>
      <c r="S28" s="239"/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1.0179600000000002</v>
      </c>
      <c r="Q29" s="39" t="s">
        <v>130</v>
      </c>
      <c r="R29" s="42"/>
      <c r="S29" s="240"/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6.1077600000000007</v>
      </c>
      <c r="Q30" s="14"/>
      <c r="R30" s="14"/>
      <c r="S30" s="238"/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/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6.1077600000000007</v>
      </c>
      <c r="N32" s="12">
        <v>3500</v>
      </c>
      <c r="O32" s="12">
        <f t="shared" ref="O32:O37" si="20">M32*N32</f>
        <v>21377.160000000003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2</v>
      </c>
      <c r="N33" s="12">
        <v>25000</v>
      </c>
      <c r="O33" s="12">
        <f t="shared" si="20"/>
        <v>50000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20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3</v>
      </c>
      <c r="N35" s="250">
        <v>26100</v>
      </c>
      <c r="O35" s="12">
        <f t="shared" si="20"/>
        <v>78300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20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>
        <v>5.9550000000000001</v>
      </c>
      <c r="N37" s="12">
        <v>1500</v>
      </c>
      <c r="O37" s="12">
        <f t="shared" si="20"/>
        <v>8932.5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158609.66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348941.25200000004</v>
      </c>
      <c r="P39" s="14" t="s">
        <v>140</v>
      </c>
      <c r="Q39" s="14"/>
      <c r="R39" s="40">
        <f>P30/R38</f>
        <v>1.6468291630716136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31030</v>
      </c>
      <c r="L40" s="250"/>
      <c r="M40" s="14"/>
      <c r="N40" s="12"/>
      <c r="O40" s="12">
        <f>O39/P28</f>
        <v>68556.967267869069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26075.63025210084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45719</v>
      </c>
    </row>
    <row r="6" spans="2:31" ht="16.2" thickBot="1" x14ac:dyDescent="0.35">
      <c r="B6" s="140" t="s">
        <v>2</v>
      </c>
      <c r="C6" s="139" t="str">
        <f>'2229'!C10</f>
        <v>JAVIER PALACIOS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-30323.739366787442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348941</v>
      </c>
      <c r="E11" s="132">
        <f>D11*0.19</f>
        <v>66298.789999999994</v>
      </c>
      <c r="F11" s="131">
        <f>E11+D11</f>
        <v>415239.79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75666.260633212558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101211.25078743961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57666.260633212558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247729.74921256039</v>
      </c>
      <c r="E13" s="221">
        <f>(D11/D12)-1</f>
        <v>2.4476503084902479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48666.260633212558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9666.2606332125579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166998.56379927535</v>
      </c>
      <c r="F15" s="216">
        <f>E15-D12</f>
        <v>65787.313011835737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9666.2606332125579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49666.260633212558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21377.160000000003</v>
      </c>
      <c r="E20" s="121">
        <f>D20*0.19</f>
        <v>4061.6604000000007</v>
      </c>
      <c r="F20" s="120">
        <f>SUM(D20:E20)</f>
        <v>25438.820400000004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71377.16</v>
      </c>
      <c r="E21" s="116">
        <f>SUM(E18:E20)</f>
        <v>13561.660400000001</v>
      </c>
      <c r="F21" s="115">
        <f>SUM(F18:F20)</f>
        <v>84938.820399999997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52737.129599999993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348941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71377.16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247729.74921256039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247729.74921256039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2025-03-03T16:31:15Z</dcterms:modified>
</cp:coreProperties>
</file>