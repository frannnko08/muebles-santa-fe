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2 FEBRERO 2025\"/>
    </mc:Choice>
  </mc:AlternateContent>
  <xr:revisionPtr revIDLastSave="0" documentId="13_ncr:1_{ECEEE3D1-AB5B-4074-8793-4CAF2521D0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J48" i="1" l="1"/>
  <c r="L21" i="1"/>
  <c r="R21" i="1" s="1"/>
  <c r="M21" i="1"/>
  <c r="L33" i="1" l="1"/>
  <c r="S21" i="1"/>
  <c r="N21" i="1"/>
  <c r="O21" i="1" s="1"/>
  <c r="O34" i="1" s="1"/>
  <c r="U41" i="1"/>
  <c r="U42" i="1" s="1"/>
  <c r="R35" i="1" l="1"/>
  <c r="N40" i="1"/>
  <c r="O35" i="1" l="1"/>
  <c r="O36" i="1" s="1"/>
  <c r="O37" i="1" s="1"/>
  <c r="L39" i="1" s="1"/>
  <c r="M20" i="1"/>
  <c r="K20" i="1"/>
  <c r="N41" i="1" l="1"/>
  <c r="Q45" i="1"/>
  <c r="N42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44" i="1"/>
  <c r="N43" i="1"/>
  <c r="F18" i="3" l="1"/>
  <c r="N39" i="1" l="1"/>
  <c r="Q46" i="1"/>
  <c r="N45" i="1" l="1"/>
  <c r="N46" i="1" s="1"/>
  <c r="D20" i="3"/>
  <c r="E20" i="3" s="1"/>
  <c r="E21" i="3" s="1"/>
  <c r="N48" i="1" l="1"/>
  <c r="D21" i="3"/>
  <c r="M43" i="3" s="1"/>
  <c r="D12" i="3" s="1"/>
  <c r="F20" i="3"/>
  <c r="F21" i="3" s="1"/>
  <c r="N47" i="1" l="1"/>
  <c r="P20" i="1" s="1"/>
  <c r="E15" i="3"/>
  <c r="P21" i="1" l="1"/>
  <c r="G21" i="1" s="1"/>
  <c r="H21" i="1" s="1"/>
  <c r="H33" i="1" s="1"/>
  <c r="H34" i="1" s="1"/>
  <c r="F15" i="3"/>
  <c r="Q21" i="1" l="1"/>
  <c r="D11" i="3" l="1"/>
  <c r="X9" i="3" s="1"/>
  <c r="X15" i="3" s="1"/>
  <c r="H35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<sst xmlns="http://schemas.openxmlformats.org/spreadsheetml/2006/main" count="238" uniqueCount="183">
  <si>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</si>
  <si>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</si>
  <si>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</si>
  <si>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</si>
  <si>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</si>
  <si>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</si>
  <si>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</si>
  <si>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</si>
  <si>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</si>
  <si>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</si>
  <si>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</si>
  <si>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</si>
  <si>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</si>
  <si>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</si>
  <si>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</si>
  <si>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</si>
  <si>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</si>
  <si>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</si>
  <si>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</si>
  <si>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</si>
  <si>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</si>
  <si>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</si>
  <si>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</si>
  <si>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</si>
  <si>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</si>
  <si>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</si>
  <si>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</si>
  <si>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</si>
  <si>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</si>
  <si>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</si>
  <si>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</si>
  <si>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</si>
  <si>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</si>
  <si>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</si>
  <si>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</si>
  <si>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</si>
  <si>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</si>
  <si>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</si>
  <si>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</si>
  <si>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</si>
  <si>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</si>
  <si>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</si>
  <si>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</si>
  <si>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</si>
  <si>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</si>
  <si>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</si>
  <si>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</si>
  <si>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</si>
  <si>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</si>
  <si>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</si>
  <si>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</si>
  <si>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</si>
  <si>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</si>
  <si>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</si>
  <si>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</si>
  <si>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</si>
  <si>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</si>
  <si>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</si>
  <si>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</si>
  <si>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</si>
  <si>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</si>
  <si>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</si>
  <si>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</si>
  <si>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</si>
  <si>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</si>
  <si>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</si>
  <si>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</si>
  <si>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</si>
  <si>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</si>
  <si>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</si>
  <si>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</si>
  <si>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</si>
  <si>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</si>
  <si>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</si>
  <si>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</si>
  <si>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</si>
  <si>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</si>
  <si>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</si>
  <si>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</si>
  <si>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</si>
  <si>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</si>
  <si>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</si>
  <si>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</si>
  <si>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</si>
  <si>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</si>
  <si>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</si>
  <si>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</si>
  <si>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</si>
  <si>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</si>
  <si>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</si>
  <si>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</si>
  <si>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</si>
  <si>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</si>
  <si>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</si>
  <si>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</si>
  <si>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</si>
  <si>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</si>
  <si>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</si>
  <si>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</si>
  <si>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</si>
  <si>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</si>
  <si>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</si>
  <si>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</si>
  <si>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</si>
  <si>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</si>
  <si>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</si>
  <si>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</si>
  <si>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</si>
  <si>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</si>
  <si>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</si>
  <si>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</si>
  <si>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</si>
  <si>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</si>
  <si>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</si>
  <si>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</si>
  <si>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</si>
  <si>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</si>
  <si>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</si>
  <si>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</si>
  <si>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</si>
  <si>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</si>
  <si>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</si>
  <si>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</si>
  <si>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</si>
  <si>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</si>
  <si>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</si>
  <si>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</si>
  <si>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</si>
  <si>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</si>
  <si>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</si>
  <si>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</si>
  <si>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</si>
  <si>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</si>
  <si>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</si>
  <si>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</si>
  <si>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</si>
  <si>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</si>
  <si>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</si>
  <si>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</si>
  <si>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</si>
  <si>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</si>
  <si>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</si>
  <si>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</si>
  <si>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</si>
  <si>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</si>
  <si>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</si>
  <si>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</si>
  <si>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</si>
  <si>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</si>
  <si>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</si>
  <si>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</si>
  <si>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</si>
  <si>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</si>
  <si>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</si>
  <si>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</si>
  <si>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</si>
  <si>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</si>
  <si>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</si>
  <si>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</si>
  <si>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</si>
  <si>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</si>
  <si>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</si>
  <si>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</si>
  <si>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</si>
  <si>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</si>
  <si>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ESKELETOR</t>
  </si>
  <si>
    <t>SANTIAGO</t>
  </si>
  <si>
    <t>N° 11280</t>
  </si>
  <si>
    <t>CUB CON RESPALDO 90°</t>
  </si>
  <si>
    <t>NEGRO BR</t>
  </si>
  <si>
    <t>SERVICIO INSTALACION</t>
  </si>
  <si>
    <t>El servicio de instalación incluye:</t>
  </si>
  <si>
    <t>- Desmontura de cubierta antigua</t>
  </si>
  <si>
    <t>- Instalación de cubierta nueva</t>
  </si>
  <si>
    <t>- Cortes 45°, desfondados, cortes a la medida, enchapados.</t>
  </si>
  <si>
    <t>- Sellado con cola fría</t>
  </si>
  <si>
    <r>
      <t xml:space="preserve">El servicio de instalación </t>
    </r>
    <r>
      <rPr>
        <b/>
        <sz val="12"/>
        <rFont val="Calibri"/>
        <family val="2"/>
        <scheme val="minor"/>
      </rPr>
      <t>NO</t>
    </r>
    <r>
      <rPr>
        <sz val="12"/>
        <rFont val="Calibri"/>
        <family val="2"/>
        <scheme val="minor"/>
      </rPr>
      <t xml:space="preserve"> incluye:</t>
    </r>
  </si>
  <si>
    <t>- Servicios de gasfiteria</t>
  </si>
  <si>
    <t>DURACION COTIZACION: 5 DIAS                            FRANCO DONOSO</t>
  </si>
  <si>
    <t>SI</t>
  </si>
  <si>
    <t>MARCO</t>
  </si>
  <si>
    <t>569 5011 3891</t>
  </si>
  <si>
    <t>- Transporte de cubiertas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</si>
</sst>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2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6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167" fontId="0" fillId="7" borderId="0" xfId="0" applyNumberFormat="1" applyFill="1"/>
    <xf numFmtId="166" fontId="3" fillId="7" borderId="0" xfId="0" applyNumberFormat="1" applyFont="1" applyFill="1"/>
    <xf numFmtId="0" fontId="24" fillId="20" borderId="3" xfId="0" applyFont="1" applyFill="1" applyBorder="1" applyAlignment="1">
      <alignment horizont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vertical="center"/>
    </xf>
    <xf numFmtId="0" fontId="32" fillId="0" borderId="0" xfId="0" quotePrefix="1" applyFont="1" applyBorder="1" applyAlignment="1">
      <alignment vertical="center"/>
    </xf>
    <xf numFmtId="0" fontId="32" fillId="0" borderId="12" xfId="0" applyFont="1" applyBorder="1" applyAlignment="1">
      <alignment vertical="center"/>
    </xf>
    <xf numFmtId="0" fontId="11" fillId="0" borderId="0" xfId="0" quotePrefix="1" applyFont="1" applyBorder="1"/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0" fontId="32" fillId="0" borderId="13" xfId="0" applyFont="1" applyBorder="1" applyAlignment="1">
      <alignment vertical="center"/>
    </xf>
    <xf numFmtId="0" fontId="32" fillId="0" borderId="57" xfId="0" applyFont="1" applyBorder="1" applyAlignment="1">
      <alignment vertical="center"/>
    </xf>
    <xf numFmtId="0" fontId="32" fillId="0" borderId="54" xfId="0" applyFont="1" applyBorder="1" applyAlignment="1">
      <alignment vertical="center"/>
    </xf>
    <xf numFmtId="0" fontId="32" fillId="0" borderId="55" xfId="0" applyFont="1" applyBorder="1" applyAlignment="1">
      <alignment vertical="center"/>
    </xf>
    <xf numFmtId="0" fontId="32" fillId="0" borderId="44" xfId="0" applyFont="1" applyBorder="1" applyAlignment="1">
      <alignment vertical="center"/>
    </xf>
    <xf numFmtId="0" fontId="32" fillId="0" borderId="37" xfId="0" quotePrefix="1" applyFont="1" applyBorder="1" applyAlignment="1">
      <alignment vertical="center"/>
    </xf>
    <xf numFmtId="0" fontId="32" fillId="0" borderId="37" xfId="0" applyFont="1" applyBorder="1" applyAlignment="1">
      <alignment vertical="center"/>
    </xf>
    <xf numFmtId="0" fontId="32" fillId="0" borderId="56" xfId="0" applyFont="1" applyBorder="1" applyAlignment="1">
      <alignment vertical="center"/>
    </xf>
    <xf numFmtId="0" fontId="32" fillId="0" borderId="58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2" fillId="0" borderId="21" xfId="0" applyFont="1" applyBorder="1" applyAlignment="1">
      <alignment horizontal="center" vertical="center"/>
    </xf>
    <xf numFmtId="41" fontId="32" fillId="0" borderId="1" xfId="4" applyFont="1" applyBorder="1" applyAlignment="1">
      <alignment vertical="center"/>
    </xf>
    <xf numFmtId="41" fontId="32" fillId="0" borderId="20" xfId="4" applyFont="1" applyBorder="1" applyAlignment="1">
      <alignment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37</xdr:row>
      <xdr:rowOff>26670</xdr:rowOff>
    </xdr:from>
    <xdr:to>
      <xdr:col>7</xdr:col>
      <xdr:colOff>1034435</xdr:colOff>
      <xdr:row>40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39</xdr:row>
      <xdr:rowOff>154305</xdr:rowOff>
    </xdr:from>
    <xdr:to>
      <xdr:col>7</xdr:col>
      <xdr:colOff>853440</xdr:colOff>
      <xdr:row>39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37</xdr:row>
      <xdr:rowOff>9525</xdr:rowOff>
    </xdr:from>
    <xdr:to>
      <xdr:col>5</xdr:col>
      <xdr:colOff>1714500</xdr:colOff>
      <xdr:row>40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32774</xdr:colOff>
      <xdr:row>31</xdr:row>
      <xdr:rowOff>222558</xdr:rowOff>
    </xdr:from>
    <xdr:to>
      <xdr:col>5</xdr:col>
      <xdr:colOff>1659644</xdr:colOff>
      <xdr:row>35</xdr:row>
      <xdr:rowOff>8193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2451" y="6580752"/>
          <a:ext cx="6502032" cy="6869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SE DEBE COORDINAR PREVIAMENTE EL DIA Y HORA DE LA INSTALACIÓN.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GARANTÍA DE 6 MESES.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90"/>
  <sheetViews>
    <sheetView tabSelected="1" topLeftCell="A15" zoomScale="93" zoomScaleNormal="93" workbookViewId="0">
      <selection activeCell="C25" sqref="C25"/>
    </sheetView>
  </sheetViews>
  <sheetFormatPr baseColWidth="10" defaultRowHeight="14.4" x14ac:dyDescent="0.3"/>
  <cols>
    <col min="1" max="1" width="6" customWidth="1"/>
    <col min="2" max="2" width="10.5546875" customWidth="1"/>
    <col min="3" max="3" width="39" customWidth="1"/>
    <col min="4" max="4" width="11.109375" customWidth="1"/>
    <col min="5" max="5" width="10.5546875" customWidth="1"/>
    <col min="6" max="6" width="27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28" t="s">
        <v>167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8" t="s">
        <v>163</v>
      </c>
      <c r="C10" s="279" t="s">
        <v>180</v>
      </c>
      <c r="D10" s="243"/>
      <c r="E10" s="243"/>
      <c r="F10" s="244" t="s">
        <v>0</v>
      </c>
      <c r="G10" s="277">
        <v>45694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124</v>
      </c>
      <c r="G11" s="289">
        <v>45705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24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s="247"/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6"/>
      <c r="F14" s="29" t="s">
        <v>137</v>
      </c>
      <c r="G14" s="291" t="s">
        <v>179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5" t="s">
        <v>181</v>
      </c>
      <c r="D15" s="295"/>
      <c r="E15" s="247"/>
      <c r="F15" s="247" t="s">
        <v>135</v>
      </c>
      <c r="G15" s="296" t="s">
        <v>179</v>
      </c>
      <c r="H15" s="248"/>
      <c r="K15" s="18" t="s">
        <v>165</v>
      </c>
    </row>
    <row r="16" spans="2:23" ht="16.8" x14ac:dyDescent="0.4">
      <c r="B16" s="292" t="s">
        <v>3</v>
      </c>
      <c r="C16" s="311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166</v>
      </c>
      <c r="D17" s="299"/>
      <c r="E17" s="300"/>
      <c r="F17" s="329" t="s">
        <v>178</v>
      </c>
      <c r="G17" s="329"/>
      <c r="H17" s="330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1" t="s">
        <v>148</v>
      </c>
      <c r="C19" s="332"/>
      <c r="D19" s="332"/>
      <c r="E19" s="332"/>
      <c r="F19" s="332"/>
      <c r="G19" s="332"/>
      <c r="H19" s="333"/>
      <c r="I19" s="264"/>
      <c r="J19" s="5"/>
      <c r="K19" s="250"/>
      <c r="L19" s="14">
        <v>0.08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N47</f>
        <v>81859.047619047618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45">
        <v>1</v>
      </c>
      <c r="C21" s="346" t="s">
        <v>168</v>
      </c>
      <c r="D21" s="347">
        <v>1.9</v>
      </c>
      <c r="E21" s="347">
        <v>0.56000000000000005</v>
      </c>
      <c r="F21" s="346" t="s">
        <v>169</v>
      </c>
      <c r="G21" s="322">
        <f>P21</f>
        <v>90765.312000000005</v>
      </c>
      <c r="H21" s="323">
        <f t="shared" ref="H21" si="1">G21*B21</f>
        <v>90765.312000000005</v>
      </c>
      <c r="I21" s="265"/>
      <c r="J21" s="47"/>
      <c r="K21" s="326">
        <f t="shared" ref="K21" si="2">B21</f>
        <v>1</v>
      </c>
      <c r="L21" s="327">
        <f t="shared" ref="L21" si="3">D21+L$19</f>
        <v>1.98</v>
      </c>
      <c r="M21" s="327">
        <f t="shared" ref="M21" si="4">E21+M$19</f>
        <v>0.56000000000000005</v>
      </c>
      <c r="N21" s="261">
        <f t="shared" ref="N21" si="5">L21*M21</f>
        <v>1.1088</v>
      </c>
      <c r="O21" s="259">
        <f t="shared" ref="O21" si="6">N21*K21</f>
        <v>1.1088</v>
      </c>
      <c r="P21" s="252">
        <f>P$20*N21</f>
        <v>90765.312000000005</v>
      </c>
      <c r="Q21" s="258">
        <f t="shared" ref="Q21" si="7">P21+Q$20</f>
        <v>93765.312000000005</v>
      </c>
      <c r="R21" s="308">
        <f>L21*K21</f>
        <v>1.98</v>
      </c>
      <c r="S21" s="46">
        <f>M21*K21*2</f>
        <v>1.1200000000000001</v>
      </c>
      <c r="T21" s="9"/>
      <c r="W21" s="4"/>
    </row>
    <row r="22" spans="2:24" ht="17.399999999999999" x14ac:dyDescent="0.3">
      <c r="B22" s="348">
        <v>1</v>
      </c>
      <c r="C22" s="357" t="s">
        <v>170</v>
      </c>
      <c r="D22" s="358"/>
      <c r="E22" s="358"/>
      <c r="F22" s="359"/>
      <c r="G22" s="360">
        <v>100000</v>
      </c>
      <c r="H22" s="361">
        <v>100000</v>
      </c>
      <c r="I22" s="265"/>
      <c r="J22" s="47"/>
      <c r="K22" s="326"/>
      <c r="L22" s="327"/>
      <c r="M22" s="327"/>
      <c r="N22" s="261"/>
      <c r="O22" s="259"/>
      <c r="P22" s="252"/>
      <c r="Q22" s="258"/>
      <c r="R22" s="308"/>
      <c r="S22" s="46"/>
      <c r="T22" s="9"/>
      <c r="W22" s="4"/>
    </row>
    <row r="23" spans="2:24" ht="17.399999999999999" x14ac:dyDescent="0.3">
      <c r="B23" s="349" t="s">
        <v>171</v>
      </c>
      <c r="C23" s="343"/>
      <c r="D23" s="343"/>
      <c r="E23" s="343"/>
      <c r="F23" s="343"/>
      <c r="G23" s="343"/>
      <c r="H23" s="350"/>
      <c r="I23" s="265"/>
      <c r="J23" s="47"/>
      <c r="K23" s="326"/>
      <c r="L23" s="327"/>
      <c r="M23" s="327"/>
      <c r="N23" s="261"/>
      <c r="O23" s="259"/>
      <c r="P23" s="252"/>
      <c r="Q23" s="258"/>
      <c r="R23" s="308"/>
      <c r="S23" s="46"/>
      <c r="T23" s="9"/>
      <c r="W23" s="4"/>
    </row>
    <row r="24" spans="2:24" ht="17.399999999999999" x14ac:dyDescent="0.3">
      <c r="B24" s="351"/>
      <c r="C24" s="344" t="s">
        <v>182</v>
      </c>
      <c r="D24" s="341"/>
      <c r="E24" s="341"/>
      <c r="F24" s="341"/>
      <c r="G24" s="341"/>
      <c r="H24" s="352"/>
      <c r="I24" s="265"/>
      <c r="J24" s="47"/>
      <c r="K24" s="326"/>
      <c r="L24" s="327"/>
      <c r="M24" s="327"/>
      <c r="N24" s="261"/>
      <c r="O24" s="259"/>
      <c r="P24" s="252"/>
      <c r="Q24" s="258"/>
      <c r="R24" s="308"/>
      <c r="S24" s="46"/>
      <c r="T24" s="9"/>
      <c r="W24" s="4"/>
    </row>
    <row r="25" spans="2:24" ht="17.399999999999999" x14ac:dyDescent="0.3">
      <c r="B25" s="351"/>
      <c r="C25" s="342" t="s">
        <v>172</v>
      </c>
      <c r="D25" s="341"/>
      <c r="E25" s="341"/>
      <c r="F25" s="341"/>
      <c r="G25" s="341"/>
      <c r="H25" s="352"/>
      <c r="I25" s="265"/>
      <c r="J25" s="47"/>
      <c r="K25" s="326"/>
      <c r="L25" s="327"/>
      <c r="M25" s="327"/>
      <c r="N25" s="261"/>
      <c r="O25" s="259"/>
      <c r="P25" s="252"/>
      <c r="Q25" s="258"/>
      <c r="R25" s="308"/>
      <c r="S25" s="46"/>
      <c r="T25" s="9"/>
      <c r="W25" s="4"/>
    </row>
    <row r="26" spans="2:24" ht="17.399999999999999" x14ac:dyDescent="0.3">
      <c r="B26" s="351"/>
      <c r="C26" s="342" t="s">
        <v>173</v>
      </c>
      <c r="D26" s="341"/>
      <c r="E26" s="341"/>
      <c r="F26" s="341"/>
      <c r="G26" s="341"/>
      <c r="H26" s="352"/>
      <c r="I26" s="265"/>
      <c r="J26" s="47"/>
      <c r="K26" s="326"/>
      <c r="L26" s="327"/>
      <c r="M26" s="327"/>
      <c r="N26" s="261"/>
      <c r="O26" s="259"/>
      <c r="P26" s="252"/>
      <c r="Q26" s="258"/>
      <c r="R26" s="308"/>
      <c r="S26" s="46"/>
      <c r="T26" s="9"/>
      <c r="W26" s="4"/>
    </row>
    <row r="27" spans="2:24" ht="17.399999999999999" x14ac:dyDescent="0.3">
      <c r="B27" s="351"/>
      <c r="C27" s="342" t="s">
        <v>174</v>
      </c>
      <c r="D27" s="341"/>
      <c r="E27" s="341"/>
      <c r="F27" s="341"/>
      <c r="G27" s="341"/>
      <c r="H27" s="352"/>
      <c r="I27" s="265"/>
      <c r="J27" s="47"/>
      <c r="K27" s="326"/>
      <c r="L27" s="327"/>
      <c r="M27" s="327"/>
      <c r="N27" s="261"/>
      <c r="O27" s="259"/>
      <c r="P27" s="252"/>
      <c r="Q27" s="258"/>
      <c r="R27" s="308"/>
      <c r="S27" s="46"/>
      <c r="T27" s="9"/>
      <c r="W27" s="4"/>
    </row>
    <row r="28" spans="2:24" ht="17.399999999999999" x14ac:dyDescent="0.3">
      <c r="B28" s="351"/>
      <c r="C28" s="342" t="s">
        <v>175</v>
      </c>
      <c r="D28" s="341"/>
      <c r="E28" s="341"/>
      <c r="F28" s="341"/>
      <c r="G28" s="341"/>
      <c r="H28" s="352"/>
      <c r="I28" s="265"/>
      <c r="J28" s="47"/>
      <c r="K28" s="326"/>
      <c r="L28" s="327"/>
      <c r="M28" s="327"/>
      <c r="N28" s="261"/>
      <c r="O28" s="259"/>
      <c r="P28" s="252"/>
      <c r="Q28" s="258"/>
      <c r="R28" s="308"/>
      <c r="S28" s="46"/>
      <c r="T28" s="9"/>
      <c r="W28" s="4"/>
    </row>
    <row r="29" spans="2:24" ht="17.399999999999999" x14ac:dyDescent="0.3">
      <c r="B29" s="351" t="s">
        <v>176</v>
      </c>
      <c r="C29" s="342"/>
      <c r="D29" s="341"/>
      <c r="E29" s="341"/>
      <c r="F29" s="341"/>
      <c r="G29" s="341"/>
      <c r="H29" s="352"/>
      <c r="I29" s="265"/>
      <c r="J29" s="47"/>
      <c r="K29" s="326"/>
      <c r="L29" s="327"/>
      <c r="M29" s="327"/>
      <c r="N29" s="261"/>
      <c r="O29" s="259"/>
      <c r="P29" s="252"/>
      <c r="Q29" s="258"/>
      <c r="R29" s="308"/>
      <c r="S29" s="46"/>
      <c r="T29" s="9"/>
      <c r="W29" s="4"/>
    </row>
    <row r="30" spans="2:24" ht="18" thickBot="1" x14ac:dyDescent="0.35">
      <c r="B30" s="353"/>
      <c r="C30" s="354" t="s">
        <v>177</v>
      </c>
      <c r="D30" s="355"/>
      <c r="E30" s="355"/>
      <c r="F30" s="355"/>
      <c r="G30" s="355"/>
      <c r="H30" s="356"/>
      <c r="I30" s="265"/>
      <c r="J30" s="47"/>
      <c r="K30" s="326"/>
      <c r="L30" s="327"/>
      <c r="M30" s="327"/>
      <c r="N30" s="261"/>
      <c r="O30" s="259"/>
      <c r="P30" s="252"/>
      <c r="Q30" s="258"/>
      <c r="R30" s="308"/>
      <c r="S30" s="46"/>
      <c r="T30" s="9"/>
      <c r="W30" s="4"/>
    </row>
    <row r="31" spans="2:24" ht="17.399999999999999" x14ac:dyDescent="0.3">
      <c r="B31" s="341"/>
      <c r="C31" s="342"/>
      <c r="D31" s="341"/>
      <c r="E31" s="341"/>
      <c r="F31" s="341"/>
      <c r="G31" s="341"/>
      <c r="H31" s="341"/>
      <c r="I31" s="265"/>
      <c r="J31" s="47"/>
      <c r="K31" s="326"/>
      <c r="L31" s="327"/>
      <c r="M31" s="327"/>
      <c r="N31" s="261"/>
      <c r="O31" s="259"/>
      <c r="P31" s="252"/>
      <c r="Q31" s="258"/>
      <c r="R31" s="308"/>
      <c r="S31" s="46"/>
      <c r="T31" s="9"/>
      <c r="W31" s="4"/>
    </row>
    <row r="32" spans="2:24" ht="18" thickBot="1" x14ac:dyDescent="0.35">
      <c r="B32" s="286"/>
      <c r="C32" s="286"/>
      <c r="D32" s="287"/>
      <c r="E32" s="287"/>
      <c r="F32" s="286"/>
      <c r="G32" s="265"/>
      <c r="H32" s="233"/>
      <c r="I32" s="233"/>
      <c r="J32" s="47"/>
      <c r="K32" s="47"/>
      <c r="L32" s="39"/>
      <c r="M32" s="39"/>
      <c r="N32" s="261"/>
      <c r="O32" s="259"/>
      <c r="P32" s="252"/>
      <c r="Q32" s="258"/>
      <c r="R32" s="308"/>
      <c r="S32" s="14"/>
      <c r="T32" s="9"/>
      <c r="W32" s="4"/>
    </row>
    <row r="33" spans="2:23" ht="17.399999999999999" x14ac:dyDescent="0.3">
      <c r="B33" s="286"/>
      <c r="C33" s="286"/>
      <c r="D33" s="287"/>
      <c r="E33" s="287"/>
      <c r="F33" s="286"/>
      <c r="G33" s="309" t="s">
        <v>29</v>
      </c>
      <c r="H33" s="310">
        <f>SUM(H21:H32)</f>
        <v>190765.31200000001</v>
      </c>
      <c r="I33" s="265"/>
      <c r="J33" s="47"/>
      <c r="K33" s="47"/>
      <c r="L33" s="39">
        <f>SUM(L21:L32)</f>
        <v>1.98</v>
      </c>
      <c r="M33" s="39"/>
      <c r="N33" s="261"/>
      <c r="O33" s="259"/>
      <c r="P33" s="252"/>
      <c r="Q33" s="258"/>
      <c r="R33" s="308"/>
      <c r="S33" s="14"/>
      <c r="T33" s="9"/>
      <c r="W33" s="4"/>
    </row>
    <row r="34" spans="2:23" ht="17.399999999999999" x14ac:dyDescent="0.3">
      <c r="B34" s="280"/>
      <c r="C34" s="283"/>
      <c r="D34" s="284"/>
      <c r="E34" s="284"/>
      <c r="F34" s="285"/>
      <c r="G34" s="307" t="s">
        <v>52</v>
      </c>
      <c r="H34" s="304">
        <f>H33*19%</f>
        <v>36245.40928</v>
      </c>
      <c r="I34" s="265"/>
      <c r="J34" s="47"/>
      <c r="K34" s="47"/>
      <c r="L34" s="39"/>
      <c r="M34" s="12"/>
      <c r="N34" s="12"/>
      <c r="O34" s="253">
        <f>SUM(O21:O21)</f>
        <v>1.1088</v>
      </c>
      <c r="P34" s="14"/>
      <c r="Q34" s="12"/>
      <c r="R34" s="239"/>
      <c r="S34" s="14"/>
      <c r="T34" s="9"/>
      <c r="W34" s="4"/>
    </row>
    <row r="35" spans="2:23" ht="18" thickBot="1" x14ac:dyDescent="0.35">
      <c r="B35" s="276"/>
      <c r="C35" s="282"/>
      <c r="D35" s="272"/>
      <c r="E35" s="272"/>
      <c r="F35" s="273"/>
      <c r="G35" s="281" t="s">
        <v>6</v>
      </c>
      <c r="H35" s="305">
        <f>H33+H34</f>
        <v>227010.72128</v>
      </c>
      <c r="I35" s="265"/>
      <c r="J35" s="47"/>
      <c r="K35" s="47"/>
      <c r="L35" s="39"/>
      <c r="M35" s="12"/>
      <c r="N35" s="12"/>
      <c r="O35" s="253">
        <f>O34</f>
        <v>1.1088</v>
      </c>
      <c r="P35" s="14"/>
      <c r="Q35" s="12"/>
      <c r="R35" s="239">
        <f>SUM(R21:R34)</f>
        <v>1.98</v>
      </c>
      <c r="S35" s="14"/>
      <c r="T35" s="9"/>
      <c r="W35" s="4"/>
    </row>
    <row r="36" spans="2:23" ht="17.399999999999999" x14ac:dyDescent="0.3">
      <c r="B36" s="276"/>
      <c r="C36" s="271"/>
      <c r="D36" s="272"/>
      <c r="E36" s="272"/>
      <c r="F36" s="273"/>
      <c r="I36" s="265"/>
      <c r="J36" s="47"/>
      <c r="K36" s="47"/>
      <c r="L36" s="14"/>
      <c r="M36" s="12"/>
      <c r="N36" s="12"/>
      <c r="O36" s="39">
        <f>O35*20%</f>
        <v>0.22176000000000001</v>
      </c>
      <c r="P36" s="39" t="s">
        <v>131</v>
      </c>
      <c r="Q36" s="42"/>
      <c r="R36" s="240"/>
      <c r="S36" s="14"/>
      <c r="T36" s="9"/>
      <c r="W36" s="4"/>
    </row>
    <row r="37" spans="2:23" ht="17.399999999999999" x14ac:dyDescent="0.3">
      <c r="B37" s="271"/>
      <c r="C37" s="271"/>
      <c r="D37" s="272"/>
      <c r="E37" s="272"/>
      <c r="F37" s="273"/>
      <c r="G37" s="274"/>
      <c r="H37" s="275"/>
      <c r="I37" s="265"/>
      <c r="J37" s="47"/>
      <c r="K37" s="47"/>
      <c r="L37" s="14"/>
      <c r="M37" s="12"/>
      <c r="N37" s="12"/>
      <c r="O37" s="46">
        <f>O35+O36</f>
        <v>1.33056</v>
      </c>
      <c r="P37" s="14"/>
      <c r="Q37" s="14"/>
      <c r="R37" s="238">
        <v>40</v>
      </c>
      <c r="S37" s="14"/>
      <c r="T37" s="9"/>
      <c r="W37" s="4"/>
    </row>
    <row r="38" spans="2:23" ht="17.399999999999999" x14ac:dyDescent="0.35">
      <c r="B38" s="269"/>
      <c r="C38" s="230"/>
      <c r="D38" s="230"/>
      <c r="E38" s="233"/>
      <c r="F38" s="234"/>
      <c r="G38" s="230"/>
      <c r="H38" s="275"/>
      <c r="I38" s="265"/>
      <c r="J38" s="47"/>
      <c r="K38" s="47"/>
      <c r="L38" s="14"/>
      <c r="M38" s="14"/>
      <c r="N38" s="14"/>
      <c r="O38" s="14"/>
      <c r="P38" s="14"/>
      <c r="Q38" s="14"/>
      <c r="R38" s="238"/>
      <c r="S38" s="14"/>
      <c r="T38" s="315" t="s">
        <v>22</v>
      </c>
      <c r="U38" s="312" t="s">
        <v>153</v>
      </c>
      <c r="V38" s="316">
        <v>44971</v>
      </c>
      <c r="W38" s="317"/>
    </row>
    <row r="39" spans="2:23" ht="17.399999999999999" x14ac:dyDescent="0.35">
      <c r="B39" s="235"/>
      <c r="C39" s="236"/>
      <c r="D39" s="237"/>
      <c r="E39" s="235"/>
      <c r="F39" s="230"/>
      <c r="G39" s="230"/>
      <c r="I39" s="265"/>
      <c r="J39" s="47"/>
      <c r="K39" s="47"/>
      <c r="L39" s="39">
        <f>O37</f>
        <v>1.33056</v>
      </c>
      <c r="M39" s="12">
        <v>3500</v>
      </c>
      <c r="N39" s="12">
        <f t="shared" ref="N39:N44" si="8">L39*M39</f>
        <v>4656.96</v>
      </c>
      <c r="O39" s="14" t="s">
        <v>22</v>
      </c>
      <c r="P39" s="14"/>
      <c r="Q39" s="14"/>
      <c r="R39" s="241"/>
      <c r="S39" s="14"/>
      <c r="T39" s="315" t="s">
        <v>154</v>
      </c>
      <c r="U39" s="312">
        <v>3625</v>
      </c>
      <c r="V39" s="59" t="s">
        <v>155</v>
      </c>
      <c r="W39" s="317"/>
    </row>
    <row r="40" spans="2:23" ht="17.399999999999999" x14ac:dyDescent="0.35">
      <c r="B40" s="230"/>
      <c r="C40" s="230"/>
      <c r="D40" s="230"/>
      <c r="E40" s="230"/>
      <c r="F40" s="230"/>
      <c r="G40" s="230"/>
      <c r="I40" s="265"/>
      <c r="J40" s="47"/>
      <c r="K40" s="47"/>
      <c r="L40" s="249">
        <v>0.4</v>
      </c>
      <c r="M40" s="12">
        <v>25000</v>
      </c>
      <c r="N40" s="12">
        <f t="shared" si="8"/>
        <v>10000</v>
      </c>
      <c r="O40" s="39" t="s">
        <v>32</v>
      </c>
      <c r="P40" s="42"/>
      <c r="Q40" s="14"/>
      <c r="R40" s="240"/>
      <c r="S40" s="14"/>
      <c r="T40" s="315"/>
      <c r="U40" s="59">
        <v>906.25</v>
      </c>
      <c r="V40" s="59" t="s">
        <v>156</v>
      </c>
      <c r="W40" s="317"/>
    </row>
    <row r="41" spans="2:23" s="230" customFormat="1" ht="17.399999999999999" x14ac:dyDescent="0.35">
      <c r="I41" s="262"/>
      <c r="J41" s="232"/>
      <c r="K41" s="250"/>
      <c r="L41" s="14"/>
      <c r="M41" s="250">
        <v>34000</v>
      </c>
      <c r="N41" s="12">
        <f t="shared" si="8"/>
        <v>0</v>
      </c>
      <c r="O41" s="39" t="s">
        <v>31</v>
      </c>
      <c r="P41" s="42"/>
      <c r="R41" s="240"/>
      <c r="S41" s="256"/>
      <c r="T41" s="59"/>
      <c r="U41" s="59">
        <f>U40*20%</f>
        <v>181.25</v>
      </c>
      <c r="V41" s="317" t="s">
        <v>157</v>
      </c>
      <c r="W41" s="59"/>
    </row>
    <row r="42" spans="2:23" s="230" customFormat="1" ht="17.399999999999999" x14ac:dyDescent="0.35">
      <c r="B42" s="24" t="s">
        <v>152</v>
      </c>
      <c r="I42" s="262"/>
      <c r="J42" s="232"/>
      <c r="K42" s="250"/>
      <c r="L42" s="14">
        <v>1</v>
      </c>
      <c r="M42" s="250">
        <v>23600</v>
      </c>
      <c r="N42" s="12">
        <f t="shared" si="8"/>
        <v>23600</v>
      </c>
      <c r="O42" s="14" t="s">
        <v>142</v>
      </c>
      <c r="P42" s="17"/>
      <c r="R42" s="238"/>
      <c r="S42" s="256"/>
      <c r="T42" s="59"/>
      <c r="U42" s="59">
        <f>U40+U41</f>
        <v>1087.5</v>
      </c>
      <c r="V42" s="317" t="s">
        <v>158</v>
      </c>
      <c r="W42" s="59"/>
    </row>
    <row r="43" spans="2:23" s="230" customFormat="1" ht="17.399999999999999" x14ac:dyDescent="0.35">
      <c r="B43" s="24" t="s">
        <v>145</v>
      </c>
      <c r="C43"/>
      <c r="D43"/>
      <c r="E43"/>
      <c r="F43"/>
      <c r="I43" s="262"/>
      <c r="K43" s="250"/>
      <c r="L43" s="249"/>
      <c r="M43" s="250">
        <v>300</v>
      </c>
      <c r="N43" s="12">
        <f t="shared" si="8"/>
        <v>0</v>
      </c>
      <c r="O43" s="14" t="s">
        <v>33</v>
      </c>
      <c r="P43" s="14"/>
      <c r="Q43" s="230">
        <v>1.52</v>
      </c>
      <c r="R43" s="238"/>
      <c r="S43" s="238"/>
    </row>
    <row r="44" spans="2:23" s="230" customFormat="1" ht="17.399999999999999" x14ac:dyDescent="0.35">
      <c r="B44" s="29" t="s">
        <v>126</v>
      </c>
      <c r="C44"/>
      <c r="D44"/>
      <c r="E44"/>
      <c r="F44" s="229" t="s">
        <v>16</v>
      </c>
      <c r="I44" s="303"/>
      <c r="K44" s="250"/>
      <c r="L44" s="266">
        <v>2</v>
      </c>
      <c r="M44" s="12">
        <v>1500</v>
      </c>
      <c r="N44" s="12">
        <f t="shared" si="8"/>
        <v>3000</v>
      </c>
      <c r="O44" s="14" t="s">
        <v>23</v>
      </c>
      <c r="P44" s="14"/>
      <c r="Q44">
        <v>2.44</v>
      </c>
      <c r="R44"/>
      <c r="S44" s="238"/>
      <c r="W44" s="231"/>
    </row>
    <row r="45" spans="2:23" s="230" customFormat="1" ht="17.399999999999999" x14ac:dyDescent="0.35">
      <c r="K45" s="250"/>
      <c r="L45" s="14"/>
      <c r="M45" s="12"/>
      <c r="N45" s="12">
        <f>SUM(N39:N44)</f>
        <v>41256.959999999999</v>
      </c>
      <c r="O45" s="39" t="s">
        <v>24</v>
      </c>
      <c r="P45" s="14"/>
      <c r="Q45">
        <f>Q43*Q44</f>
        <v>3.7088000000000001</v>
      </c>
      <c r="R45"/>
      <c r="S45" s="238"/>
      <c r="W45" s="231"/>
    </row>
    <row r="46" spans="2:23" s="230" customFormat="1" ht="17.399999999999999" x14ac:dyDescent="0.35">
      <c r="K46" s="250"/>
      <c r="L46" s="254" t="s">
        <v>34</v>
      </c>
      <c r="M46" s="12"/>
      <c r="N46" s="255">
        <f>N45*2.2</f>
        <v>90765.312000000005</v>
      </c>
      <c r="O46" s="14" t="s">
        <v>141</v>
      </c>
      <c r="P46" s="14"/>
      <c r="Q46" s="40">
        <f>O37/Q45</f>
        <v>0.35875754961173423</v>
      </c>
      <c r="R46"/>
      <c r="S46" s="257"/>
    </row>
    <row r="47" spans="2:23" s="230" customFormat="1" ht="17.399999999999999" x14ac:dyDescent="0.35">
      <c r="G47"/>
      <c r="H47" s="260"/>
      <c r="I47" s="260"/>
      <c r="J47" s="230">
        <v>42800</v>
      </c>
      <c r="K47" s="250"/>
      <c r="L47" s="14"/>
      <c r="M47" s="12"/>
      <c r="N47" s="12">
        <f>N46/O35</f>
        <v>81859.047619047618</v>
      </c>
      <c r="O47" s="45" t="s">
        <v>25</v>
      </c>
      <c r="P47" s="14"/>
      <c r="Q47" s="14"/>
      <c r="R47"/>
      <c r="S47" s="238"/>
      <c r="T47" s="59" t="s">
        <v>159</v>
      </c>
      <c r="U47" s="312">
        <v>43650</v>
      </c>
    </row>
    <row r="48" spans="2:23" s="230" customFormat="1" ht="17.399999999999999" x14ac:dyDescent="0.35">
      <c r="G48"/>
      <c r="J48" s="230">
        <f>J47/1.19</f>
        <v>35966.386554621851</v>
      </c>
      <c r="K48" s="250"/>
      <c r="L48" s="13"/>
      <c r="M48" s="14"/>
      <c r="N48" s="17">
        <f>N46/N45</f>
        <v>2.2000000000000002</v>
      </c>
      <c r="O48" s="15"/>
      <c r="P48"/>
      <c r="Q48"/>
      <c r="R48"/>
      <c r="S48" s="238"/>
      <c r="T48" s="59" t="s">
        <v>161</v>
      </c>
      <c r="U48" s="313" t="s">
        <v>160</v>
      </c>
      <c r="V48" s="59">
        <v>2.4</v>
      </c>
    </row>
    <row r="49" spans="2:21" s="230" customFormat="1" ht="17.399999999999999" x14ac:dyDescent="0.35">
      <c r="G49" s="23"/>
      <c r="K49" s="12"/>
      <c r="S49" s="238"/>
      <c r="T49" s="59" t="s">
        <v>162</v>
      </c>
      <c r="U49" s="314">
        <v>395.37</v>
      </c>
    </row>
    <row r="50" spans="2:21" s="230" customFormat="1" ht="17.399999999999999" x14ac:dyDescent="0.35">
      <c r="B50"/>
      <c r="C50" s="228"/>
      <c r="D50" s="22"/>
      <c r="E50" s="22"/>
      <c r="F50" s="21"/>
      <c r="G50" s="23"/>
      <c r="K50" s="12"/>
      <c r="S50" s="238"/>
      <c r="T50" s="59" t="s">
        <v>157</v>
      </c>
      <c r="U50" s="59">
        <v>474.45</v>
      </c>
    </row>
    <row r="51" spans="2:21" ht="14.4" customHeight="1" x14ac:dyDescent="0.3">
      <c r="K51" s="12"/>
      <c r="T51" s="59"/>
      <c r="U51" s="59"/>
    </row>
    <row r="52" spans="2:21" x14ac:dyDescent="0.3">
      <c r="K52" s="250"/>
    </row>
    <row r="53" spans="2:21" x14ac:dyDescent="0.3">
      <c r="K53" s="250"/>
      <c r="S53" s="270"/>
    </row>
    <row r="54" spans="2:21" x14ac:dyDescent="0.3">
      <c r="K54" s="250"/>
    </row>
    <row r="55" spans="2:21" ht="15" customHeight="1" x14ac:dyDescent="0.3"/>
    <row r="57" spans="2:21" x14ac:dyDescent="0.3">
      <c r="N57">
        <v>40935</v>
      </c>
      <c r="O57" t="s">
        <v>17</v>
      </c>
      <c r="P57" t="s">
        <v>27</v>
      </c>
    </row>
    <row r="59" spans="2:21" x14ac:dyDescent="0.3">
      <c r="N59" s="54"/>
      <c r="O59" s="54"/>
    </row>
    <row r="60" spans="2:21" x14ac:dyDescent="0.3">
      <c r="R60" s="18"/>
      <c r="S60" s="18"/>
    </row>
    <row r="61" spans="2:21" x14ac:dyDescent="0.3">
      <c r="R61" s="18"/>
      <c r="S61" s="18"/>
    </row>
    <row r="62" spans="2:21" x14ac:dyDescent="0.3">
      <c r="R62" s="18"/>
      <c r="S62" s="18"/>
    </row>
    <row r="63" spans="2:21" x14ac:dyDescent="0.3">
      <c r="R63" s="18"/>
      <c r="S63" s="18"/>
    </row>
    <row r="64" spans="2:21" x14ac:dyDescent="0.3">
      <c r="R64" s="18"/>
      <c r="S64" s="18"/>
    </row>
    <row r="65" spans="14:19" x14ac:dyDescent="0.3">
      <c r="R65" s="18"/>
      <c r="S65" s="18"/>
    </row>
    <row r="66" spans="14:19" x14ac:dyDescent="0.3">
      <c r="R66" s="18"/>
      <c r="S66" s="18"/>
    </row>
    <row r="67" spans="14:19" x14ac:dyDescent="0.3">
      <c r="R67" s="18"/>
      <c r="S67" s="18"/>
    </row>
    <row r="68" spans="14:19" x14ac:dyDescent="0.3">
      <c r="R68" s="18"/>
      <c r="S68" s="18"/>
    </row>
    <row r="71" spans="14:19" x14ac:dyDescent="0.3">
      <c r="N71" s="43"/>
    </row>
    <row r="72" spans="14:19" x14ac:dyDescent="0.3">
      <c r="N72" s="43"/>
    </row>
    <row r="73" spans="14:19" x14ac:dyDescent="0.3">
      <c r="N73" s="6"/>
    </row>
    <row r="74" spans="14:19" x14ac:dyDescent="0.3">
      <c r="N74" s="6"/>
    </row>
    <row r="82" spans="3:3" x14ac:dyDescent="0.3">
      <c r="C82" t="s">
        <v>149</v>
      </c>
    </row>
    <row r="83" spans="3:3" x14ac:dyDescent="0.3">
      <c r="C83" t="s">
        <v>148</v>
      </c>
    </row>
    <row r="86" spans="3:3" x14ac:dyDescent="0.3">
      <c r="C86" t="s">
        <v>148</v>
      </c>
    </row>
    <row r="163" spans="3:3" x14ac:dyDescent="0.3">
      <c r="C163" t="s">
        <v>148</v>
      </c>
    </row>
    <row r="164" spans="3:3" x14ac:dyDescent="0.3">
      <c r="C164" t="s">
        <v>150</v>
      </c>
    </row>
    <row r="165" spans="3:3" x14ac:dyDescent="0.3">
      <c r="C165" t="s">
        <v>151</v>
      </c>
    </row>
    <row r="590" spans="3:3" x14ac:dyDescent="0.3">
      <c r="C590" t="s">
        <v>148</v>
      </c>
    </row>
  </sheetData>
  <mergeCells count="3">
    <mergeCell ref="F17:H17"/>
    <mergeCell ref="B19:H19"/>
    <mergeCell ref="C22:F22"/>
  </mergeCells>
  <phoneticPr fontId="34" type="noConversion"/>
  <hyperlinks>
    <hyperlink ref="F4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45694</v>
      </c>
    </row>
    <row r="6" spans="2:31" ht="16.2" thickBot="1" x14ac:dyDescent="0.35">
      <c r="B6" s="140" t="s">
        <v>2</v>
      </c>
      <c r="C6" s="139" t="str">
        <f>'2229'!C10</f>
        <v>MARCO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5" t="s">
        <v>99</v>
      </c>
      <c r="I7" s="336"/>
      <c r="J7" s="336"/>
      <c r="K7" s="337"/>
      <c r="N7" s="75"/>
      <c r="O7" s="334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11280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4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-19559.179700120774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'2229'!H33</f>
        <v>190765.31200000001</v>
      </c>
      <c r="E11" s="132">
        <f>D11*0.19</f>
        <v>36245.40928</v>
      </c>
      <c r="F11" s="131">
        <f>E11+D11</f>
        <v>227010.72128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86430.820299879226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44491.050787439613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68430.820299879226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146274.26121256041</v>
      </c>
      <c r="E13" s="221">
        <f>(D11/D12)-1</f>
        <v>3.287723230260398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59430.820299879226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20430.820299879226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73410.23379927536</v>
      </c>
      <c r="F15" s="216">
        <f>E15-D12</f>
        <v>28919.183011835747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20430.820299879226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60430.820299879226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'2229'!N41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'2229'!N40</f>
        <v>10000</v>
      </c>
      <c r="E19" s="123">
        <f>D19*0.19</f>
        <v>1900</v>
      </c>
      <c r="F19" s="120">
        <f>SUM(D19:E19)</f>
        <v>11900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'2229'!N39</f>
        <v>4656.96</v>
      </c>
      <c r="E20" s="121">
        <f>D20*0.19</f>
        <v>884.82240000000002</v>
      </c>
      <c r="F20" s="120">
        <f>SUM(D20:E20)</f>
        <v>5541.7824000000001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14656.96</v>
      </c>
      <c r="E21" s="116">
        <f>SUM(E18:E20)</f>
        <v>2784.8224</v>
      </c>
      <c r="F21" s="115">
        <f>SUM(F18:F20)</f>
        <v>17441.7824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33460.586880000003</v>
      </c>
    </row>
    <row r="41" spans="2:16" ht="15" thickBot="1" x14ac:dyDescent="0.35">
      <c r="H41" s="338" t="s">
        <v>61</v>
      </c>
      <c r="I41" s="339"/>
      <c r="J41" s="339"/>
      <c r="K41" s="339"/>
      <c r="L41" s="339"/>
      <c r="M41" s="340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190765.31200000001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14656.96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146274.26121256041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146274.26121256041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2025-02-06T16:30:34Z</cp:lastPrinted>
  <dcterms:created xsi:type="dcterms:W3CDTF">2013-03-18T13:35:42Z</dcterms:created>
  <dcterms:modified xsi:type="dcterms:W3CDTF">2025-02-07T14:25:43Z</dcterms:modified>
</cp:coreProperties>
</file>