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5C23A1D8-8045-44DD-B173-8B4A874AAA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39" i="1" l="1"/>
  <c r="L21" i="1"/>
  <c r="R21" i="1" s="1"/>
  <c r="M21" i="1"/>
  <c r="L24" i="1" l="1"/>
  <c r="S21" i="1"/>
  <c r="N21" i="1"/>
  <c r="O21" i="1" s="1"/>
  <c r="O25" i="1" s="1"/>
  <c r="O26" i="1" s="1"/>
  <c r="U32" i="1"/>
  <c r="U33" i="1" s="1"/>
  <c r="R26" i="1" l="1"/>
  <c r="N31" i="1"/>
  <c r="O27" i="1" l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H21" i="1" s="1"/>
  <c r="H24" i="1" s="1"/>
  <c r="H25" i="1" s="1"/>
  <c r="F15" i="3"/>
  <c r="Q21" i="1" l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<sst xmlns="http://schemas.openxmlformats.org/spreadsheetml/2006/main" count="230" uniqueCount="174">
  <si>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</si>
  <si>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</si>
  <si>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</si>
  <si>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</si>
  <si>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</si>
  <si>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</si>
  <si>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</si>
  <si>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</si>
  <si>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</si>
  <si>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</si>
  <si>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</si>
  <si>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</si>
  <si>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</si>
  <si>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</si>
  <si>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</si>
  <si>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</si>
  <si>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</si>
  <si>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</si>
  <si>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</si>
  <si>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</si>
  <si>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</si>
  <si>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</si>
  <si>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</si>
  <si>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</si>
  <si>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</si>
  <si>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</si>
  <si>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</si>
  <si>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</si>
  <si>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</si>
  <si>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</si>
  <si>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</si>
  <si>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</si>
  <si>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</si>
  <si>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</si>
  <si>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</si>
  <si>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</si>
  <si>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</si>
  <si>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</si>
  <si>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</si>
  <si>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</si>
  <si>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</si>
  <si>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</si>
  <si>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</si>
  <si>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</si>
  <si>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</si>
  <si>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</si>
  <si>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</si>
  <si>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</si>
  <si>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</si>
  <si>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</si>
  <si>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</si>
  <si>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</si>
  <si>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</si>
  <si>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</si>
  <si>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</si>
  <si>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</si>
  <si>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</si>
  <si>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</si>
  <si>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</si>
  <si>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</si>
  <si>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</si>
  <si>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</si>
  <si>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</si>
  <si>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</si>
  <si>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</si>
  <si>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</si>
  <si>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</si>
  <si>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</si>
  <si>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</si>
  <si>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</si>
  <si>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</si>
  <si>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</si>
  <si>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</si>
  <si>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</si>
  <si>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</si>
  <si>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</si>
  <si>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</si>
  <si>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</si>
  <si>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</si>
  <si>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</si>
  <si>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</si>
  <si>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</si>
  <si>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</si>
  <si>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</si>
  <si>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</si>
  <si>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</si>
  <si>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</si>
  <si>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</si>
  <si>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</si>
  <si>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</si>
  <si>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</si>
  <si>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</si>
  <si>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</si>
  <si>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</si>
  <si>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</si>
  <si>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</si>
  <si>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</si>
  <si>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</si>
  <si>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</si>
  <si>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</si>
  <si>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</si>
  <si>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</si>
  <si>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</si>
  <si>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</si>
  <si>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</si>
  <si>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</si>
  <si>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</si>
  <si>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</si>
  <si>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</si>
  <si>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</si>
  <si>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</si>
  <si>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</si>
  <si>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</si>
  <si>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</si>
  <si>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</si>
  <si>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</si>
  <si>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</si>
  <si>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</si>
  <si>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</si>
  <si>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</si>
  <si>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</si>
  <si>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</si>
  <si>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</si>
  <si>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</si>
  <si>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</si>
  <si>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</si>
  <si>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</si>
  <si>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</si>
  <si>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</si>
  <si>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</si>
  <si>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</si>
  <si>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</si>
  <si>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</si>
  <si>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</si>
  <si>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</si>
  <si>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</si>
  <si>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</si>
  <si>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</si>
  <si>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</si>
  <si>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</si>
  <si>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</si>
  <si>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</si>
  <si>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</si>
  <si>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</si>
  <si>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</si>
  <si>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</si>
  <si>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</si>
  <si>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</si>
  <si>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</si>
  <si>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</si>
  <si>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</si>
  <si>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</si>
  <si>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</si>
  <si>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</si>
  <si>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</si>
  <si>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</si>
  <si>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</si>
  <si>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</si>
  <si>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</si>
  <si>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</si>
  <si>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</si>
  <si>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</si>
  <si>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</si>
  <si>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</si>
  <si>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</si>
  <si>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</si>
  <si>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</si>
  <si>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</si>
  <si>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CUB CON RESPALDO FRENTE 90°</t>
  </si>
  <si>
    <t>LAMINAS PF6 1 COLOR</t>
  </si>
  <si>
    <t>7 DIAS HABILES</t>
  </si>
  <si>
    <t>JORGE PANIEQUEO</t>
  </si>
  <si>
    <t>569 5401 6253</t>
  </si>
  <si>
    <t>N° 11285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</si>
</sst>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0" xfId="0" quotePrefix="1" applyFont="1" applyAlignment="1">
      <alignment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22</xdr:row>
      <xdr:rowOff>222558</xdr:rowOff>
    </xdr:from>
    <xdr:to>
      <xdr:col>5</xdr:col>
      <xdr:colOff>1659644</xdr:colOff>
      <xdr:row>26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 CUBIERTA SE ENTREGA CON SOBRE MEDIDA EN EL LARGO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7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8" t="s">
        <v>173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171</v>
      </c>
      <c r="D10" s="243"/>
      <c r="E10" s="243"/>
      <c r="F10" s="244" t="s">
        <v>0</v>
      </c>
      <c r="G10" s="277">
        <v>45698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170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4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5" t="s">
        <v>172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4" t="s">
        <v>167</v>
      </c>
      <c r="G17" s="334"/>
      <c r="H17" s="33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6" t="s">
        <v>148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50096.688311688304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31">
        <v>2</v>
      </c>
      <c r="C21" s="332" t="s">
        <v>168</v>
      </c>
      <c r="D21" s="333">
        <v>3</v>
      </c>
      <c r="E21" s="333">
        <v>0.5</v>
      </c>
      <c r="F21" s="332" t="s">
        <v>169</v>
      </c>
      <c r="G21" s="322">
        <v>77149</v>
      </c>
      <c r="H21" s="323">
        <f t="shared" ref="H21" si="1">G21*B21</f>
        <v>154298</v>
      </c>
      <c r="I21" s="265"/>
      <c r="J21" s="47"/>
      <c r="K21" s="326">
        <f t="shared" ref="K21" si="2">B21</f>
        <v>2</v>
      </c>
      <c r="L21" s="327">
        <f t="shared" ref="L21" si="3">D21+L$19</f>
        <v>3.08</v>
      </c>
      <c r="M21" s="327">
        <f t="shared" ref="M21" si="4">E21+M$19</f>
        <v>0.5</v>
      </c>
      <c r="N21" s="261">
        <f t="shared" ref="N21" si="5">L21*M21</f>
        <v>1.54</v>
      </c>
      <c r="O21" s="259">
        <f t="shared" ref="O21" si="6">N21*K21</f>
        <v>3.08</v>
      </c>
      <c r="P21" s="252">
        <f>P$20*N21</f>
        <v>77148.899999999994</v>
      </c>
      <c r="Q21" s="258">
        <f t="shared" ref="Q21" si="7">P21+Q$20</f>
        <v>80148.899999999994</v>
      </c>
      <c r="R21" s="308">
        <f>L21*K21</f>
        <v>6.16</v>
      </c>
      <c r="S21" s="46">
        <f>M21*K21*2</f>
        <v>2</v>
      </c>
      <c r="T21" s="9"/>
      <c r="W21" s="4"/>
    </row>
    <row r="22" spans="2:24" ht="17.399999999999999" x14ac:dyDescent="0.3">
      <c r="B22" s="329"/>
      <c r="C22" s="330"/>
      <c r="D22" s="329"/>
      <c r="E22" s="329"/>
      <c r="F22" s="329"/>
      <c r="G22" s="329"/>
      <c r="H22" s="329"/>
      <c r="I22" s="265"/>
      <c r="J22" s="47"/>
      <c r="K22" s="326"/>
      <c r="L22" s="327"/>
      <c r="M22" s="327"/>
      <c r="N22" s="261"/>
      <c r="O22" s="259"/>
      <c r="P22" s="252"/>
      <c r="Q22" s="258"/>
      <c r="R22" s="308"/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29</v>
      </c>
      <c r="H24" s="310">
        <f>SUM(H21:H23)</f>
        <v>154298</v>
      </c>
      <c r="I24" s="265"/>
      <c r="J24" s="47"/>
      <c r="K24" s="47"/>
      <c r="L24" s="39">
        <f>SUM(L21:L23)</f>
        <v>3.08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52</v>
      </c>
      <c r="H25" s="304">
        <f>H24*19%</f>
        <v>29316.62</v>
      </c>
      <c r="I25" s="265"/>
      <c r="J25" s="47"/>
      <c r="K25" s="47"/>
      <c r="L25" s="39"/>
      <c r="M25" s="12"/>
      <c r="N25" s="12"/>
      <c r="O25" s="253">
        <f>SUM(O21:O24)</f>
        <v>3.08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183614.62</v>
      </c>
      <c r="I26" s="265"/>
      <c r="J26" s="47"/>
      <c r="K26" s="47"/>
      <c r="L26" s="39"/>
      <c r="M26" s="12"/>
      <c r="N26" s="12"/>
      <c r="O26" s="253">
        <f>O25</f>
        <v>3.08</v>
      </c>
      <c r="P26" s="14"/>
      <c r="Q26" s="12"/>
      <c r="R26" s="239">
        <f>SUM(R21:R25)</f>
        <v>6.16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0.6160000000000001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3.6960000000000002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5" t="s">
        <v>22</v>
      </c>
      <c r="U29" s="312" t="s">
        <v>153</v>
      </c>
      <c r="V29" s="316">
        <v>44971</v>
      </c>
      <c r="W29" s="317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3.6960000000000002</v>
      </c>
      <c r="M30" s="12">
        <v>3500</v>
      </c>
      <c r="N30" s="12">
        <f t="shared" ref="N30:N35" si="8">L30*M30</f>
        <v>12936</v>
      </c>
      <c r="O30" s="14" t="s">
        <v>22</v>
      </c>
      <c r="P30" s="14"/>
      <c r="Q30" s="14"/>
      <c r="R30" s="241"/>
      <c r="S30" s="14"/>
      <c r="T30" s="315" t="s">
        <v>154</v>
      </c>
      <c r="U30" s="312">
        <v>3625</v>
      </c>
      <c r="V30" s="59" t="s">
        <v>155</v>
      </c>
      <c r="W30" s="317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1</v>
      </c>
      <c r="M31" s="12">
        <v>25000</v>
      </c>
      <c r="N31" s="12">
        <f t="shared" si="8"/>
        <v>25000</v>
      </c>
      <c r="O31" s="39" t="s">
        <v>32</v>
      </c>
      <c r="P31" s="42"/>
      <c r="Q31" s="14"/>
      <c r="R31" s="240"/>
      <c r="S31" s="14"/>
      <c r="T31" s="315"/>
      <c r="U31" s="59">
        <v>906.25</v>
      </c>
      <c r="V31" s="59" t="s">
        <v>156</v>
      </c>
      <c r="W31" s="317"/>
    </row>
    <row r="32" spans="2:24" s="230" customFormat="1" ht="17.399999999999999" x14ac:dyDescent="0.35">
      <c r="I32" s="262"/>
      <c r="J32" s="232"/>
      <c r="K32" s="250"/>
      <c r="L32" s="14"/>
      <c r="M32" s="250">
        <v>34000</v>
      </c>
      <c r="N32" s="12">
        <f t="shared" si="8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7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1</v>
      </c>
      <c r="M33" s="250">
        <v>20000</v>
      </c>
      <c r="N33" s="12">
        <f t="shared" si="8"/>
        <v>20000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7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8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3"/>
      <c r="K35" s="250"/>
      <c r="L35" s="266">
        <v>6.1</v>
      </c>
      <c r="M35" s="12">
        <v>1500</v>
      </c>
      <c r="N35" s="12">
        <f t="shared" si="8"/>
        <v>9150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67086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N36*2.3</f>
        <v>154297.79999999999</v>
      </c>
      <c r="O37" s="14" t="s">
        <v>141</v>
      </c>
      <c r="P37" s="14"/>
      <c r="Q37" s="40">
        <f>O28/Q36</f>
        <v>0.99654874892148404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42800</v>
      </c>
      <c r="K38" s="250"/>
      <c r="L38" s="14"/>
      <c r="M38" s="12"/>
      <c r="N38" s="12">
        <f>N37/O26</f>
        <v>50096.688311688304</v>
      </c>
      <c r="O38" s="45" t="s">
        <v>25</v>
      </c>
      <c r="P38" s="14"/>
      <c r="Q38" s="14"/>
      <c r="R38"/>
      <c r="S38" s="238"/>
      <c r="T38" s="59" t="s">
        <v>159</v>
      </c>
      <c r="U38" s="312">
        <v>43650</v>
      </c>
    </row>
    <row r="39" spans="2:23" s="230" customFormat="1" ht="17.399999999999999" x14ac:dyDescent="0.35">
      <c r="G39"/>
      <c r="J39" s="230">
        <f>J38/1.19</f>
        <v>35966.386554621851</v>
      </c>
      <c r="K39" s="250"/>
      <c r="L39" s="13"/>
      <c r="M39" s="14"/>
      <c r="N39" s="17">
        <f>N37/N36</f>
        <v>2.2999999999999998</v>
      </c>
      <c r="O39" s="15"/>
      <c r="P39"/>
      <c r="Q39"/>
      <c r="R39"/>
      <c r="S39" s="238"/>
      <c r="T39" s="59" t="s">
        <v>161</v>
      </c>
      <c r="U39" s="313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4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45698</v>
      </c>
    </row>
    <row r="6" spans="2:31" ht="16.2" thickBot="1" x14ac:dyDescent="0.35">
      <c r="B6" s="140" t="s">
        <v>2</v>
      </c>
      <c r="C6" s="139" t="str">
        <f>'2229'!C10</f>
        <v>JORGE PANIEQUEO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99</v>
      </c>
      <c r="I7" s="341"/>
      <c r="J7" s="341"/>
      <c r="K7" s="342"/>
      <c r="N7" s="75"/>
      <c r="O7" s="339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11285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9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-7079.5583667874425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154298</v>
      </c>
      <c r="E11" s="132">
        <f>D11*0.19</f>
        <v>29316.62</v>
      </c>
      <c r="F11" s="131">
        <f>E11+D11</f>
        <v>183614.62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98910.441633212555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67770.090787439607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80910.441633212555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86527.909212560393</v>
      </c>
      <c r="E13" s="221">
        <f>(D11/D12)-1</f>
        <v>1.276786089662393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71910.441633212555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32910.441633212555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111820.64979927534</v>
      </c>
      <c r="F15" s="216">
        <f>E15-D12</f>
        <v>44050.559011835736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32910.441633212555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72910.441633212555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12936</v>
      </c>
      <c r="E20" s="121">
        <f>D20*0.19</f>
        <v>2457.84</v>
      </c>
      <c r="F20" s="120">
        <f>SUM(D20:E20)</f>
        <v>15393.84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37936</v>
      </c>
      <c r="E21" s="116">
        <f>SUM(E18:E20)</f>
        <v>7207.84</v>
      </c>
      <c r="F21" s="115">
        <f>SUM(F18:F20)</f>
        <v>45143.839999999997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22108.78</v>
      </c>
    </row>
    <row r="41" spans="2:16" ht="15" thickBot="1" x14ac:dyDescent="0.35">
      <c r="H41" s="343" t="s">
        <v>61</v>
      </c>
      <c r="I41" s="344"/>
      <c r="J41" s="344"/>
      <c r="K41" s="344"/>
      <c r="L41" s="344"/>
      <c r="M41" s="345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154298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37936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86527.909212560393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86527.909212560393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2025-02-06T16:30:34Z</cp:lastPrinted>
  <dcterms:created xsi:type="dcterms:W3CDTF">2013-03-18T13:35:42Z</dcterms:created>
  <dcterms:modified xsi:type="dcterms:W3CDTF">2025-02-10T21:57:52Z</dcterms:modified>
</cp:coreProperties>
</file>