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39BA36E4-9C04-4AFC-B1F9-5B645593A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H23" i="1"/>
  <c r="M21" i="1"/>
  <c r="K23" i="1"/>
  <c r="L23" i="1"/>
  <c r="M23" i="1"/>
  <c r="N23" i="1" s="1"/>
  <c r="O23" i="1" s="1"/>
  <c r="H21" i="1"/>
  <c r="K22" i="1"/>
  <c r="L22" i="1"/>
  <c r="M22" i="1"/>
  <c r="H22" i="1"/>
  <c r="K21" i="1"/>
  <c r="N22" i="1" l="1"/>
  <c r="O22" i="1" s="1"/>
  <c r="J41" i="1"/>
  <c r="L21" i="1"/>
  <c r="R21" i="1" l="1"/>
  <c r="L26" i="1"/>
  <c r="S21" i="1"/>
  <c r="N21" i="1"/>
  <c r="O21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3" i="1" s="1"/>
  <c r="Q23" i="1" s="1"/>
  <c r="E15" i="3"/>
  <c r="P22" i="1" l="1"/>
  <c r="Q22" i="1" s="1"/>
  <c r="P21" i="1"/>
  <c r="H26" i="1" s="1"/>
  <c r="H27" i="1" s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<sst xmlns="http://schemas.openxmlformats.org/spreadsheetml/2006/main" count="235" uniqueCount="176">
  <si>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</si>
  <si>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</si>
  <si>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</si>
  <si>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</si>
  <si>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</si>
  <si>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</si>
  <si>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</si>
  <si>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</si>
  <si>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</si>
  <si>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</si>
  <si>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</si>
  <si>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</si>
  <si>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</si>
  <si>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</si>
  <si>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</si>
  <si>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</si>
  <si>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</si>
  <si>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</si>
  <si>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</si>
  <si>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</si>
  <si>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</si>
  <si>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</si>
  <si>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</si>
  <si>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</si>
  <si>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</si>
  <si>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</si>
  <si>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</si>
  <si>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</si>
  <si>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</si>
  <si>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</si>
  <si>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</si>
  <si>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</si>
  <si>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</si>
  <si>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</si>
  <si>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</si>
  <si>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</si>
  <si>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</si>
  <si>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</si>
  <si>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</si>
  <si>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</si>
  <si>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</si>
  <si>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</si>
  <si>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</si>
  <si>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</si>
  <si>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</si>
  <si>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</si>
  <si>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</si>
  <si>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</si>
  <si>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</si>
  <si>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</si>
  <si>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</si>
  <si>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</si>
  <si>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</si>
  <si>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</si>
  <si>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</si>
  <si>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</si>
  <si>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</si>
  <si>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</si>
  <si>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</si>
  <si>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</si>
  <si>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</si>
  <si>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</si>
  <si>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</si>
  <si>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</si>
  <si>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</si>
  <si>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</si>
  <si>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</si>
  <si>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</si>
  <si>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</si>
  <si>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</si>
  <si>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</si>
  <si>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</si>
  <si>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</si>
  <si>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</si>
  <si>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</si>
  <si>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</si>
  <si>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</si>
  <si>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</si>
  <si>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</si>
  <si>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</si>
  <si>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</si>
  <si>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</si>
  <si>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</si>
  <si>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</si>
  <si>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</si>
  <si>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</si>
  <si>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</si>
  <si>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</si>
  <si>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</si>
  <si>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</si>
  <si>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</si>
  <si>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</si>
  <si>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</si>
  <si>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</si>
  <si>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</si>
  <si>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</si>
  <si>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</si>
  <si>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</si>
  <si>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</si>
  <si>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</si>
  <si>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</si>
  <si>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</si>
  <si>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</si>
  <si>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</si>
  <si>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</si>
  <si>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</si>
  <si>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</si>
  <si>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</si>
  <si>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</si>
  <si>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</si>
  <si>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</si>
  <si>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</si>
  <si>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</si>
  <si>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</si>
  <si>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</si>
  <si>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</si>
  <si>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</si>
  <si>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</si>
  <si>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</si>
  <si>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</si>
  <si>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</si>
  <si>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</si>
  <si>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</si>
  <si>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</si>
  <si>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</si>
  <si>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</si>
  <si>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</si>
  <si>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</si>
  <si>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</si>
  <si>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</si>
  <si>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</si>
  <si>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</si>
  <si>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</si>
  <si>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</si>
  <si>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</si>
  <si>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</si>
  <si>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</si>
  <si>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</si>
  <si>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</si>
  <si>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</si>
  <si>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</si>
  <si>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</si>
  <si>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</si>
  <si>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</si>
  <si>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</si>
  <si>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</si>
  <si>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</si>
  <si>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</si>
  <si>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</si>
  <si>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</si>
  <si>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</si>
  <si>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</si>
  <si>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</si>
  <si>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</si>
  <si>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</si>
  <si>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</si>
  <si>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</si>
  <si>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</si>
  <si>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</si>
  <si>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</si>
  <si>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</si>
  <si>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</si>
  <si>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</si>
  <si>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</si>
  <si>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</si>
  <si>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</si>
  <si>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</si>
  <si>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</si>
  <si>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CUB C/R FRENTE 90° R8</t>
  </si>
  <si>
    <t>N° 11306</t>
  </si>
  <si>
    <t>PUNTO Y DISEÑO</t>
  </si>
  <si>
    <t>OMAR VERGARA</t>
  </si>
  <si>
    <t>569 68412708</t>
  </si>
  <si>
    <t>8 DIAS HABILES</t>
  </si>
  <si>
    <t>GLACIAL WHITE 22191 SF</t>
  </si>
  <si>
    <t>CUB MESA 90° 2L FALDON 6CMS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</si>
</sst>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24</xdr:row>
      <xdr:rowOff>222558</xdr:rowOff>
    </xdr:from>
    <xdr:to>
      <xdr:col>5</xdr:col>
      <xdr:colOff>1659644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>
        <v>0.12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63192.196154524616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168</v>
      </c>
      <c r="D21" s="330">
        <v>2.4</v>
      </c>
      <c r="E21" s="330">
        <v>0.6</v>
      </c>
      <c r="F21" s="329" t="s">
        <v>174</v>
      </c>
      <c r="G21" s="331">
        <v>94030</v>
      </c>
      <c r="H21" s="331">
        <f t="shared" ref="H21:H23" si="1">G21*B21</f>
        <v>94030</v>
      </c>
      <c r="I21" s="265"/>
      <c r="J21" s="47"/>
      <c r="K21" s="324">
        <f t="shared" ref="K21" si="2">B21</f>
        <v>1</v>
      </c>
      <c r="L21" s="325">
        <f t="shared" ref="L21" si="3">D21+L$19</f>
        <v>2.48</v>
      </c>
      <c r="M21" s="325">
        <f>E21</f>
        <v>0.6</v>
      </c>
      <c r="N21" s="261">
        <f t="shared" ref="N21" si="4">L21*M21</f>
        <v>1.488</v>
      </c>
      <c r="O21" s="259">
        <f t="shared" ref="O21" si="5">N21*K21</f>
        <v>1.488</v>
      </c>
      <c r="P21" s="252">
        <f>P$20*N21</f>
        <v>94029.987877932625</v>
      </c>
      <c r="Q21" s="258">
        <f t="shared" ref="Q21" si="6">P21+Q$20</f>
        <v>97029.987877932625</v>
      </c>
      <c r="R21" s="308">
        <f>L21*K21</f>
        <v>2.48</v>
      </c>
      <c r="S21" s="46">
        <f>M21*K21*2</f>
        <v>1.2</v>
      </c>
      <c r="T21" s="9"/>
      <c r="W21" s="4"/>
    </row>
    <row r="22" spans="2:24" ht="17.399999999999999" x14ac:dyDescent="0.3">
      <c r="B22" s="329">
        <v>1</v>
      </c>
      <c r="C22" s="329" t="s">
        <v>175</v>
      </c>
      <c r="D22" s="330">
        <v>2.1</v>
      </c>
      <c r="E22" s="330">
        <v>0.4</v>
      </c>
      <c r="F22" s="329" t="s">
        <v>174</v>
      </c>
      <c r="G22" s="331">
        <v>71635</v>
      </c>
      <c r="H22" s="331">
        <f t="shared" si="1"/>
        <v>71635</v>
      </c>
      <c r="I22" s="265"/>
      <c r="J22" s="47"/>
      <c r="K22" s="324">
        <f t="shared" ref="K22" si="7">B22</f>
        <v>1</v>
      </c>
      <c r="L22" s="325">
        <f t="shared" ref="L22" si="8">D22+L$19</f>
        <v>2.1800000000000002</v>
      </c>
      <c r="M22" s="325">
        <f t="shared" ref="M22" si="9">E22+M$19</f>
        <v>0.52</v>
      </c>
      <c r="N22" s="261">
        <f t="shared" ref="N22" si="10">L22*M22</f>
        <v>1.1336000000000002</v>
      </c>
      <c r="O22" s="259">
        <f t="shared" ref="O22" si="11">N22*K22</f>
        <v>1.1336000000000002</v>
      </c>
      <c r="P22" s="252">
        <f>P$20*N22</f>
        <v>71634.673560769108</v>
      </c>
      <c r="Q22" s="258">
        <f t="shared" ref="Q22" si="12">P22+Q$20</f>
        <v>74634.673560769108</v>
      </c>
      <c r="R22" s="308"/>
      <c r="S22" s="46"/>
      <c r="T22" s="9"/>
      <c r="W22" s="4"/>
    </row>
    <row r="23" spans="2:24" ht="17.399999999999999" x14ac:dyDescent="0.3">
      <c r="B23" s="329">
        <v>1</v>
      </c>
      <c r="C23" s="329" t="s">
        <v>175</v>
      </c>
      <c r="D23" s="330">
        <v>3.6</v>
      </c>
      <c r="E23" s="330">
        <v>0.4</v>
      </c>
      <c r="F23" s="329" t="s">
        <v>174</v>
      </c>
      <c r="G23" s="344">
        <v>120925</v>
      </c>
      <c r="H23" s="331">
        <f t="shared" si="1"/>
        <v>120925</v>
      </c>
      <c r="I23" s="265"/>
      <c r="J23" s="47"/>
      <c r="K23" s="324">
        <f t="shared" ref="K23" si="13">B23</f>
        <v>1</v>
      </c>
      <c r="L23" s="325">
        <f t="shared" ref="L23" si="14">D23+L$19</f>
        <v>3.68</v>
      </c>
      <c r="M23" s="325">
        <f t="shared" ref="M23" si="15">E23+M$19</f>
        <v>0.52</v>
      </c>
      <c r="N23" s="261">
        <f t="shared" ref="N23" si="16">L23*M23</f>
        <v>1.9136000000000002</v>
      </c>
      <c r="O23" s="259">
        <f t="shared" ref="O23" si="17">N23*K23</f>
        <v>1.9136000000000002</v>
      </c>
      <c r="P23" s="252">
        <f>P$20*N23</f>
        <v>120924.58656129832</v>
      </c>
      <c r="Q23" s="258">
        <f t="shared" ref="Q23" si="18">P23+Q$20</f>
        <v>123924.58656129832</v>
      </c>
      <c r="R23" s="308"/>
      <c r="S23" s="46"/>
      <c r="T23" s="9"/>
      <c r="W23" s="4"/>
    </row>
    <row r="24" spans="2:24" ht="17.399999999999999" x14ac:dyDescent="0.3">
      <c r="B24" s="327"/>
      <c r="C24" s="328"/>
      <c r="D24" s="327"/>
      <c r="E24" s="327"/>
      <c r="F24" s="327"/>
      <c r="G24" s="327"/>
      <c r="H24" s="327"/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SUM(H21:H25)</f>
        <v>286590</v>
      </c>
      <c r="I26" s="265"/>
      <c r="J26" s="47"/>
      <c r="K26" s="47"/>
      <c r="L26" s="39">
        <f>SUM(L21:L25)</f>
        <v>8.34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54452.1</v>
      </c>
      <c r="I27" s="265"/>
      <c r="J27" s="47"/>
      <c r="K27" s="47"/>
      <c r="L27" s="39"/>
      <c r="M27" s="12"/>
      <c r="N27" s="12"/>
      <c r="O27" s="253">
        <f>SUM(O21:O23)</f>
        <v>4.5351999999999997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341042.1</v>
      </c>
      <c r="I28" s="265"/>
      <c r="J28" s="47"/>
      <c r="K28" s="47"/>
      <c r="L28" s="39"/>
      <c r="M28" s="12"/>
      <c r="N28" s="12"/>
      <c r="O28" s="253">
        <f>O27</f>
        <v>4.5351999999999997</v>
      </c>
      <c r="P28" s="14"/>
      <c r="Q28" s="12"/>
      <c r="R28" s="239">
        <f>SUM(R21:R27)</f>
        <v>2.48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0.90703999999999996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5.44224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153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5.44224</v>
      </c>
      <c r="M32" s="12">
        <v>3500</v>
      </c>
      <c r="N32" s="12">
        <f t="shared" ref="N32:N37" si="19">L32*M32</f>
        <v>19047.84</v>
      </c>
      <c r="O32" s="14" t="s">
        <v>22</v>
      </c>
      <c r="P32" s="14"/>
      <c r="Q32" s="14"/>
      <c r="R32" s="241"/>
      <c r="S32" s="14"/>
      <c r="T32" s="315" t="s">
        <v>154</v>
      </c>
      <c r="U32" s="312">
        <v>3625</v>
      </c>
      <c r="V32" s="59" t="s">
        <v>155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2</v>
      </c>
      <c r="M33" s="12">
        <v>25000</v>
      </c>
      <c r="N33" s="12">
        <f t="shared" si="19"/>
        <v>50000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156</v>
      </c>
      <c r="W33" s="317"/>
    </row>
    <row r="34" spans="2:23" s="230" customFormat="1" ht="17.399999999999999" x14ac:dyDescent="0.35">
      <c r="I34" s="262"/>
      <c r="J34" s="232"/>
      <c r="K34" s="250"/>
      <c r="L34" s="14">
        <v>1</v>
      </c>
      <c r="M34" s="250">
        <v>35000</v>
      </c>
      <c r="N34" s="12">
        <f t="shared" si="19"/>
        <v>35000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22500</v>
      </c>
      <c r="N35" s="12">
        <f t="shared" si="19"/>
        <v>22500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9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>
        <v>2.48</v>
      </c>
      <c r="M37" s="12">
        <v>1500</v>
      </c>
      <c r="N37" s="12">
        <f t="shared" si="19"/>
        <v>3720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130267.84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286589.24800000002</v>
      </c>
      <c r="O39" s="14" t="s">
        <v>141</v>
      </c>
      <c r="P39" s="14"/>
      <c r="Q39" s="40">
        <f>O30/Q38</f>
        <v>1.4673856773080241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42960</v>
      </c>
      <c r="K40" s="250"/>
      <c r="L40" s="14"/>
      <c r="M40" s="12"/>
      <c r="N40" s="12">
        <f>N39/O28</f>
        <v>63192.196154524616</v>
      </c>
      <c r="O40" s="45" t="s">
        <v>25</v>
      </c>
      <c r="P40" s="14"/>
      <c r="Q40" s="14"/>
      <c r="R40"/>
      <c r="S40" s="238"/>
      <c r="T40" s="59" t="s">
        <v>159</v>
      </c>
      <c r="U40" s="312">
        <v>43650</v>
      </c>
    </row>
    <row r="41" spans="2:23" s="230" customFormat="1" ht="17.399999999999999" x14ac:dyDescent="0.35">
      <c r="G41"/>
      <c r="J41" s="230">
        <f>J40/1.19</f>
        <v>36100.840336134454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1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45714</v>
      </c>
    </row>
    <row r="6" spans="2:31" ht="16.2" thickBot="1" x14ac:dyDescent="0.35">
      <c r="B6" s="140" t="s">
        <v>2</v>
      </c>
      <c r="C6" s="139" t="str">
        <f>'2229'!C10</f>
        <v>PUNTO Y DISEÑO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-10947.469033454114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286590</v>
      </c>
      <c r="E11" s="132">
        <f>D11*0.19</f>
        <v>54452.1</v>
      </c>
      <c r="F11" s="131">
        <f>E11+D11</f>
        <v>341042.1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95042.530966545892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133881.9307874396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77042.530966545892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152708.0692125604</v>
      </c>
      <c r="E13" s="221">
        <f>(D11/D12)-1</f>
        <v>1.1406174702918688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68042.530966545892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29042.530966545884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220905.18579927532</v>
      </c>
      <c r="F15" s="216">
        <f>E15-D12</f>
        <v>87023.255011835718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29042.530966545884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69042.530966545892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35000</v>
      </c>
      <c r="E18" s="123">
        <f>D18*0.19</f>
        <v>6650</v>
      </c>
      <c r="F18" s="120">
        <f>SUM(D18:E18)</f>
        <v>41650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19047.84</v>
      </c>
      <c r="E20" s="121">
        <f>D20*0.19</f>
        <v>3619.0896000000002</v>
      </c>
      <c r="F20" s="120">
        <f>SUM(D20:E20)</f>
        <v>22666.929599999999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104047.84</v>
      </c>
      <c r="E21" s="116">
        <f>SUM(E18:E20)</f>
        <v>19769.089599999999</v>
      </c>
      <c r="F21" s="115">
        <f>SUM(F18:F20)</f>
        <v>123816.9296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34683.010399999999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286590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104047.84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152708.0692125604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152708.0692125604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2025-02-26T18:27:21Z</dcterms:modified>
</cp:coreProperties>
</file>