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8F26D489-F244-4323-819D-1ECDE84B5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N42" i="1"/>
  <c r="R23" i="1"/>
  <c r="R24" i="1"/>
  <c r="R25" i="1"/>
  <c r="R26" i="1"/>
  <c r="R27" i="1"/>
  <c r="R22" i="1"/>
  <c r="O30" i="1"/>
  <c r="K22" i="1"/>
  <c r="L22" i="1"/>
  <c r="M22" i="1"/>
  <c r="N22" i="1"/>
  <c r="O22" i="1" s="1"/>
  <c r="K23" i="1"/>
  <c r="L23" i="1"/>
  <c r="M23" i="1"/>
  <c r="N23" i="1"/>
  <c r="O23" i="1" s="1"/>
  <c r="K24" i="1"/>
  <c r="L24" i="1"/>
  <c r="M24" i="1"/>
  <c r="N24" i="1"/>
  <c r="O24" i="1" s="1"/>
  <c r="K25" i="1"/>
  <c r="L25" i="1"/>
  <c r="M25" i="1"/>
  <c r="N25" i="1"/>
  <c r="O25" i="1" s="1"/>
  <c r="K26" i="1"/>
  <c r="L26" i="1"/>
  <c r="M26" i="1"/>
  <c r="N26" i="1"/>
  <c r="O26" i="1" s="1"/>
  <c r="K27" i="1"/>
  <c r="L27" i="1"/>
  <c r="M27" i="1"/>
  <c r="N27" i="1"/>
  <c r="O27" i="1" s="1"/>
  <c r="K21" i="1" l="1"/>
  <c r="J44" i="1" l="1"/>
  <c r="L21" i="1"/>
  <c r="M21" i="1"/>
  <c r="S21" i="1" l="1"/>
  <c r="S29" i="1" s="1"/>
  <c r="L29" i="1"/>
  <c r="N21" i="1"/>
  <c r="O21" i="1" s="1"/>
  <c r="U37" i="1"/>
  <c r="U38" i="1" s="1"/>
  <c r="R31" i="1" l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Q42" i="1"/>
  <c r="N41" i="1" l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7" i="1" l="1"/>
  <c r="Q27" i="1" s="1"/>
  <c r="P23" i="1"/>
  <c r="Q23" i="1" s="1"/>
  <c r="P26" i="1"/>
  <c r="Q26" i="1" s="1"/>
  <c r="P22" i="1"/>
  <c r="Q22" i="1" s="1"/>
  <c r="P25" i="1"/>
  <c r="Q25" i="1" s="1"/>
  <c r="P24" i="1"/>
  <c r="Q24" i="1" s="1"/>
  <c r="P21" i="1"/>
  <c r="H21" i="1" s="1"/>
  <c r="H29" i="1" s="1"/>
  <c r="H30" i="1" s="1"/>
  <c r="F15" i="3"/>
  <c r="Q21" i="1" l="1"/>
  <c r="D11" i="3" l="1"/>
  <c r="X9" i="3" s="1"/>
  <c r="X15" i="3" s="1"/>
  <c r="H31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<sst xmlns="http://schemas.openxmlformats.org/spreadsheetml/2006/main" count="244" uniqueCount="177">
  <si>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</si>
  <si>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</si>
  <si>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</si>
  <si>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</si>
  <si>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</si>
  <si>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</si>
  <si>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</si>
  <si>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</si>
  <si>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</si>
  <si>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</si>
  <si>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</si>
  <si>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</si>
  <si>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</si>
  <si>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</si>
  <si>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</si>
  <si>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</si>
  <si>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</si>
  <si>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</si>
  <si>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</si>
  <si>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</si>
  <si>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</si>
  <si>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</si>
  <si>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</si>
  <si>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</si>
  <si>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</si>
  <si>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</si>
  <si>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</si>
  <si>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</si>
  <si>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</si>
  <si>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</si>
  <si>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</si>
  <si>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</si>
  <si>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</si>
  <si>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</si>
  <si>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</si>
  <si>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</si>
  <si>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</si>
  <si>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</si>
  <si>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</si>
  <si>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</si>
  <si>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</si>
  <si>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</si>
  <si>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</si>
  <si>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</si>
  <si>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</si>
  <si>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</si>
  <si>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</si>
  <si>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</si>
  <si>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</si>
  <si>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</si>
  <si>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</si>
  <si>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</si>
  <si>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</si>
  <si>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</si>
  <si>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</si>
  <si>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</si>
  <si>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</si>
  <si>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</si>
  <si>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</si>
  <si>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</si>
  <si>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</si>
  <si>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</si>
  <si>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</si>
  <si>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</si>
  <si>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</si>
  <si>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</si>
  <si>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</si>
  <si>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</si>
  <si>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</si>
  <si>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</si>
  <si>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</si>
  <si>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</si>
  <si>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</si>
  <si>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</si>
  <si>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</si>
  <si>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</si>
  <si>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</si>
  <si>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</si>
  <si>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</si>
  <si>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</si>
  <si>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</si>
  <si>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</si>
  <si>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</si>
  <si>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</si>
  <si>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</si>
  <si>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</si>
  <si>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</si>
  <si>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</si>
  <si>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</si>
  <si>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</si>
  <si>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</si>
  <si>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</si>
  <si>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</si>
  <si>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</si>
  <si>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</si>
  <si>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</si>
  <si>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</si>
  <si>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</si>
  <si>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</si>
  <si>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</si>
  <si>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</si>
  <si>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</si>
  <si>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</si>
  <si>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</si>
  <si>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</si>
  <si>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</si>
  <si>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</si>
  <si>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</si>
  <si>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</si>
  <si>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</si>
  <si>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</si>
  <si>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</si>
  <si>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</si>
  <si>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</si>
  <si>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</si>
  <si>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</si>
  <si>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</si>
  <si>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</si>
  <si>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</si>
  <si>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</si>
  <si>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</si>
  <si>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</si>
  <si>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</si>
  <si>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</si>
  <si>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</si>
  <si>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</si>
  <si>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</si>
  <si>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</si>
  <si>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</si>
  <si>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</si>
  <si>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</si>
  <si>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</si>
  <si>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</si>
  <si>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</si>
  <si>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</si>
  <si>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</si>
  <si>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</si>
  <si>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</si>
  <si>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</si>
  <si>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</si>
  <si>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</si>
  <si>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</si>
  <si>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</si>
  <si>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</si>
  <si>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</si>
  <si>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</si>
  <si>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</si>
  <si>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</si>
  <si>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</si>
  <si>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</si>
  <si>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</si>
  <si>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</si>
  <si>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</si>
  <si>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</si>
  <si>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</si>
  <si>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</si>
  <si>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</si>
  <si>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</si>
  <si>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</si>
  <si>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</si>
  <si>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</si>
  <si>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</si>
  <si>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</si>
  <si>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</si>
  <si>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</si>
  <si>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</si>
  <si>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</si>
  <si>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</si>
  <si>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PROYECTOS Y REHABILITACIONES KALAM S.A.</t>
  </si>
  <si>
    <t>59.190.140-0</t>
  </si>
  <si>
    <t>ALONSO PIZARRO</t>
  </si>
  <si>
    <t>+569 63030942</t>
  </si>
  <si>
    <t>15 DIAS HABILES</t>
  </si>
  <si>
    <t>CUB ENCHAPE RECTO 1 CARA MDF 30MM</t>
  </si>
  <si>
    <t>IND. CONCRETE 3127 MT</t>
  </si>
  <si>
    <t>CUB C/R 90° FRENTE RADIO 2MM</t>
  </si>
  <si>
    <t>N° 11277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</si>
</sst>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27</xdr:row>
      <xdr:rowOff>222559</xdr:rowOff>
    </xdr:from>
    <xdr:to>
      <xdr:col>5</xdr:col>
      <xdr:colOff>1659644</xdr:colOff>
      <xdr:row>31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1527"/>
          <a:ext cx="6502032" cy="6787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LARGO.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TODAS EN SUSTRATO MDF 30MM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3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168</v>
      </c>
      <c r="D10" s="243"/>
      <c r="E10" s="243"/>
      <c r="F10" s="244" t="s">
        <v>0</v>
      </c>
      <c r="G10" s="277">
        <v>45692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169</v>
      </c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9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0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6" t="s">
        <v>165</v>
      </c>
      <c r="G17" s="326"/>
      <c r="H17" s="32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8" t="s">
        <v>148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4" t="s">
        <v>7</v>
      </c>
      <c r="C20" s="325" t="s">
        <v>1</v>
      </c>
      <c r="D20" s="325" t="s">
        <v>10</v>
      </c>
      <c r="E20" s="325" t="s">
        <v>11</v>
      </c>
      <c r="F20" s="346" t="s">
        <v>8</v>
      </c>
      <c r="G20" s="325" t="s">
        <v>5</v>
      </c>
      <c r="H20" s="345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N43</f>
        <v>141729.79186834462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8">
        <v>2</v>
      </c>
      <c r="C21" s="339" t="s">
        <v>173</v>
      </c>
      <c r="D21" s="340">
        <v>3</v>
      </c>
      <c r="E21" s="340">
        <v>0.85</v>
      </c>
      <c r="F21" s="342" t="s">
        <v>174</v>
      </c>
      <c r="G21" s="341">
        <v>367434</v>
      </c>
      <c r="H21" s="344">
        <f t="shared" ref="H21:H27" si="1">G21*B21</f>
        <v>734868</v>
      </c>
      <c r="I21" s="265"/>
      <c r="J21" s="47"/>
      <c r="K21" s="321">
        <f t="shared" ref="K21" si="2">B21</f>
        <v>2</v>
      </c>
      <c r="L21" s="322">
        <f t="shared" ref="L21" si="3">D21+L$19</f>
        <v>3.05</v>
      </c>
      <c r="M21" s="322">
        <f t="shared" ref="M21" si="4">E21+M$19</f>
        <v>0.85</v>
      </c>
      <c r="N21" s="261">
        <f t="shared" ref="N21" si="5">L21*M21</f>
        <v>2.5924999999999998</v>
      </c>
      <c r="O21" s="259">
        <f t="shared" ref="O21" si="6">N21*K21</f>
        <v>5.1849999999999996</v>
      </c>
      <c r="P21" s="252">
        <f>P$20*N21</f>
        <v>367434.48541868338</v>
      </c>
      <c r="Q21" s="258">
        <f t="shared" ref="Q21" si="7">P21+Q$20</f>
        <v>370434.48541868338</v>
      </c>
      <c r="R21" s="308"/>
      <c r="S21" s="46">
        <f>L21*K21</f>
        <v>6.1</v>
      </c>
      <c r="T21" s="9"/>
      <c r="W21" s="4"/>
    </row>
    <row r="22" spans="2:24" ht="17.399999999999999" x14ac:dyDescent="0.3">
      <c r="B22" s="342">
        <v>1</v>
      </c>
      <c r="C22" s="342" t="s">
        <v>175</v>
      </c>
      <c r="D22" s="343">
        <v>2.8</v>
      </c>
      <c r="E22" s="343">
        <v>0.6</v>
      </c>
      <c r="F22" s="342" t="s">
        <v>174</v>
      </c>
      <c r="G22" s="344">
        <v>242358</v>
      </c>
      <c r="H22" s="344">
        <f t="shared" si="1"/>
        <v>242358</v>
      </c>
      <c r="I22" s="265"/>
      <c r="J22" s="47"/>
      <c r="K22" s="321">
        <f t="shared" ref="K22:K27" si="8">B22</f>
        <v>1</v>
      </c>
      <c r="L22" s="322">
        <f t="shared" ref="L22:L27" si="9">D22+L$19</f>
        <v>2.8499999999999996</v>
      </c>
      <c r="M22" s="322">
        <f t="shared" ref="M22:M27" si="10">E22+M$19</f>
        <v>0.6</v>
      </c>
      <c r="N22" s="261">
        <f t="shared" ref="N22:N27" si="11">L22*M22</f>
        <v>1.7099999999999997</v>
      </c>
      <c r="O22" s="259">
        <f t="shared" ref="O22:O27" si="12">N22*K22</f>
        <v>1.7099999999999997</v>
      </c>
      <c r="P22" s="252">
        <f t="shared" ref="P22:P27" si="13">P$20*N22</f>
        <v>242357.94409486925</v>
      </c>
      <c r="Q22" s="258">
        <f t="shared" ref="Q22:Q27" si="14">P22+Q$20</f>
        <v>245357.94409486925</v>
      </c>
      <c r="R22" s="308">
        <f>L22*K22</f>
        <v>2.8499999999999996</v>
      </c>
      <c r="S22" s="46"/>
      <c r="T22" s="9"/>
      <c r="W22" s="4"/>
    </row>
    <row r="23" spans="2:24" ht="17.399999999999999" x14ac:dyDescent="0.3">
      <c r="B23" s="342">
        <v>1</v>
      </c>
      <c r="C23" s="342" t="s">
        <v>175</v>
      </c>
      <c r="D23" s="343">
        <v>2.2999999999999998</v>
      </c>
      <c r="E23" s="343">
        <v>0.6</v>
      </c>
      <c r="F23" s="342" t="s">
        <v>174</v>
      </c>
      <c r="G23" s="344">
        <v>199839</v>
      </c>
      <c r="H23" s="344">
        <f t="shared" si="1"/>
        <v>199839</v>
      </c>
      <c r="I23" s="265"/>
      <c r="J23" s="47"/>
      <c r="K23" s="321">
        <f t="shared" si="8"/>
        <v>1</v>
      </c>
      <c r="L23" s="322">
        <f t="shared" si="9"/>
        <v>2.3499999999999996</v>
      </c>
      <c r="M23" s="322">
        <f t="shared" si="10"/>
        <v>0.6</v>
      </c>
      <c r="N23" s="261">
        <f t="shared" si="11"/>
        <v>1.4099999999999997</v>
      </c>
      <c r="O23" s="259">
        <f t="shared" si="12"/>
        <v>1.4099999999999997</v>
      </c>
      <c r="P23" s="252">
        <f t="shared" si="13"/>
        <v>199839.00653436588</v>
      </c>
      <c r="Q23" s="258">
        <f t="shared" si="14"/>
        <v>202839.00653436588</v>
      </c>
      <c r="R23" s="308">
        <f t="shared" ref="R23:R27" si="15">L23*K23</f>
        <v>2.3499999999999996</v>
      </c>
      <c r="S23" s="46"/>
      <c r="T23" s="9"/>
      <c r="W23" s="4"/>
    </row>
    <row r="24" spans="2:24" ht="17.399999999999999" x14ac:dyDescent="0.3">
      <c r="B24" s="342">
        <v>2</v>
      </c>
      <c r="C24" s="342" t="s">
        <v>175</v>
      </c>
      <c r="D24" s="343">
        <v>1.77</v>
      </c>
      <c r="E24" s="343">
        <v>0.7</v>
      </c>
      <c r="F24" s="342" t="s">
        <v>174</v>
      </c>
      <c r="G24" s="344">
        <v>180564</v>
      </c>
      <c r="H24" s="344">
        <f t="shared" si="1"/>
        <v>361128</v>
      </c>
      <c r="I24" s="265"/>
      <c r="J24" s="47"/>
      <c r="K24" s="321">
        <f t="shared" si="8"/>
        <v>2</v>
      </c>
      <c r="L24" s="322">
        <f t="shared" si="9"/>
        <v>1.82</v>
      </c>
      <c r="M24" s="322">
        <f t="shared" si="10"/>
        <v>0.7</v>
      </c>
      <c r="N24" s="261">
        <f t="shared" si="11"/>
        <v>1.274</v>
      </c>
      <c r="O24" s="259">
        <f t="shared" si="12"/>
        <v>2.548</v>
      </c>
      <c r="P24" s="252">
        <f t="shared" si="13"/>
        <v>180563.75484027105</v>
      </c>
      <c r="Q24" s="258">
        <f t="shared" si="14"/>
        <v>183563.75484027105</v>
      </c>
      <c r="R24" s="308">
        <f t="shared" si="15"/>
        <v>3.64</v>
      </c>
      <c r="S24" s="46"/>
      <c r="T24" s="9"/>
      <c r="W24" s="4"/>
    </row>
    <row r="25" spans="2:24" ht="17.399999999999999" x14ac:dyDescent="0.3">
      <c r="B25" s="342">
        <v>3</v>
      </c>
      <c r="C25" s="342" t="s">
        <v>175</v>
      </c>
      <c r="D25" s="343">
        <v>2.1</v>
      </c>
      <c r="E25" s="343">
        <v>0.7</v>
      </c>
      <c r="F25" s="342" t="s">
        <v>174</v>
      </c>
      <c r="G25" s="344">
        <v>213303</v>
      </c>
      <c r="H25" s="344">
        <f t="shared" si="1"/>
        <v>639909</v>
      </c>
      <c r="I25" s="265"/>
      <c r="J25" s="47"/>
      <c r="K25" s="321">
        <f t="shared" si="8"/>
        <v>3</v>
      </c>
      <c r="L25" s="322">
        <f t="shared" si="9"/>
        <v>2.15</v>
      </c>
      <c r="M25" s="322">
        <f t="shared" si="10"/>
        <v>0.7</v>
      </c>
      <c r="N25" s="261">
        <f t="shared" si="11"/>
        <v>1.5049999999999999</v>
      </c>
      <c r="O25" s="259">
        <f t="shared" si="12"/>
        <v>4.5149999999999997</v>
      </c>
      <c r="P25" s="252">
        <f t="shared" si="13"/>
        <v>213303.33676185863</v>
      </c>
      <c r="Q25" s="258">
        <f t="shared" si="14"/>
        <v>216303.33676185863</v>
      </c>
      <c r="R25" s="308">
        <f t="shared" si="15"/>
        <v>6.4499999999999993</v>
      </c>
      <c r="S25" s="46"/>
      <c r="T25" s="9"/>
      <c r="W25" s="4"/>
    </row>
    <row r="26" spans="2:24" ht="17.399999999999999" x14ac:dyDescent="0.3">
      <c r="B26" s="342">
        <v>2</v>
      </c>
      <c r="C26" s="342" t="s">
        <v>175</v>
      </c>
      <c r="D26" s="343">
        <v>1.88</v>
      </c>
      <c r="E26" s="343">
        <v>0.7</v>
      </c>
      <c r="F26" s="342" t="s">
        <v>174</v>
      </c>
      <c r="G26" s="344">
        <v>191477</v>
      </c>
      <c r="H26" s="344">
        <f t="shared" si="1"/>
        <v>382954</v>
      </c>
      <c r="I26" s="265"/>
      <c r="J26" s="47"/>
      <c r="K26" s="321">
        <f t="shared" si="8"/>
        <v>2</v>
      </c>
      <c r="L26" s="322">
        <f t="shared" si="9"/>
        <v>1.93</v>
      </c>
      <c r="M26" s="322">
        <f t="shared" si="10"/>
        <v>0.7</v>
      </c>
      <c r="N26" s="261">
        <f t="shared" si="11"/>
        <v>1.351</v>
      </c>
      <c r="O26" s="259">
        <f t="shared" si="12"/>
        <v>2.702</v>
      </c>
      <c r="P26" s="252">
        <f t="shared" si="13"/>
        <v>191476.94881413359</v>
      </c>
      <c r="Q26" s="258">
        <f t="shared" si="14"/>
        <v>194476.94881413359</v>
      </c>
      <c r="R26" s="308">
        <f t="shared" si="15"/>
        <v>3.86</v>
      </c>
      <c r="S26" s="46"/>
      <c r="T26" s="9"/>
      <c r="W26" s="4"/>
    </row>
    <row r="27" spans="2:24" ht="17.399999999999999" x14ac:dyDescent="0.3">
      <c r="B27" s="342">
        <v>2</v>
      </c>
      <c r="C27" s="342" t="s">
        <v>175</v>
      </c>
      <c r="D27" s="343">
        <v>1.8</v>
      </c>
      <c r="E27" s="343">
        <v>0.7</v>
      </c>
      <c r="F27" s="342" t="s">
        <v>174</v>
      </c>
      <c r="G27" s="344">
        <v>183540</v>
      </c>
      <c r="H27" s="344">
        <f t="shared" si="1"/>
        <v>367080</v>
      </c>
      <c r="I27" s="265"/>
      <c r="J27" s="47"/>
      <c r="K27" s="321">
        <f t="shared" si="8"/>
        <v>2</v>
      </c>
      <c r="L27" s="322">
        <f t="shared" si="9"/>
        <v>1.85</v>
      </c>
      <c r="M27" s="322">
        <f t="shared" si="10"/>
        <v>0.7</v>
      </c>
      <c r="N27" s="261">
        <f t="shared" si="11"/>
        <v>1.2949999999999999</v>
      </c>
      <c r="O27" s="259">
        <f t="shared" si="12"/>
        <v>2.59</v>
      </c>
      <c r="P27" s="252">
        <f t="shared" si="13"/>
        <v>183540.08046950627</v>
      </c>
      <c r="Q27" s="258">
        <f t="shared" si="14"/>
        <v>186540.08046950627</v>
      </c>
      <c r="R27" s="308">
        <f t="shared" si="15"/>
        <v>3.7</v>
      </c>
      <c r="S27" s="46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3"/>
      <c r="I28" s="233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29</v>
      </c>
      <c r="H29" s="310">
        <f>SUM(H21:H28)</f>
        <v>2928136</v>
      </c>
      <c r="I29" s="265"/>
      <c r="J29" s="47"/>
      <c r="K29" s="47"/>
      <c r="L29" s="39">
        <f>SUM(L21:L28)</f>
        <v>16</v>
      </c>
      <c r="M29" s="39"/>
      <c r="N29" s="261"/>
      <c r="O29" s="259"/>
      <c r="P29" s="252"/>
      <c r="Q29" s="258"/>
      <c r="R29" s="308"/>
      <c r="S29" s="46">
        <f>SUM(S21:S28)</f>
        <v>6.1</v>
      </c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52</v>
      </c>
      <c r="H30" s="304">
        <f>H29*0.19</f>
        <v>556345.84</v>
      </c>
      <c r="I30" s="265"/>
      <c r="J30" s="47"/>
      <c r="K30" s="47"/>
      <c r="L30" s="39"/>
      <c r="M30" s="12"/>
      <c r="N30" s="12"/>
      <c r="O30" s="253">
        <f>SUM(O21:O27)</f>
        <v>20.66</v>
      </c>
      <c r="P30" s="14"/>
      <c r="Q30" s="12"/>
      <c r="R30" s="239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3484481.84</v>
      </c>
      <c r="I31" s="265"/>
      <c r="J31" s="47"/>
      <c r="K31" s="47"/>
      <c r="L31" s="39"/>
      <c r="M31" s="12"/>
      <c r="N31" s="12"/>
      <c r="O31" s="253">
        <f>O30</f>
        <v>20.66</v>
      </c>
      <c r="P31" s="14"/>
      <c r="Q31" s="12"/>
      <c r="R31" s="239">
        <f>SUM(R21:R30)</f>
        <v>22.849999999999998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4.1320000000000006</v>
      </c>
      <c r="P32" s="39" t="s">
        <v>131</v>
      </c>
      <c r="Q32" s="42"/>
      <c r="R32" s="240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47"/>
      <c r="K33" s="47"/>
      <c r="L33" s="14"/>
      <c r="M33" s="12"/>
      <c r="N33" s="12"/>
      <c r="O33" s="46">
        <f>O31+O32</f>
        <v>24.792000000000002</v>
      </c>
      <c r="P33" s="14"/>
      <c r="Q33" s="14"/>
      <c r="R33" s="238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3"/>
      <c r="F34" s="234"/>
      <c r="G34" s="230"/>
      <c r="H34" s="275"/>
      <c r="I34" s="265"/>
      <c r="J34" s="47"/>
      <c r="K34" s="47"/>
      <c r="L34" s="14"/>
      <c r="M34" s="14"/>
      <c r="N34" s="14"/>
      <c r="O34" s="14"/>
      <c r="P34" s="14"/>
      <c r="Q34" s="14"/>
      <c r="R34" s="238"/>
      <c r="S34" s="14"/>
      <c r="T34" s="315" t="s">
        <v>22</v>
      </c>
      <c r="U34" s="312" t="s">
        <v>153</v>
      </c>
      <c r="V34" s="316">
        <v>44971</v>
      </c>
      <c r="W34" s="317"/>
    </row>
    <row r="35" spans="2:23" ht="17.399999999999999" x14ac:dyDescent="0.35">
      <c r="B35" s="235"/>
      <c r="C35" s="236"/>
      <c r="D35" s="237"/>
      <c r="E35" s="235"/>
      <c r="F35" s="230"/>
      <c r="G35" s="230"/>
      <c r="I35" s="265"/>
      <c r="J35" s="47"/>
      <c r="K35" s="47"/>
      <c r="L35" s="39">
        <f>O33</f>
        <v>24.792000000000002</v>
      </c>
      <c r="M35" s="12">
        <v>2500</v>
      </c>
      <c r="N35" s="12">
        <f t="shared" ref="N35:N40" si="16">L35*M35</f>
        <v>61980.000000000007</v>
      </c>
      <c r="O35" s="14" t="s">
        <v>22</v>
      </c>
      <c r="P35" s="14"/>
      <c r="Q35" s="14"/>
      <c r="R35" s="241"/>
      <c r="S35" s="14"/>
      <c r="T35" s="315" t="s">
        <v>154</v>
      </c>
      <c r="U35" s="312">
        <v>3625</v>
      </c>
      <c r="V35" s="59" t="s">
        <v>155</v>
      </c>
      <c r="W35" s="317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8</v>
      </c>
      <c r="M36" s="12">
        <v>45000</v>
      </c>
      <c r="N36" s="12">
        <f t="shared" si="16"/>
        <v>360000</v>
      </c>
      <c r="O36" s="39" t="s">
        <v>32</v>
      </c>
      <c r="P36" s="42"/>
      <c r="Q36" s="14"/>
      <c r="R36" s="240"/>
      <c r="S36" s="14"/>
      <c r="T36" s="315"/>
      <c r="U36" s="59">
        <v>906.25</v>
      </c>
      <c r="V36" s="59" t="s">
        <v>156</v>
      </c>
      <c r="W36" s="317"/>
    </row>
    <row r="37" spans="2:23" s="230" customFormat="1" ht="17.399999999999999" x14ac:dyDescent="0.35">
      <c r="I37" s="262"/>
      <c r="J37" s="232"/>
      <c r="K37" s="250"/>
      <c r="L37" s="14"/>
      <c r="M37" s="250">
        <v>34000</v>
      </c>
      <c r="N37" s="12">
        <f t="shared" si="16"/>
        <v>0</v>
      </c>
      <c r="O37" s="39" t="s">
        <v>31</v>
      </c>
      <c r="P37" s="42"/>
      <c r="R37" s="240"/>
      <c r="S37" s="256"/>
      <c r="T37" s="59"/>
      <c r="U37" s="59">
        <f>U36*20%</f>
        <v>181.25</v>
      </c>
      <c r="V37" s="317" t="s">
        <v>157</v>
      </c>
      <c r="W37" s="59"/>
    </row>
    <row r="38" spans="2:23" s="230" customFormat="1" ht="17.399999999999999" x14ac:dyDescent="0.35">
      <c r="B38" s="24" t="s">
        <v>152</v>
      </c>
      <c r="I38" s="262"/>
      <c r="J38" s="232"/>
      <c r="K38" s="250"/>
      <c r="L38" s="14">
        <v>13</v>
      </c>
      <c r="M38" s="250">
        <v>55000</v>
      </c>
      <c r="N38" s="12">
        <f t="shared" si="16"/>
        <v>715000</v>
      </c>
      <c r="O38" s="14" t="s">
        <v>142</v>
      </c>
      <c r="P38" s="17"/>
      <c r="R38" s="238"/>
      <c r="S38" s="256"/>
      <c r="T38" s="59"/>
      <c r="U38" s="59">
        <f>U36+U37</f>
        <v>1087.5</v>
      </c>
      <c r="V38" s="317" t="s">
        <v>158</v>
      </c>
      <c r="W38" s="59"/>
    </row>
    <row r="39" spans="2:23" s="230" customFormat="1" ht="17.399999999999999" x14ac:dyDescent="0.35">
      <c r="B39" s="24" t="s">
        <v>145</v>
      </c>
      <c r="C39"/>
      <c r="D39"/>
      <c r="E39"/>
      <c r="F39"/>
      <c r="I39" s="262"/>
      <c r="K39" s="250"/>
      <c r="L39" s="249"/>
      <c r="M39" s="250">
        <v>300</v>
      </c>
      <c r="N39" s="12">
        <f t="shared" si="16"/>
        <v>0</v>
      </c>
      <c r="O39" s="14" t="s">
        <v>33</v>
      </c>
      <c r="P39" s="14"/>
      <c r="Q39" s="230">
        <v>1.52</v>
      </c>
      <c r="R39" s="238"/>
      <c r="S39" s="238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303"/>
      <c r="K40" s="250"/>
      <c r="L40" s="266">
        <v>22.85</v>
      </c>
      <c r="M40" s="12">
        <v>1500</v>
      </c>
      <c r="N40" s="12">
        <f t="shared" si="16"/>
        <v>34275</v>
      </c>
      <c r="O40" s="14" t="s">
        <v>23</v>
      </c>
      <c r="P40" s="14"/>
      <c r="Q40">
        <v>2.44</v>
      </c>
      <c r="R40"/>
      <c r="S40" s="238"/>
      <c r="W40" s="231"/>
    </row>
    <row r="41" spans="2:23" s="230" customFormat="1" ht="17.399999999999999" x14ac:dyDescent="0.35">
      <c r="K41" s="250"/>
      <c r="L41" s="14"/>
      <c r="M41" s="12"/>
      <c r="N41" s="12">
        <f>SUM(N35:N40)</f>
        <v>1171255</v>
      </c>
      <c r="O41" s="39" t="s">
        <v>24</v>
      </c>
      <c r="P41" s="14"/>
      <c r="Q41">
        <f>Q39*Q40</f>
        <v>3.7088000000000001</v>
      </c>
      <c r="R41"/>
      <c r="S41" s="238"/>
      <c r="W41" s="231"/>
    </row>
    <row r="42" spans="2:23" s="230" customFormat="1" ht="17.399999999999999" x14ac:dyDescent="0.35">
      <c r="K42" s="250"/>
      <c r="L42" s="254" t="s">
        <v>34</v>
      </c>
      <c r="M42" s="12"/>
      <c r="N42" s="255">
        <f>N41*2.5</f>
        <v>2928137.5</v>
      </c>
      <c r="O42" s="14" t="s">
        <v>141</v>
      </c>
      <c r="P42" s="14"/>
      <c r="Q42" s="40">
        <f>O33/Q41</f>
        <v>6.6846419327006039</v>
      </c>
      <c r="R42"/>
      <c r="S42" s="257"/>
    </row>
    <row r="43" spans="2:23" s="230" customFormat="1" ht="17.399999999999999" x14ac:dyDescent="0.35">
      <c r="G43"/>
      <c r="H43" s="260"/>
      <c r="I43" s="260"/>
      <c r="J43" s="230">
        <v>61700</v>
      </c>
      <c r="K43" s="250"/>
      <c r="L43" s="14"/>
      <c r="M43" s="12"/>
      <c r="N43" s="12">
        <f>N42/O31</f>
        <v>141729.79186834462</v>
      </c>
      <c r="O43" s="45" t="s">
        <v>25</v>
      </c>
      <c r="P43" s="14"/>
      <c r="Q43" s="14"/>
      <c r="R43"/>
      <c r="S43" s="238"/>
      <c r="T43" s="59" t="s">
        <v>159</v>
      </c>
      <c r="U43" s="312">
        <v>43650</v>
      </c>
    </row>
    <row r="44" spans="2:23" s="230" customFormat="1" ht="17.399999999999999" x14ac:dyDescent="0.35">
      <c r="G44"/>
      <c r="J44" s="230">
        <f>J43/1.19</f>
        <v>51848.73949579832</v>
      </c>
      <c r="K44" s="250"/>
      <c r="L44" s="13"/>
      <c r="M44" s="14"/>
      <c r="N44" s="17">
        <f>N42/N41</f>
        <v>2.5</v>
      </c>
      <c r="O44" s="15"/>
      <c r="P44"/>
      <c r="Q44"/>
      <c r="R44"/>
      <c r="S44" s="238"/>
      <c r="T44" s="59" t="s">
        <v>161</v>
      </c>
      <c r="U44" s="313" t="s">
        <v>160</v>
      </c>
      <c r="V44" s="59">
        <v>2.4</v>
      </c>
    </row>
    <row r="45" spans="2:23" s="230" customFormat="1" ht="17.399999999999999" x14ac:dyDescent="0.35">
      <c r="G45" s="23"/>
      <c r="K45" s="12"/>
      <c r="S45" s="238"/>
      <c r="T45" s="59" t="s">
        <v>162</v>
      </c>
      <c r="U45" s="314">
        <v>395.37</v>
      </c>
    </row>
    <row r="46" spans="2:23" s="230" customFormat="1" ht="17.399999999999999" x14ac:dyDescent="0.35">
      <c r="B46"/>
      <c r="C46" s="228"/>
      <c r="D46" s="22"/>
      <c r="E46" s="22"/>
      <c r="F46" s="21"/>
      <c r="G46" s="23"/>
      <c r="K46" s="12"/>
      <c r="S46" s="238"/>
      <c r="T46" s="59" t="s">
        <v>157</v>
      </c>
      <c r="U46" s="59">
        <v>474.45</v>
      </c>
    </row>
    <row r="47" spans="2:23" ht="14.4" customHeight="1" x14ac:dyDescent="0.3">
      <c r="K47" s="12"/>
      <c r="T47" s="59"/>
      <c r="U47" s="59"/>
    </row>
    <row r="48" spans="2:23" x14ac:dyDescent="0.3">
      <c r="K48" s="250"/>
    </row>
    <row r="49" spans="11:19" x14ac:dyDescent="0.3">
      <c r="K49" s="250"/>
      <c r="S49" s="270"/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149</v>
      </c>
    </row>
    <row r="79" spans="3:14" x14ac:dyDescent="0.3">
      <c r="C79" t="s">
        <v>148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150</v>
      </c>
    </row>
    <row r="161" spans="3:3" x14ac:dyDescent="0.3">
      <c r="C161" t="s">
        <v>151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45692</v>
      </c>
    </row>
    <row r="6" spans="2:31" ht="16.2" thickBot="1" x14ac:dyDescent="0.35">
      <c r="B6" s="140" t="s">
        <v>2</v>
      </c>
      <c r="C6" s="139" t="str">
        <f>'2229'!C10</f>
        <v>PROYECTOS Y REHABILITACIONES KALAM S.A.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99</v>
      </c>
      <c r="I7" s="333"/>
      <c r="J7" s="333"/>
      <c r="K7" s="334"/>
      <c r="N7" s="75"/>
      <c r="O7" s="33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-363773.79170012078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2928136</v>
      </c>
      <c r="E11" s="132">
        <f>D11*0.19</f>
        <v>556345.84</v>
      </c>
      <c r="F11" s="131">
        <f>E11+D11</f>
        <v>3484481.84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-257783.79170012078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451814.09078743961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-275783.79170012078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2476321.9092125604</v>
      </c>
      <c r="E13" s="221">
        <f>(D11/D12)-1</f>
        <v>5.4808425848267106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-284783.79170012078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-323783.79170012078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745493.24979927531</v>
      </c>
      <c r="F15" s="216">
        <f>E15-D12</f>
        <v>293679.1590118357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-323783.79170012078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-283783.79170012078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360000</v>
      </c>
      <c r="E19" s="123">
        <f>D19*0.19</f>
        <v>68400</v>
      </c>
      <c r="F19" s="120">
        <f>SUM(D19:E19)</f>
        <v>428400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61980.000000000007</v>
      </c>
      <c r="E20" s="121">
        <f>D20*0.19</f>
        <v>11776.2</v>
      </c>
      <c r="F20" s="120">
        <f>SUM(D20:E20)</f>
        <v>73756.200000000012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421980</v>
      </c>
      <c r="E21" s="116">
        <f>SUM(E18:E20)</f>
        <v>80176.2</v>
      </c>
      <c r="F21" s="115">
        <f>SUM(F18:F20)</f>
        <v>502156.2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476169.63999999996</v>
      </c>
    </row>
    <row r="41" spans="2:16" ht="15" thickBot="1" x14ac:dyDescent="0.35">
      <c r="H41" s="335" t="s">
        <v>61</v>
      </c>
      <c r="I41" s="336"/>
      <c r="J41" s="336"/>
      <c r="K41" s="336"/>
      <c r="L41" s="336"/>
      <c r="M41" s="33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2928136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421980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2476321.9092125604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2476321.9092125604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2025-02-04T15:12:23Z</cp:lastPrinted>
  <dcterms:created xsi:type="dcterms:W3CDTF">2013-03-18T13:35:42Z</dcterms:created>
  <dcterms:modified xsi:type="dcterms:W3CDTF">2025-02-04T22:02:35Z</dcterms:modified>
</cp:coreProperties>
</file>