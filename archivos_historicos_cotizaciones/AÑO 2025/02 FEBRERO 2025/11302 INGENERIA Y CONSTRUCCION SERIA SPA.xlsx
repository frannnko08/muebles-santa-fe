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AE761B15-A402-4A32-9600-6C927BEC3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3" i="1"/>
  <c r="M23" i="1"/>
  <c r="N23" i="1"/>
  <c r="L22" i="1"/>
  <c r="M22" i="1"/>
  <c r="N22" i="1"/>
  <c r="H22" i="1"/>
  <c r="L21" i="1"/>
  <c r="N21" i="1"/>
  <c r="O22" i="1" l="1"/>
  <c r="P22" i="1" s="1"/>
  <c r="O23" i="1"/>
  <c r="P23" i="1" s="1"/>
  <c r="S22" i="1"/>
  <c r="M21" i="1"/>
  <c r="M28" i="1" s="1"/>
  <c r="S21" i="1" l="1"/>
  <c r="S29" i="1" s="1"/>
  <c r="T21" i="1"/>
  <c r="T27" i="1" s="1"/>
  <c r="O21" i="1"/>
  <c r="P21" i="1" s="1"/>
  <c r="P28" i="1" s="1"/>
  <c r="K42" i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s="1"/>
  <c r="O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3" i="1"/>
  <c r="R23" i="1" s="1"/>
  <c r="O42" i="1"/>
  <c r="E15" i="3"/>
  <c r="Q21" i="1" l="1"/>
  <c r="F15" i="3"/>
  <c r="R21" i="1" l="1"/>
  <c r="H21" i="1" l="1"/>
  <c r="H27" i="1" s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<sst xmlns="http://schemas.openxmlformats.org/spreadsheetml/2006/main" count="238" uniqueCount="183">
  <si>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</si>
  <si>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</si>
  <si>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</si>
  <si>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</si>
  <si>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</si>
  <si>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</si>
  <si>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</si>
  <si>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</si>
  <si>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</si>
  <si>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</si>
  <si>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</si>
  <si>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</si>
  <si>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</si>
  <si>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</si>
  <si>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</si>
  <si>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</si>
  <si>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</si>
  <si>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</si>
  <si>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</si>
  <si>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</si>
  <si>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</si>
  <si>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</si>
  <si>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</si>
  <si>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</si>
  <si>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</si>
  <si>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</si>
  <si>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</si>
  <si>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</si>
  <si>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</si>
  <si>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</si>
  <si>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</si>
  <si>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</si>
  <si>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</si>
  <si>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</si>
  <si>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</si>
  <si>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</si>
  <si>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</si>
  <si>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</si>
  <si>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</si>
  <si>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</si>
  <si>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</si>
  <si>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</si>
  <si>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</si>
  <si>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</si>
  <si>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</si>
  <si>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</si>
  <si>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</si>
  <si>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</si>
  <si>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</si>
  <si>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</si>
  <si>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</si>
  <si>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</si>
  <si>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</si>
  <si>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</si>
  <si>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</si>
  <si>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</si>
  <si>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</si>
  <si>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</si>
  <si>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</si>
  <si>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</si>
  <si>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</si>
  <si>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</si>
  <si>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</si>
  <si>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</si>
  <si>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</si>
  <si>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</si>
  <si>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</si>
  <si>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</si>
  <si>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</si>
  <si>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</si>
  <si>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</si>
  <si>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</si>
  <si>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</si>
  <si>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</si>
  <si>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</si>
  <si>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</si>
  <si>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</si>
  <si>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</si>
  <si>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</si>
  <si>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</si>
  <si>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</si>
  <si>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</si>
  <si>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</si>
  <si>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</si>
  <si>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</si>
  <si>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</si>
  <si>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</si>
  <si>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</si>
  <si>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</si>
  <si>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</si>
  <si>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</si>
  <si>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</si>
  <si>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</si>
  <si>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</si>
  <si>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</si>
  <si>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</si>
  <si>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</si>
  <si>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</si>
  <si>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</si>
  <si>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</si>
  <si>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</si>
  <si>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</si>
  <si>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</si>
  <si>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</si>
  <si>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</si>
  <si>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</si>
  <si>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</si>
  <si>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</si>
  <si>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</si>
  <si>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</si>
  <si>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</si>
  <si>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</si>
  <si>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</si>
  <si>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</si>
  <si>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</si>
  <si>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</si>
  <si>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</si>
  <si>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</si>
  <si>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</si>
  <si>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</si>
  <si>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</si>
  <si>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</si>
  <si>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</si>
  <si>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</si>
  <si>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</si>
  <si>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</si>
  <si>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</si>
  <si>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</si>
  <si>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</si>
  <si>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</si>
  <si>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</si>
  <si>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</si>
  <si>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</si>
  <si>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</si>
  <si>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</si>
  <si>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</si>
  <si>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</si>
  <si>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</si>
  <si>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</si>
  <si>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</si>
  <si>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</si>
  <si>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</si>
  <si>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</si>
  <si>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</si>
  <si>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</si>
  <si>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</si>
  <si>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</si>
  <si>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</si>
  <si>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</si>
  <si>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</si>
  <si>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</si>
  <si>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</si>
  <si>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</si>
  <si>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</si>
  <si>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</si>
  <si>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</si>
  <si>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</si>
  <si>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</si>
  <si>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</si>
  <si>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</si>
  <si>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</si>
  <si>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</si>
  <si>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</si>
  <si>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</si>
  <si>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</si>
  <si>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</si>
  <si>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</si>
  <si>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alternativa 2</t>
  </si>
  <si>
    <t>19 de 153x366</t>
  </si>
  <si>
    <t>INGENERIA Y COSNTRUCCION SERIAL SPA</t>
  </si>
  <si>
    <t>77.367.557-0</t>
  </si>
  <si>
    <t>CONSTRUCCION</t>
  </si>
  <si>
    <t>SHEILA</t>
  </si>
  <si>
    <t>AV. PROVIDENCIA 1208</t>
  </si>
  <si>
    <t>CONSTRUCCIONSEVIAL@GMAIL.COM</t>
  </si>
  <si>
    <t>+569 9893 7145</t>
  </si>
  <si>
    <t>10 DIAS HABILES</t>
  </si>
  <si>
    <t>SI</t>
  </si>
  <si>
    <t>CINZA PP-95 TX</t>
  </si>
  <si>
    <t>COMPAC 12MM BLANCO AMBAS CARAS</t>
  </si>
  <si>
    <t>SERVICIO DE CORTE</t>
  </si>
  <si>
    <t>DESPACHO</t>
  </si>
  <si>
    <t>N° 11302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</si>
</sst>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NSTRUCCIONSEVIAL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93" zoomScaleNormal="93" workbookViewId="0">
      <selection activeCell="I25" sqref="I2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182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>
        <v>0</v>
      </c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169</v>
      </c>
      <c r="D10" s="243"/>
      <c r="E10" s="243"/>
      <c r="F10" s="244" t="s">
        <v>0</v>
      </c>
      <c r="G10" s="276">
        <v>45712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170</v>
      </c>
      <c r="F11" t="s">
        <v>122</v>
      </c>
      <c r="G11" s="288" t="s">
        <v>176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 t="s">
        <v>171</v>
      </c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172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 t="s">
        <v>174</v>
      </c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175</v>
      </c>
      <c r="D15" s="310"/>
      <c r="F15" t="s">
        <v>133</v>
      </c>
      <c r="G15" s="308" t="s">
        <v>177</v>
      </c>
      <c r="H15" s="289"/>
    </row>
    <row r="16" spans="2:24" ht="16.8" x14ac:dyDescent="0.4">
      <c r="B16" s="316" t="s">
        <v>3</v>
      </c>
      <c r="C16" s="306" t="s">
        <v>173</v>
      </c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O41</f>
        <v>420522.83740039845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6</v>
      </c>
      <c r="C21" s="330" t="s">
        <v>179</v>
      </c>
      <c r="D21" s="332">
        <v>1.05</v>
      </c>
      <c r="E21" s="332">
        <v>0.48</v>
      </c>
      <c r="F21" s="330" t="s">
        <v>178</v>
      </c>
      <c r="G21" s="331">
        <v>168899</v>
      </c>
      <c r="H21" s="331">
        <f>G21*B21</f>
        <v>1013394</v>
      </c>
      <c r="I21" s="320"/>
      <c r="J21" s="265"/>
      <c r="K21" s="47"/>
      <c r="L21" s="47">
        <f>B21</f>
        <v>6</v>
      </c>
      <c r="M21" s="39">
        <f>D21+M$19</f>
        <v>1.07</v>
      </c>
      <c r="N21" s="39">
        <f>E21+$N$19</f>
        <v>0.5</v>
      </c>
      <c r="O21" s="261">
        <f t="shared" ref="O21" si="1">M21*N21</f>
        <v>0.53500000000000003</v>
      </c>
      <c r="P21" s="259">
        <f t="shared" ref="P21" si="2">O21*L21</f>
        <v>3.21</v>
      </c>
      <c r="Q21" s="252">
        <f t="shared" ref="Q21" si="3">Q$20*O21</f>
        <v>224979.71800921319</v>
      </c>
      <c r="R21" s="319">
        <f t="shared" ref="R21" si="4">Q21+R$20</f>
        <v>234979.71800921319</v>
      </c>
      <c r="S21" s="297">
        <f t="shared" ref="S21" si="5">L21*M21*2</f>
        <v>12.84</v>
      </c>
      <c r="T21" s="46">
        <f>N21*2*L21*2</f>
        <v>12</v>
      </c>
      <c r="U21" s="9"/>
      <c r="X21" s="4"/>
    </row>
    <row r="22" spans="2:25" ht="17.399999999999999" x14ac:dyDescent="0.3">
      <c r="B22" s="330">
        <v>6</v>
      </c>
      <c r="C22" s="330" t="s">
        <v>180</v>
      </c>
      <c r="D22" s="332"/>
      <c r="E22" s="332"/>
      <c r="F22" s="330"/>
      <c r="G22" s="331">
        <v>19500</v>
      </c>
      <c r="H22" s="331">
        <f>G22*B22</f>
        <v>117000</v>
      </c>
      <c r="I22" s="320"/>
      <c r="J22" s="265"/>
      <c r="K22" s="47"/>
      <c r="L22" s="47">
        <f>B22</f>
        <v>6</v>
      </c>
      <c r="M22" s="39">
        <f>D22+M$19</f>
        <v>0.02</v>
      </c>
      <c r="N22" s="39">
        <f>E22+$N$19</f>
        <v>0.02</v>
      </c>
      <c r="O22" s="261">
        <f t="shared" ref="O22" si="6">M22*N22</f>
        <v>4.0000000000000002E-4</v>
      </c>
      <c r="P22" s="259">
        <f t="shared" ref="P22" si="7">O22*L22</f>
        <v>2.4000000000000002E-3</v>
      </c>
      <c r="Q22" s="252">
        <f t="shared" ref="Q22" si="8">Q$20*O22</f>
        <v>168.20913496015939</v>
      </c>
      <c r="R22" s="319">
        <f t="shared" ref="R22" si="9">Q22+R$20</f>
        <v>10168.20913496016</v>
      </c>
      <c r="S22" s="297">
        <f t="shared" ref="S22" si="10">L22*M22*2</f>
        <v>0.24</v>
      </c>
      <c r="T22" s="46"/>
      <c r="U22" s="9"/>
      <c r="X22" s="4"/>
    </row>
    <row r="23" spans="2:25" ht="17.399999999999999" x14ac:dyDescent="0.3">
      <c r="B23" s="330">
        <v>1</v>
      </c>
      <c r="C23" s="330" t="s">
        <v>181</v>
      </c>
      <c r="D23" s="332"/>
      <c r="E23" s="332"/>
      <c r="F23" s="330"/>
      <c r="G23" s="331">
        <v>35000</v>
      </c>
      <c r="H23" s="331">
        <f t="shared" ref="H23" si="11">G23*B23</f>
        <v>35000</v>
      </c>
      <c r="I23" s="320"/>
      <c r="J23" s="265"/>
      <c r="K23" s="47"/>
      <c r="L23" s="47">
        <f t="shared" ref="L23" si="12">B23</f>
        <v>1</v>
      </c>
      <c r="M23" s="39">
        <f t="shared" ref="M23" si="13">D23+M$19</f>
        <v>0.02</v>
      </c>
      <c r="N23" s="39">
        <f t="shared" ref="N23" si="14">E23+$N$19</f>
        <v>0.02</v>
      </c>
      <c r="O23" s="261">
        <f t="shared" ref="O23" si="15">M23*N23</f>
        <v>4.0000000000000002E-4</v>
      </c>
      <c r="P23" s="259">
        <f t="shared" ref="P23" si="16">O23*L23</f>
        <v>4.0000000000000002E-4</v>
      </c>
      <c r="Q23" s="252">
        <f t="shared" ref="Q23" si="17">Q$20*O23</f>
        <v>168.20913496015939</v>
      </c>
      <c r="R23" s="319">
        <f t="shared" ref="R23" si="18">Q23+R$20</f>
        <v>10168.20913496016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1165394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12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50</v>
      </c>
      <c r="H28" s="294">
        <f>H27*19%</f>
        <v>221424.86000000002</v>
      </c>
      <c r="I28" s="322"/>
      <c r="J28" s="265"/>
      <c r="K28" s="47"/>
      <c r="L28" s="47"/>
      <c r="M28" s="39">
        <f>SUM(M21:M27)</f>
        <v>1.1100000000000001</v>
      </c>
      <c r="N28" s="12"/>
      <c r="O28" s="12"/>
      <c r="P28" s="253">
        <f>SUM(P21:P26)*2</f>
        <v>6.4256000000000002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1386818.86</v>
      </c>
      <c r="I29" s="322"/>
      <c r="J29" s="265"/>
      <c r="K29" s="47"/>
      <c r="L29" s="47"/>
      <c r="M29" s="39"/>
      <c r="N29" s="12"/>
      <c r="O29" s="12"/>
      <c r="P29" s="253">
        <f>P28</f>
        <v>6.4256000000000002</v>
      </c>
      <c r="Q29" s="14"/>
      <c r="R29" s="12"/>
      <c r="S29" s="239">
        <f>SUM(S21:S28)</f>
        <v>13.08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1.28512</v>
      </c>
      <c r="Q30" s="39" t="s">
        <v>129</v>
      </c>
      <c r="R30" s="42"/>
      <c r="S30" s="240">
        <f>S29+T27</f>
        <v>25.08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7.7107200000000002</v>
      </c>
      <c r="Q31" s="14"/>
      <c r="R31" s="14"/>
      <c r="S31" s="238">
        <f>S30*20%</f>
        <v>5.016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30.095999999999997</v>
      </c>
      <c r="T32" s="14"/>
      <c r="U32" s="302" t="s">
        <v>21</v>
      </c>
      <c r="V32" s="299" t="s">
        <v>150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7.7107200000000002</v>
      </c>
      <c r="N33" s="12">
        <v>3500</v>
      </c>
      <c r="O33" s="12">
        <f t="shared" ref="O33:O35" si="19">M33*N33</f>
        <v>26987.52</v>
      </c>
      <c r="P33" s="14" t="s">
        <v>21</v>
      </c>
      <c r="Q33" s="14"/>
      <c r="R33" s="14"/>
      <c r="S33" s="241"/>
      <c r="T33" s="14"/>
      <c r="U33" s="302" t="s">
        <v>151</v>
      </c>
      <c r="V33" s="299">
        <v>3625</v>
      </c>
      <c r="W33" s="59" t="s">
        <v>152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21</v>
      </c>
      <c r="N34" s="12">
        <v>35990</v>
      </c>
      <c r="O34" s="12">
        <f t="shared" si="19"/>
        <v>755790</v>
      </c>
      <c r="P34" s="39" t="s">
        <v>30</v>
      </c>
      <c r="Q34" s="42"/>
      <c r="R34" s="14"/>
      <c r="S34" s="240"/>
      <c r="T34" s="14"/>
      <c r="U34" s="302"/>
      <c r="V34" s="59">
        <v>906.25</v>
      </c>
      <c r="W34" s="59" t="s">
        <v>153</v>
      </c>
      <c r="X34" s="304"/>
    </row>
    <row r="35" spans="1:24" s="230" customFormat="1" ht="17.399999999999999" x14ac:dyDescent="0.35">
      <c r="B35" s="24" t="s">
        <v>149</v>
      </c>
      <c r="J35" s="262"/>
      <c r="K35" s="232"/>
      <c r="L35" s="250"/>
      <c r="M35" s="14"/>
      <c r="N35" s="250">
        <v>15041</v>
      </c>
      <c r="O35" s="12">
        <f t="shared" si="19"/>
        <v>0</v>
      </c>
      <c r="P35" s="39" t="s">
        <v>165</v>
      </c>
      <c r="Q35" s="42"/>
      <c r="S35" s="240"/>
      <c r="T35" s="256"/>
      <c r="U35" s="59"/>
      <c r="V35" s="59">
        <f>V34*20%</f>
        <v>181.25</v>
      </c>
      <c r="W35" s="304" t="s">
        <v>154</v>
      </c>
      <c r="X35" s="59"/>
    </row>
    <row r="36" spans="1:24" s="230" customFormat="1" ht="17.399999999999999" x14ac:dyDescent="0.35">
      <c r="B36" s="24" t="s">
        <v>142</v>
      </c>
      <c r="C36"/>
      <c r="D36"/>
      <c r="E36"/>
      <c r="F36"/>
      <c r="J36" s="262"/>
      <c r="K36" s="232"/>
      <c r="L36" s="250"/>
      <c r="M36" s="14">
        <v>15</v>
      </c>
      <c r="N36" s="250">
        <v>29697</v>
      </c>
      <c r="O36" s="12">
        <f>M36*N36</f>
        <v>445455</v>
      </c>
      <c r="P36" s="14" t="s">
        <v>166</v>
      </c>
      <c r="S36" s="238"/>
      <c r="T36" s="256"/>
      <c r="U36" s="59"/>
      <c r="V36" s="59">
        <f>V34+V35</f>
        <v>1087.5</v>
      </c>
      <c r="W36" s="304" t="s">
        <v>155</v>
      </c>
      <c r="X36" s="59"/>
    </row>
    <row r="37" spans="1:24" s="230" customFormat="1" ht="17.399999999999999" x14ac:dyDescent="0.35">
      <c r="B37" s="29" t="s">
        <v>124</v>
      </c>
      <c r="C37"/>
      <c r="D37"/>
      <c r="E37"/>
      <c r="F37" s="229" t="s">
        <v>15</v>
      </c>
      <c r="I37" s="230" t="s">
        <v>167</v>
      </c>
      <c r="J37" s="262"/>
      <c r="K37" s="260"/>
      <c r="L37" s="250"/>
      <c r="M37" s="249"/>
      <c r="N37" s="250">
        <v>900</v>
      </c>
      <c r="O37" s="12">
        <f>M37*N37</f>
        <v>0</v>
      </c>
      <c r="P37" s="14" t="s">
        <v>31</v>
      </c>
      <c r="Q37" s="17"/>
      <c r="R37" s="230">
        <v>1.52</v>
      </c>
      <c r="S37" s="238"/>
      <c r="T37" s="238"/>
    </row>
    <row r="38" spans="1:24" s="230" customFormat="1" ht="17.399999999999999" x14ac:dyDescent="0.35">
      <c r="I38" s="230" t="s">
        <v>168</v>
      </c>
      <c r="J38" s="293"/>
      <c r="K38" s="260"/>
      <c r="L38" s="250"/>
      <c r="M38" s="266"/>
      <c r="N38" s="12">
        <v>1500</v>
      </c>
      <c r="O38" s="12">
        <f>M38*N38</f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1228232.52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32</v>
      </c>
      <c r="N40" s="12"/>
      <c r="O40" s="255">
        <f>O39*2.2</f>
        <v>2702111.5440000002</v>
      </c>
      <c r="P40" s="14" t="s">
        <v>139</v>
      </c>
      <c r="Q40" s="14"/>
      <c r="R40" s="40">
        <f>P29/R39</f>
        <v>1.732528041415013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38000</v>
      </c>
      <c r="L41" s="250"/>
      <c r="M41" s="14"/>
      <c r="N41" s="12"/>
      <c r="O41" s="12">
        <f>O40/P29</f>
        <v>420522.83740039845</v>
      </c>
      <c r="P41" s="45" t="s">
        <v>24</v>
      </c>
      <c r="Q41" s="14"/>
      <c r="R41" s="14"/>
      <c r="S41"/>
      <c r="T41" s="238"/>
      <c r="U41" s="59" t="s">
        <v>156</v>
      </c>
      <c r="V41" s="299">
        <v>43650</v>
      </c>
    </row>
    <row r="42" spans="1:24" s="230" customFormat="1" ht="17.399999999999999" x14ac:dyDescent="0.35">
      <c r="G42"/>
      <c r="K42" s="230">
        <f>K41/1.19</f>
        <v>31932.773109243699</v>
      </c>
      <c r="L42" s="250"/>
      <c r="M42" s="13"/>
      <c r="N42" s="14"/>
      <c r="O42" s="17">
        <f>O40/O39</f>
        <v>2.2000000000000002</v>
      </c>
      <c r="P42" s="15"/>
      <c r="Q42" s="14"/>
      <c r="R42"/>
      <c r="S42"/>
      <c r="T42" s="238"/>
      <c r="U42" s="59" t="s">
        <v>158</v>
      </c>
      <c r="V42" s="300" t="s">
        <v>157</v>
      </c>
      <c r="W42" s="59">
        <v>2.4</v>
      </c>
    </row>
    <row r="43" spans="1:24" s="230" customFormat="1" ht="17.399999999999999" x14ac:dyDescent="0.35">
      <c r="G43" s="23"/>
      <c r="L43" s="12"/>
      <c r="Q43"/>
      <c r="T43" s="238"/>
      <c r="U43" s="59" t="s">
        <v>159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154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146</v>
      </c>
    </row>
    <row r="77" spans="3:15" x14ac:dyDescent="0.3">
      <c r="C77" t="s">
        <v>145</v>
      </c>
    </row>
    <row r="80" spans="3:15" x14ac:dyDescent="0.3">
      <c r="C80" t="s">
        <v>145</v>
      </c>
    </row>
    <row r="157" spans="3:3" x14ac:dyDescent="0.3">
      <c r="C157" t="s">
        <v>145</v>
      </c>
    </row>
    <row r="158" spans="3:3" x14ac:dyDescent="0.3">
      <c r="C158" t="s">
        <v>147</v>
      </c>
    </row>
    <row r="159" spans="3:3" x14ac:dyDescent="0.3">
      <c r="C159" t="s">
        <v>148</v>
      </c>
    </row>
    <row r="584" spans="3:3" x14ac:dyDescent="0.3">
      <c r="C584" t="s">
        <v>145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  <hyperlink ref="C14" r:id="rId2" xr:uid="{50A62982-523E-447B-A244-97271E1C9302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45712</v>
      </c>
    </row>
    <row r="6" spans="2:31" ht="16.2" thickBot="1" x14ac:dyDescent="0.35">
      <c r="B6" s="140" t="s">
        <v>2</v>
      </c>
      <c r="C6" s="139" t="str">
        <f>'2229'!C10</f>
        <v>INGENERIA Y COSNTRUCCION SERIAL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11302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29235.85963321256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'2229'!H27</f>
        <v>1165394</v>
      </c>
      <c r="E11" s="132">
        <f>D11*0.19</f>
        <v>221424.86000000002</v>
      </c>
      <c r="F11" s="131">
        <f>E11+D11</f>
        <v>1386818.86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135225.85963321256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812611.61078743963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117225.85963321256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352782.38921256037</v>
      </c>
      <c r="E13" s="221">
        <f>(D11/D12)-1</f>
        <v>0.43413407405132443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108225.85963321256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69225.85963321256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1340809.1577992754</v>
      </c>
      <c r="F15" s="216">
        <f>E15-D12</f>
        <v>528197.54701183573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69225.85963321256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109225.85963321256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'2229'!O34</f>
        <v>755790</v>
      </c>
      <c r="E19" s="123">
        <f>D19*0.19</f>
        <v>143600.1</v>
      </c>
      <c r="F19" s="120">
        <f>SUM(D19:E19)</f>
        <v>899390.1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26987.52</v>
      </c>
      <c r="E20" s="121">
        <f>D20*0.19</f>
        <v>5127.6288000000004</v>
      </c>
      <c r="F20" s="120">
        <f>SUM(D20:E20)</f>
        <v>32115.148800000003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782777.52</v>
      </c>
      <c r="E21" s="116">
        <f>SUM(E18:E20)</f>
        <v>148727.72880000001</v>
      </c>
      <c r="F21" s="115">
        <f>SUM(F18:F20)</f>
        <v>931505.24879999994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72697.131200000003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1165394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782777.52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352782.38921256037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352782.38921256037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2025-02-24T18:41:38Z</dcterms:modified>
</cp:coreProperties>
</file>