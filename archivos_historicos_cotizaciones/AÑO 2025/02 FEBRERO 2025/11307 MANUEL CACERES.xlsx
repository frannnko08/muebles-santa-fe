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2 FEBRERO 2025\"/>
    </mc:Choice>
  </mc:AlternateContent>
  <xr:revisionPtr revIDLastSave="0" documentId="13_ncr:1_{D982C574-D94E-4263-91B3-2CBB263E38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K21" i="1"/>
  <c r="J39" i="1" l="1"/>
  <c r="L21" i="1"/>
  <c r="M21" i="1"/>
  <c r="R21" i="1" l="1"/>
  <c r="L24" i="1"/>
  <c r="S21" i="1"/>
  <c r="N21" i="1"/>
  <c r="O21" i="1" s="1"/>
  <c r="O25" i="1" s="1"/>
  <c r="U32" i="1"/>
  <c r="U33" i="1" s="1"/>
  <c r="R26" i="1" l="1"/>
  <c r="N31" i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Q37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H24" i="1" s="1"/>
  <c r="F15" i="3"/>
  <c r="Q21" i="1" l="1"/>
  <c r="D11" i="3" l="1"/>
  <c r="X9" i="3" s="1"/>
  <c r="X15" i="3" s="1"/>
  <c r="H2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<sst xmlns="http://schemas.openxmlformats.org/spreadsheetml/2006/main" count="230" uniqueCount="174">
  <si>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</si>
  <si>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</si>
  <si>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</si>
  <si>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</si>
  <si>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</si>
  <si>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</si>
  <si>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</si>
  <si>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</si>
  <si>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</si>
  <si>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</si>
  <si>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</si>
  <si>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</si>
  <si>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</si>
  <si>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</si>
  <si>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</si>
  <si>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</si>
  <si>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</si>
  <si>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</si>
  <si>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</si>
  <si>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</si>
  <si>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</si>
  <si>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</si>
  <si>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</si>
  <si>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</si>
  <si>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</si>
  <si>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</si>
  <si>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</si>
  <si>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</si>
  <si>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</si>
  <si>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</si>
  <si>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</si>
  <si>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</si>
  <si>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</si>
  <si>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</si>
  <si>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</si>
  <si>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</si>
  <si>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</si>
  <si>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</si>
  <si>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</si>
  <si>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</si>
  <si>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</si>
  <si>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</si>
  <si>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</si>
  <si>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</si>
  <si>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</si>
  <si>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</si>
  <si>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</si>
  <si>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</si>
  <si>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</si>
  <si>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</si>
  <si>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</si>
  <si>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</si>
  <si>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</si>
  <si>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</si>
  <si>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</si>
  <si>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</si>
  <si>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</si>
  <si>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</si>
  <si>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</si>
  <si>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</si>
  <si>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</si>
  <si>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</si>
  <si>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</si>
  <si>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</si>
  <si>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</si>
  <si>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</si>
  <si>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</si>
  <si>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</si>
  <si>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</si>
  <si>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</si>
  <si>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</si>
  <si>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</si>
  <si>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</si>
  <si>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</si>
  <si>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</si>
  <si>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</si>
  <si>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</si>
  <si>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</si>
  <si>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</si>
  <si>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</si>
  <si>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</si>
  <si>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</si>
  <si>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</si>
  <si>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</si>
  <si>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</si>
  <si>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</si>
  <si>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</si>
  <si>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</si>
  <si>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</si>
  <si>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</si>
  <si>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</si>
  <si>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</si>
  <si>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</si>
  <si>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</si>
  <si>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</si>
  <si>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</si>
  <si>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</si>
  <si>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</si>
  <si>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</si>
  <si>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</si>
  <si>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</si>
  <si>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</si>
  <si>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</si>
  <si>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</si>
  <si>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</si>
  <si>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</si>
  <si>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</si>
  <si>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</si>
  <si>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</si>
  <si>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</si>
  <si>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</si>
  <si>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</si>
  <si>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</si>
  <si>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</si>
  <si>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</si>
  <si>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</si>
  <si>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</si>
  <si>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</si>
  <si>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</si>
  <si>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</si>
  <si>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</si>
  <si>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</si>
  <si>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</si>
  <si>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</si>
  <si>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</si>
  <si>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</si>
  <si>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</si>
  <si>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</si>
  <si>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</si>
  <si>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</si>
  <si>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</si>
  <si>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</si>
  <si>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</si>
  <si>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</si>
  <si>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</si>
  <si>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</si>
  <si>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</si>
  <si>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</si>
  <si>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</si>
  <si>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</si>
  <si>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</si>
  <si>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</si>
  <si>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</si>
  <si>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</si>
  <si>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</si>
  <si>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</si>
  <si>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</si>
  <si>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</si>
  <si>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</si>
  <si>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</si>
  <si>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</si>
  <si>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</si>
  <si>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</si>
  <si>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</si>
  <si>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</si>
  <si>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</si>
  <si>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</si>
  <si>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</si>
  <si>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</si>
  <si>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</si>
  <si>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</si>
  <si>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</si>
  <si>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</si>
  <si>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</si>
  <si>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</si>
  <si>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</si>
  <si>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</si>
  <si>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</si>
  <si>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5 DIAS HABILES</t>
  </si>
  <si>
    <t>CUB C/R FRENTE 90° R8</t>
  </si>
  <si>
    <t>N° 11307</t>
  </si>
  <si>
    <t>MANUEL CACERES</t>
  </si>
  <si>
    <t>569 97071017</t>
  </si>
  <si>
    <t>COLOR MADERA POR DEFINIR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</si>
</sst>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0" xfId="0" quotePrefix="1" applyFont="1" applyAlignment="1">
      <alignment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22</xdr:row>
      <xdr:rowOff>222558</xdr:rowOff>
    </xdr:from>
    <xdr:to>
      <xdr:col>5</xdr:col>
      <xdr:colOff>1659644</xdr:colOff>
      <xdr:row>26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zoomScale="93" zoomScaleNormal="93" workbookViewId="0">
      <selection activeCell="G22" sqref="G22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31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6" t="s">
        <v>170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171</v>
      </c>
      <c r="D10" s="243"/>
      <c r="E10" s="243"/>
      <c r="F10" s="244" t="s">
        <v>0</v>
      </c>
      <c r="G10" s="277">
        <v>45714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172</v>
      </c>
      <c r="D15" s="295"/>
      <c r="E15" s="247"/>
      <c r="F15" s="247" t="s">
        <v>135</v>
      </c>
      <c r="G15" s="296" t="s">
        <v>136</v>
      </c>
      <c r="H15" s="248"/>
      <c r="K15" s="18" t="s">
        <v>165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2" t="s">
        <v>167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0.08</v>
      </c>
      <c r="M19" s="14">
        <v>0.05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91878.354542764137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9">
        <v>1</v>
      </c>
      <c r="C21" s="329" t="s">
        <v>169</v>
      </c>
      <c r="D21" s="330">
        <v>2.1</v>
      </c>
      <c r="E21" s="330">
        <v>0.56999999999999995</v>
      </c>
      <c r="F21" s="329" t="s">
        <v>173</v>
      </c>
      <c r="G21" s="331">
        <v>127183</v>
      </c>
      <c r="H21" s="331">
        <f t="shared" ref="H21" si="1">G21*B21</f>
        <v>127183</v>
      </c>
      <c r="I21" s="265"/>
      <c r="J21" s="47"/>
      <c r="K21" s="324">
        <f t="shared" ref="K21" si="2">B21</f>
        <v>1</v>
      </c>
      <c r="L21" s="325">
        <f t="shared" ref="L21" si="3">D21+L$19</f>
        <v>2.1800000000000002</v>
      </c>
      <c r="M21" s="325">
        <f t="shared" ref="M21" si="4">E21+M$19</f>
        <v>0.62</v>
      </c>
      <c r="N21" s="261">
        <f t="shared" ref="N21" si="5">L21*M21</f>
        <v>1.3516000000000001</v>
      </c>
      <c r="O21" s="259">
        <f t="shared" ref="O21" si="6">N21*K21</f>
        <v>1.3516000000000001</v>
      </c>
      <c r="P21" s="252">
        <f>P$20*N21</f>
        <v>124182.78400000001</v>
      </c>
      <c r="Q21" s="258">
        <f t="shared" ref="Q21" si="7">P21+Q$20</f>
        <v>127182.78400000001</v>
      </c>
      <c r="R21" s="308">
        <f>L21*K21</f>
        <v>2.1800000000000002</v>
      </c>
      <c r="S21" s="46">
        <f>M21*K21*2</f>
        <v>1.24</v>
      </c>
      <c r="T21" s="9"/>
      <c r="W21" s="4"/>
    </row>
    <row r="22" spans="2:24" ht="17.399999999999999" x14ac:dyDescent="0.3">
      <c r="B22" s="327"/>
      <c r="C22" s="328"/>
      <c r="D22" s="327"/>
      <c r="E22" s="327"/>
      <c r="F22" s="327"/>
      <c r="G22" s="327"/>
      <c r="H22" s="327"/>
      <c r="I22" s="265"/>
      <c r="J22" s="47"/>
      <c r="K22" s="324"/>
      <c r="L22" s="325"/>
      <c r="M22" s="325"/>
      <c r="N22" s="261"/>
      <c r="O22" s="259"/>
      <c r="P22" s="252"/>
      <c r="Q22" s="258"/>
      <c r="R22" s="308"/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9" t="s">
        <v>29</v>
      </c>
      <c r="H24" s="310">
        <f>SUM(H21:H23)</f>
        <v>127183</v>
      </c>
      <c r="I24" s="265"/>
      <c r="J24" s="47"/>
      <c r="K24" s="47"/>
      <c r="L24" s="39">
        <f>SUM(L21:L23)</f>
        <v>2.1800000000000002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52</v>
      </c>
      <c r="H25" s="304"/>
      <c r="I25" s="265"/>
      <c r="J25" s="47"/>
      <c r="K25" s="47"/>
      <c r="L25" s="39"/>
      <c r="M25" s="12"/>
      <c r="N25" s="12"/>
      <c r="O25" s="253">
        <f>SUM(O21:O21)</f>
        <v>1.3516000000000001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127183</v>
      </c>
      <c r="I26" s="265"/>
      <c r="J26" s="47"/>
      <c r="K26" s="47"/>
      <c r="L26" s="39"/>
      <c r="M26" s="12"/>
      <c r="N26" s="12"/>
      <c r="O26" s="253">
        <f>O25</f>
        <v>1.3516000000000001</v>
      </c>
      <c r="P26" s="14"/>
      <c r="Q26" s="12"/>
      <c r="R26" s="239">
        <f>SUM(R21:R25)</f>
        <v>2.1800000000000002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0.27032000000000006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1.6219200000000003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15" t="s">
        <v>22</v>
      </c>
      <c r="U29" s="312" t="s">
        <v>153</v>
      </c>
      <c r="V29" s="316">
        <v>44971</v>
      </c>
      <c r="W29" s="317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1.6219200000000003</v>
      </c>
      <c r="M30" s="12">
        <v>3500</v>
      </c>
      <c r="N30" s="12">
        <f t="shared" ref="N30:N35" si="8">L30*M30</f>
        <v>5676.7200000000012</v>
      </c>
      <c r="O30" s="14" t="s">
        <v>22</v>
      </c>
      <c r="P30" s="14"/>
      <c r="Q30" s="14"/>
      <c r="R30" s="241"/>
      <c r="S30" s="14"/>
      <c r="T30" s="315" t="s">
        <v>154</v>
      </c>
      <c r="U30" s="312">
        <v>3625</v>
      </c>
      <c r="V30" s="59" t="s">
        <v>155</v>
      </c>
      <c r="W30" s="317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0.5</v>
      </c>
      <c r="M31" s="12">
        <v>25000</v>
      </c>
      <c r="N31" s="12">
        <f t="shared" si="8"/>
        <v>12500</v>
      </c>
      <c r="O31" s="39" t="s">
        <v>32</v>
      </c>
      <c r="P31" s="42"/>
      <c r="Q31" s="14"/>
      <c r="R31" s="240"/>
      <c r="S31" s="14"/>
      <c r="T31" s="315"/>
      <c r="U31" s="59">
        <v>906.25</v>
      </c>
      <c r="V31" s="59" t="s">
        <v>156</v>
      </c>
      <c r="W31" s="317"/>
    </row>
    <row r="32" spans="2:24" s="230" customFormat="1" ht="17.399999999999999" x14ac:dyDescent="0.35">
      <c r="I32" s="262"/>
      <c r="J32" s="232"/>
      <c r="K32" s="250"/>
      <c r="L32" s="14"/>
      <c r="M32" s="250">
        <v>77058</v>
      </c>
      <c r="N32" s="12">
        <f t="shared" si="8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17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>
        <v>1</v>
      </c>
      <c r="M33" s="250">
        <v>35000</v>
      </c>
      <c r="N33" s="12">
        <f t="shared" si="8"/>
        <v>35000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17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8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303"/>
      <c r="K35" s="250"/>
      <c r="L35" s="266">
        <v>2.1800000000000002</v>
      </c>
      <c r="M35" s="12">
        <v>1500</v>
      </c>
      <c r="N35" s="12">
        <f t="shared" si="8"/>
        <v>3270.0000000000005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56446.720000000001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N36*2.2</f>
        <v>124182.78400000001</v>
      </c>
      <c r="O37" s="14" t="s">
        <v>141</v>
      </c>
      <c r="P37" s="14"/>
      <c r="Q37" s="40">
        <f>O28/Q36</f>
        <v>0.43731665228645389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42960</v>
      </c>
      <c r="K38" s="250"/>
      <c r="L38" s="14"/>
      <c r="M38" s="12"/>
      <c r="N38" s="12">
        <f>N37/O26</f>
        <v>91878.354542764137</v>
      </c>
      <c r="O38" s="45" t="s">
        <v>25</v>
      </c>
      <c r="P38" s="14"/>
      <c r="Q38" s="14"/>
      <c r="R38"/>
      <c r="S38" s="238"/>
      <c r="T38" s="59" t="s">
        <v>159</v>
      </c>
      <c r="U38" s="312">
        <v>43650</v>
      </c>
    </row>
    <row r="39" spans="2:23" s="230" customFormat="1" ht="17.399999999999999" x14ac:dyDescent="0.35">
      <c r="G39"/>
      <c r="J39" s="230">
        <f>J38/1.19</f>
        <v>36100.840336134454</v>
      </c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161</v>
      </c>
      <c r="U39" s="313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14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45714</v>
      </c>
    </row>
    <row r="6" spans="2:31" ht="16.2" thickBot="1" x14ac:dyDescent="0.35">
      <c r="B6" s="140" t="s">
        <v>2</v>
      </c>
      <c r="C6" s="139" t="str">
        <f>'2229'!C10</f>
        <v>MANUEL CACERES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11307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-7994.1937001207725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127183</v>
      </c>
      <c r="E11" s="132">
        <f>D11*0.19</f>
        <v>24164.77</v>
      </c>
      <c r="F11" s="131">
        <f>E11+D11</f>
        <v>151347.76999999999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97995.80629987923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48010.810787439616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79995.80629987923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79172.189212560392</v>
      </c>
      <c r="E13" s="221">
        <f>(D11/D12)-1</f>
        <v>1.64904920192002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70995.80629987923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31995.806299879227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79217.837799275367</v>
      </c>
      <c r="F15" s="216">
        <f>E15-D12</f>
        <v>31207.027011835751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31995.806299879227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71995.80629987923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5676.7200000000012</v>
      </c>
      <c r="E20" s="121">
        <f>D20*0.19</f>
        <v>1078.5768000000003</v>
      </c>
      <c r="F20" s="120">
        <f>SUM(D20:E20)</f>
        <v>6755.2968000000019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18176.72</v>
      </c>
      <c r="E21" s="116">
        <f>SUM(E18:E20)</f>
        <v>3453.5768000000003</v>
      </c>
      <c r="F21" s="115">
        <f>SUM(F18:F20)</f>
        <v>21630.296800000004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20711.193200000002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127183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18176.72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79172.189212560392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79172.189212560392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2025-02-26T15:12:44Z</cp:lastPrinted>
  <dcterms:created xsi:type="dcterms:W3CDTF">2013-03-18T13:35:42Z</dcterms:created>
  <dcterms:modified xsi:type="dcterms:W3CDTF">2025-02-26T18:32:47Z</dcterms:modified>
</cp:coreProperties>
</file>