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FD643D45-BD17-48B5-9F89-82D57603A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2" i="1"/>
  <c r="L22" i="1"/>
  <c r="M22" i="1"/>
  <c r="H22" i="1"/>
  <c r="K21" i="1"/>
  <c r="N22" i="1" l="1"/>
  <c r="O22" i="1" s="1"/>
  <c r="J40" i="1"/>
  <c r="L21" i="1"/>
  <c r="M21" i="1"/>
  <c r="R21" i="1" l="1"/>
  <c r="L25" i="1"/>
  <c r="S21" i="1"/>
  <c r="N21" i="1"/>
  <c r="O21" i="1" s="1"/>
  <c r="O26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<sst xmlns="http://schemas.openxmlformats.org/spreadsheetml/2006/main" count="232" uniqueCount="174">
  <si>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</si>
  <si>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</si>
  <si>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</si>
  <si>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</si>
  <si>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</si>
  <si>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</si>
  <si>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</si>
  <si>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</si>
  <si>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</si>
  <si>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</si>
  <si>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</si>
  <si>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</si>
  <si>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</si>
  <si>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</si>
  <si>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</si>
  <si>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</si>
  <si>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</si>
  <si>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</si>
  <si>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</si>
  <si>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</si>
  <si>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</si>
  <si>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</si>
  <si>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</si>
  <si>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</si>
  <si>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</si>
  <si>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</si>
  <si>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</si>
  <si>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</si>
  <si>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</si>
  <si>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</si>
  <si>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</si>
  <si>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</si>
  <si>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</si>
  <si>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</si>
  <si>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</si>
  <si>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</si>
  <si>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</si>
  <si>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</si>
  <si>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</si>
  <si>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</si>
  <si>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</si>
  <si>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</si>
  <si>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</si>
  <si>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</si>
  <si>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</si>
  <si>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</si>
  <si>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</si>
  <si>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</si>
  <si>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</si>
  <si>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</si>
  <si>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</si>
  <si>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</si>
  <si>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</si>
  <si>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</si>
  <si>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</si>
  <si>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</si>
  <si>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</si>
  <si>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</si>
  <si>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</si>
  <si>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</si>
  <si>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</si>
  <si>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</si>
  <si>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</si>
  <si>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</si>
  <si>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</si>
  <si>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</si>
  <si>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</si>
  <si>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</si>
  <si>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</si>
  <si>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</si>
  <si>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</si>
  <si>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</si>
  <si>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</si>
  <si>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</si>
  <si>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</si>
  <si>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</si>
  <si>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</si>
  <si>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</si>
  <si>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</si>
  <si>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</si>
  <si>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</si>
  <si>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</si>
  <si>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</si>
  <si>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</si>
  <si>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</si>
  <si>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</si>
  <si>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</si>
  <si>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</si>
  <si>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</si>
  <si>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</si>
  <si>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</si>
  <si>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</si>
  <si>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</si>
  <si>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</si>
  <si>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</si>
  <si>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</si>
  <si>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</si>
  <si>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</si>
  <si>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</si>
  <si>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</si>
  <si>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</si>
  <si>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</si>
  <si>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</si>
  <si>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</si>
  <si>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</si>
  <si>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</si>
  <si>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</si>
  <si>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</si>
  <si>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</si>
  <si>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</si>
  <si>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</si>
  <si>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</si>
  <si>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</si>
  <si>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</si>
  <si>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</si>
  <si>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</si>
  <si>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</si>
  <si>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</si>
  <si>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</si>
  <si>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</si>
  <si>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</si>
  <si>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</si>
  <si>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</si>
  <si>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</si>
  <si>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</si>
  <si>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</si>
  <si>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</si>
  <si>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</si>
  <si>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</si>
  <si>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</si>
  <si>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</si>
  <si>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</si>
  <si>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</si>
  <si>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</si>
  <si>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</si>
  <si>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</si>
  <si>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</si>
  <si>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</si>
  <si>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</si>
  <si>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</si>
  <si>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</si>
  <si>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</si>
  <si>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</si>
  <si>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</si>
  <si>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</si>
  <si>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</si>
  <si>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</si>
  <si>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</si>
  <si>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</si>
  <si>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</si>
  <si>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</si>
  <si>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</si>
  <si>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</si>
  <si>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</si>
  <si>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</si>
  <si>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</si>
  <si>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</si>
  <si>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</si>
  <si>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</si>
  <si>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</si>
  <si>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</si>
  <si>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</si>
  <si>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</si>
  <si>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</si>
  <si>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</si>
  <si>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</si>
  <si>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</si>
  <si>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</si>
  <si>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</si>
  <si>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KARL SCIBBE</t>
  </si>
  <si>
    <t>569 9841 5211</t>
  </si>
  <si>
    <t>PUERTA R6</t>
  </si>
  <si>
    <t>ALMENDRA 920 MT</t>
  </si>
  <si>
    <t>N° 11304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</si>
</sst>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ENCHAPADAS CON TAPACANTO PVC 0,4MM LO MAS PARECIDO AL TONO DE LA LÁMINA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84011.241830065352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3</v>
      </c>
      <c r="C21" s="329" t="s">
        <v>171</v>
      </c>
      <c r="D21" s="330">
        <v>0.7</v>
      </c>
      <c r="E21" s="330">
        <v>0.45</v>
      </c>
      <c r="F21" s="329" t="s">
        <v>172</v>
      </c>
      <c r="G21" s="331">
        <v>35764</v>
      </c>
      <c r="H21" s="331">
        <f t="shared" ref="H21:H22" si="1">G21*B21</f>
        <v>107292</v>
      </c>
      <c r="I21" s="265"/>
      <c r="J21" s="47"/>
      <c r="K21" s="324">
        <f t="shared" ref="K21" si="2">B21</f>
        <v>3</v>
      </c>
      <c r="L21" s="325">
        <f t="shared" ref="L21" si="3">D21+L$19</f>
        <v>0.77999999999999992</v>
      </c>
      <c r="M21" s="325">
        <f t="shared" ref="M21" si="4">E21+M$19</f>
        <v>0.5</v>
      </c>
      <c r="N21" s="261">
        <f t="shared" ref="N21" si="5">L21*M21</f>
        <v>0.38999999999999996</v>
      </c>
      <c r="O21" s="259">
        <f t="shared" ref="O21" si="6">N21*K21</f>
        <v>1.17</v>
      </c>
      <c r="P21" s="252">
        <f>P$20*N21</f>
        <v>32764.384313725484</v>
      </c>
      <c r="Q21" s="258">
        <f t="shared" ref="Q21" si="7">P21+Q$20</f>
        <v>35764.384313725488</v>
      </c>
      <c r="R21" s="308">
        <f>L21*K21</f>
        <v>2.34</v>
      </c>
      <c r="S21" s="46">
        <f>M21*K21*2</f>
        <v>3</v>
      </c>
      <c r="T21" s="9"/>
      <c r="W21" s="4"/>
    </row>
    <row r="22" spans="2:24" ht="17.399999999999999" x14ac:dyDescent="0.3">
      <c r="B22" s="329">
        <v>3</v>
      </c>
      <c r="C22" s="329" t="s">
        <v>171</v>
      </c>
      <c r="D22" s="330">
        <v>0.7</v>
      </c>
      <c r="E22" s="330">
        <v>0.3</v>
      </c>
      <c r="F22" s="329" t="s">
        <v>172</v>
      </c>
      <c r="G22" s="331">
        <v>25935</v>
      </c>
      <c r="H22" s="331">
        <f t="shared" si="1"/>
        <v>77805</v>
      </c>
      <c r="I22" s="265"/>
      <c r="J22" s="47"/>
      <c r="K22" s="324">
        <f t="shared" ref="K22" si="8">B22</f>
        <v>3</v>
      </c>
      <c r="L22" s="325">
        <f t="shared" ref="L22" si="9">D22+L$19</f>
        <v>0.77999999999999992</v>
      </c>
      <c r="M22" s="325">
        <f t="shared" ref="M22" si="10">E22+M$19</f>
        <v>0.35</v>
      </c>
      <c r="N22" s="261">
        <f t="shared" ref="N22" si="11">L22*M22</f>
        <v>0.27299999999999996</v>
      </c>
      <c r="O22" s="259">
        <f t="shared" ref="O22" si="12">N22*K22</f>
        <v>0.81899999999999995</v>
      </c>
      <c r="P22" s="252">
        <f>P$20*N22</f>
        <v>22935.069019607839</v>
      </c>
      <c r="Q22" s="258">
        <f t="shared" ref="Q22" si="13">P22+Q$20</f>
        <v>25935.069019607839</v>
      </c>
      <c r="R22" s="308"/>
      <c r="S22" s="46"/>
      <c r="T22" s="9"/>
      <c r="W22" s="4"/>
    </row>
    <row r="23" spans="2:24" ht="17.399999999999999" x14ac:dyDescent="0.3">
      <c r="B23" s="327"/>
      <c r="C23" s="328"/>
      <c r="D23" s="327"/>
      <c r="E23" s="327"/>
      <c r="F23" s="327"/>
      <c r="G23" s="327"/>
      <c r="H23" s="32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185097</v>
      </c>
      <c r="I25" s="265"/>
      <c r="J25" s="47"/>
      <c r="K25" s="47"/>
      <c r="L25" s="39">
        <f>SUM(L21:L24)</f>
        <v>1.5599999999999998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35168.43</v>
      </c>
      <c r="I26" s="265"/>
      <c r="J26" s="47"/>
      <c r="K26" s="47"/>
      <c r="L26" s="39"/>
      <c r="M26" s="12"/>
      <c r="N26" s="12"/>
      <c r="O26" s="253">
        <f>SUM(O21:O22)</f>
        <v>1.9889999999999999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220265.43</v>
      </c>
      <c r="I27" s="265"/>
      <c r="J27" s="47"/>
      <c r="K27" s="47"/>
      <c r="L27" s="39"/>
      <c r="M27" s="12"/>
      <c r="N27" s="12"/>
      <c r="O27" s="253">
        <f>O26</f>
        <v>1.9889999999999999</v>
      </c>
      <c r="P27" s="14"/>
      <c r="Q27" s="12"/>
      <c r="R27" s="239">
        <f>SUM(R21:R26)</f>
        <v>2.34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0.39779999999999999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2.3868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2.3868</v>
      </c>
      <c r="M31" s="12">
        <v>3500</v>
      </c>
      <c r="N31" s="12">
        <f t="shared" ref="N31:N36" si="14">L31*M31</f>
        <v>8353.7999999999993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45000</v>
      </c>
      <c r="N32" s="12">
        <f t="shared" si="14"/>
        <v>31499.999999999996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77058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36100</v>
      </c>
      <c r="N34" s="12">
        <f t="shared" si="14"/>
        <v>36100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/>
      <c r="M36" s="12">
        <v>1500</v>
      </c>
      <c r="N36" s="12">
        <f t="shared" si="1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75953.799999999988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167098.35999999999</v>
      </c>
      <c r="O38" s="14" t="s">
        <v>141</v>
      </c>
      <c r="P38" s="14"/>
      <c r="Q38" s="40">
        <f>O29/Q37</f>
        <v>0.6435504745470233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42960</v>
      </c>
      <c r="K39" s="250"/>
      <c r="L39" s="14"/>
      <c r="M39" s="12"/>
      <c r="N39" s="12">
        <f>N38/O27</f>
        <v>84011.241830065352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36100.840336134454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45714</v>
      </c>
    </row>
    <row r="6" spans="2:31" ht="16.2" thickBot="1" x14ac:dyDescent="0.35">
      <c r="B6" s="140" t="s">
        <v>2</v>
      </c>
      <c r="C6" s="139" t="str">
        <f>'2229'!C10</f>
        <v>KARL SCIBBE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11304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-11685.330033454107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185097</v>
      </c>
      <c r="E11" s="132">
        <f>D11*0.19</f>
        <v>35168.43</v>
      </c>
      <c r="F11" s="131">
        <f>E11+D11</f>
        <v>220265.43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94304.669966545887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69687.89078743961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76304.669966545887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115409.10921256039</v>
      </c>
      <c r="E13" s="221">
        <f>(D11/D12)-1</f>
        <v>1.6560855538672934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67304.669966545887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28304.669966545895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114985.01979927535</v>
      </c>
      <c r="F15" s="216">
        <f>E15-D12</f>
        <v>45297.129011835743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28304.669966545895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68304.669966545887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31499.999999999996</v>
      </c>
      <c r="E19" s="123">
        <f>D19*0.19</f>
        <v>5984.9999999999991</v>
      </c>
      <c r="F19" s="120">
        <f>SUM(D19:E19)</f>
        <v>37484.999999999993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8353.7999999999993</v>
      </c>
      <c r="E20" s="121">
        <f>D20*0.19</f>
        <v>1587.222</v>
      </c>
      <c r="F20" s="120">
        <f>SUM(D20:E20)</f>
        <v>9941.021999999999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39853.799999999996</v>
      </c>
      <c r="E21" s="116">
        <f>SUM(E18:E20)</f>
        <v>7572.2219999999988</v>
      </c>
      <c r="F21" s="115">
        <f>SUM(F18:F20)</f>
        <v>47426.02199999999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27596.208000000002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185097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39853.799999999996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115409.10921256039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115409.10921256039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2025-02-26T15:14:55Z</dcterms:modified>
</cp:coreProperties>
</file>