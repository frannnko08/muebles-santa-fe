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F1B98DB0-1081-4F85-80F1-2028F040F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N38" i="1"/>
  <c r="O26" i="1"/>
  <c r="K22" i="1"/>
  <c r="L22" i="1"/>
  <c r="M22" i="1"/>
  <c r="N22" i="1"/>
  <c r="O22" i="1" s="1"/>
  <c r="H22" i="1"/>
  <c r="K21" i="1"/>
  <c r="J40" i="1" l="1"/>
  <c r="L21" i="1"/>
  <c r="R21" i="1" s="1"/>
  <c r="M21" i="1"/>
  <c r="L25" i="1" l="1"/>
  <c r="S21" i="1"/>
  <c r="N21" i="1"/>
  <c r="O21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<sst xmlns="http://schemas.openxmlformats.org/spreadsheetml/2006/main" count="233" uniqueCount="175">
  <si>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</si>
  <si>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</si>
  <si>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</si>
  <si>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</si>
  <si>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</si>
  <si>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</si>
  <si>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</si>
  <si>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</si>
  <si>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</si>
  <si>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</si>
  <si>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</si>
  <si>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</si>
  <si>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</si>
  <si>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</si>
  <si>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</si>
  <si>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</si>
  <si>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</si>
  <si>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</si>
  <si>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</si>
  <si>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</si>
  <si>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</si>
  <si>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</si>
  <si>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</si>
  <si>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</si>
  <si>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</si>
  <si>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</si>
  <si>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</si>
  <si>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</si>
  <si>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</si>
  <si>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</si>
  <si>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</si>
  <si>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</si>
  <si>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</si>
  <si>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</si>
  <si>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</si>
  <si>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</si>
  <si>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</si>
  <si>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</si>
  <si>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</si>
  <si>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</si>
  <si>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</si>
  <si>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</si>
  <si>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</si>
  <si>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</si>
  <si>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</si>
  <si>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</si>
  <si>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</si>
  <si>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</si>
  <si>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</si>
  <si>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</si>
  <si>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</si>
  <si>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</si>
  <si>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</si>
  <si>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</si>
  <si>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</si>
  <si>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</si>
  <si>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</si>
  <si>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</si>
  <si>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</si>
  <si>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</si>
  <si>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</si>
  <si>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</si>
  <si>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</si>
  <si>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</si>
  <si>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</si>
  <si>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</si>
  <si>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</si>
  <si>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</si>
  <si>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</si>
  <si>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</si>
  <si>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</si>
  <si>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</si>
  <si>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</si>
  <si>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</si>
  <si>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</si>
  <si>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</si>
  <si>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</si>
  <si>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</si>
  <si>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</si>
  <si>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</si>
  <si>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</si>
  <si>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</si>
  <si>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</si>
  <si>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</si>
  <si>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</si>
  <si>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</si>
  <si>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</si>
  <si>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</si>
  <si>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</si>
  <si>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</si>
  <si>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</si>
  <si>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</si>
  <si>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</si>
  <si>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</si>
  <si>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</si>
  <si>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</si>
  <si>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</si>
  <si>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</si>
  <si>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</si>
  <si>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</si>
  <si>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</si>
  <si>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</si>
  <si>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</si>
  <si>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</si>
  <si>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</si>
  <si>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</si>
  <si>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</si>
  <si>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</si>
  <si>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</si>
  <si>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</si>
  <si>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</si>
  <si>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</si>
  <si>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</si>
  <si>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</si>
  <si>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</si>
  <si>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</si>
  <si>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</si>
  <si>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</si>
  <si>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</si>
  <si>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</si>
  <si>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</si>
  <si>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</si>
  <si>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</si>
  <si>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</si>
  <si>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</si>
  <si>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</si>
  <si>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</si>
  <si>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</si>
  <si>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</si>
  <si>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</si>
  <si>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</si>
  <si>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</si>
  <si>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</si>
  <si>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</si>
  <si>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</si>
  <si>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</si>
  <si>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</si>
  <si>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</si>
  <si>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</si>
  <si>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</si>
  <si>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</si>
  <si>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</si>
  <si>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</si>
  <si>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</si>
  <si>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</si>
  <si>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</si>
  <si>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</si>
  <si>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</si>
  <si>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</si>
  <si>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</si>
  <si>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</si>
  <si>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</si>
  <si>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</si>
  <si>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</si>
  <si>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</si>
  <si>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</si>
  <si>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</si>
  <si>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</si>
  <si>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</si>
  <si>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</si>
  <si>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</si>
  <si>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</si>
  <si>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</si>
  <si>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</si>
  <si>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</si>
  <si>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</si>
  <si>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</si>
  <si>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</si>
  <si>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</si>
  <si>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UVZ</t>
  </si>
  <si>
    <t>RAMON SALINAS</t>
  </si>
  <si>
    <t>569 42714183</t>
  </si>
  <si>
    <t>CUB CON RESPALDO FRENTE 90° R8</t>
  </si>
  <si>
    <t>GALAXIA GRAFITO 0491 MT</t>
  </si>
  <si>
    <t>N° 11291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</si>
</sst>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119237.98811156835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2" t="s">
        <v>172</v>
      </c>
      <c r="D21" s="333">
        <v>3.35</v>
      </c>
      <c r="E21" s="333">
        <v>0.45</v>
      </c>
      <c r="F21" s="332" t="s">
        <v>173</v>
      </c>
      <c r="G21" s="322">
        <v>184044</v>
      </c>
      <c r="H21" s="323">
        <f t="shared" ref="H21:H22" si="1">G21*B21</f>
        <v>184044</v>
      </c>
      <c r="I21" s="265"/>
      <c r="J21" s="47"/>
      <c r="K21" s="326">
        <f t="shared" ref="K21" si="2">B21</f>
        <v>1</v>
      </c>
      <c r="L21" s="327">
        <f t="shared" ref="L21" si="3">D21+L$19</f>
        <v>3.43</v>
      </c>
      <c r="M21" s="327">
        <f t="shared" ref="M21" si="4">E21+M$19</f>
        <v>0.45</v>
      </c>
      <c r="N21" s="261">
        <f t="shared" ref="N21" si="5">L21*M21</f>
        <v>1.5435000000000001</v>
      </c>
      <c r="O21" s="259">
        <f t="shared" ref="O21" si="6">N21*K21</f>
        <v>1.5435000000000001</v>
      </c>
      <c r="P21" s="252">
        <f>P$20*N21</f>
        <v>184043.83465020577</v>
      </c>
      <c r="Q21" s="258">
        <f t="shared" ref="Q21" si="7">P21+Q$20</f>
        <v>187043.83465020577</v>
      </c>
      <c r="R21" s="308">
        <f>L21*K21</f>
        <v>3.43</v>
      </c>
      <c r="S21" s="46">
        <f>M21*K21*2</f>
        <v>0.9</v>
      </c>
      <c r="T21" s="9"/>
      <c r="W21" s="4"/>
    </row>
    <row r="22" spans="2:24" ht="17.399999999999999" x14ac:dyDescent="0.3">
      <c r="B22" s="331">
        <v>1</v>
      </c>
      <c r="C22" s="332" t="s">
        <v>172</v>
      </c>
      <c r="D22" s="333">
        <v>1.35</v>
      </c>
      <c r="E22" s="333">
        <v>0.45</v>
      </c>
      <c r="F22" s="332" t="s">
        <v>173</v>
      </c>
      <c r="G22" s="322">
        <v>76730</v>
      </c>
      <c r="H22" s="323">
        <f t="shared" si="1"/>
        <v>76730</v>
      </c>
      <c r="I22" s="265"/>
      <c r="J22" s="47"/>
      <c r="K22" s="326">
        <f t="shared" ref="K22" si="8">B22</f>
        <v>1</v>
      </c>
      <c r="L22" s="327">
        <f t="shared" ref="L22" si="9">D22+L$19</f>
        <v>1.4300000000000002</v>
      </c>
      <c r="M22" s="327">
        <f t="shared" ref="M22" si="10">E22+M$19</f>
        <v>0.45</v>
      </c>
      <c r="N22" s="261">
        <f t="shared" ref="N22" si="11">L22*M22</f>
        <v>0.64350000000000007</v>
      </c>
      <c r="O22" s="259">
        <f t="shared" ref="O22" si="12">N22*K22</f>
        <v>0.64350000000000007</v>
      </c>
      <c r="P22" s="252">
        <f>P$20*N22</f>
        <v>76729.645349794242</v>
      </c>
      <c r="Q22" s="258">
        <f t="shared" ref="Q22" si="13">P22+Q$20</f>
        <v>79729.645349794242</v>
      </c>
      <c r="R22" s="308"/>
      <c r="S22" s="46"/>
      <c r="T22" s="9"/>
      <c r="W22" s="4"/>
    </row>
    <row r="23" spans="2:24" ht="17.399999999999999" x14ac:dyDescent="0.3">
      <c r="B23" s="329"/>
      <c r="C23" s="330"/>
      <c r="D23" s="329"/>
      <c r="E23" s="329"/>
      <c r="F23" s="329"/>
      <c r="G23" s="329"/>
      <c r="H23" s="329"/>
      <c r="I23" s="265"/>
      <c r="J23" s="47"/>
      <c r="K23" s="326"/>
      <c r="L23" s="327"/>
      <c r="M23" s="327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260774</v>
      </c>
      <c r="I25" s="265"/>
      <c r="J25" s="47"/>
      <c r="K25" s="47"/>
      <c r="L25" s="39">
        <f>SUM(L21:L24)</f>
        <v>4.8600000000000003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49547.06</v>
      </c>
      <c r="I26" s="265"/>
      <c r="J26" s="47"/>
      <c r="K26" s="47"/>
      <c r="L26" s="39"/>
      <c r="M26" s="12"/>
      <c r="N26" s="12"/>
      <c r="O26" s="253">
        <f>SUM(O21:O22)</f>
        <v>2.1870000000000003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310321.06</v>
      </c>
      <c r="I27" s="265"/>
      <c r="J27" s="47"/>
      <c r="K27" s="47"/>
      <c r="L27" s="39"/>
      <c r="M27" s="12"/>
      <c r="N27" s="12"/>
      <c r="O27" s="253">
        <f>O26</f>
        <v>2.1870000000000003</v>
      </c>
      <c r="P27" s="14"/>
      <c r="Q27" s="12"/>
      <c r="R27" s="239">
        <f>SUM(R21:R26)</f>
        <v>3.43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0.43740000000000007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2.6244000000000005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2.6244000000000005</v>
      </c>
      <c r="M31" s="12">
        <v>3500</v>
      </c>
      <c r="N31" s="12">
        <f t="shared" ref="N31:N36" si="14">L31*M31</f>
        <v>9185.4000000000015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14"/>
        <v>25000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77058</v>
      </c>
      <c r="N33" s="12">
        <f t="shared" si="14"/>
        <v>77058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23500</v>
      </c>
      <c r="N34" s="12">
        <f t="shared" si="14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4.8600000000000003</v>
      </c>
      <c r="M36" s="12">
        <v>1500</v>
      </c>
      <c r="N36" s="12">
        <f t="shared" si="14"/>
        <v>7290.0000000000009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118533.4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260773.48</v>
      </c>
      <c r="O38" s="14" t="s">
        <v>141</v>
      </c>
      <c r="P38" s="14"/>
      <c r="Q38" s="40">
        <f>O29/Q37</f>
        <v>0.70761432269197599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91700</v>
      </c>
      <c r="K39" s="250"/>
      <c r="L39" s="14"/>
      <c r="M39" s="12"/>
      <c r="N39" s="12">
        <f>N38/O27</f>
        <v>119237.98811156835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77058.823529411762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45705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-4666.0233667874463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260774</v>
      </c>
      <c r="E11" s="132">
        <f>D11*0.19</f>
        <v>49547.06</v>
      </c>
      <c r="F11" s="131">
        <f>E11+D11</f>
        <v>310321.06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101323.97663321256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141077.4907874396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83323.976633212558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119696.5092125604</v>
      </c>
      <c r="E13" s="221">
        <f>(D11/D12)-1</f>
        <v>0.84844512433883756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74323.976633212558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35323.976633212551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232777.85979927532</v>
      </c>
      <c r="F15" s="216">
        <f>E15-D12</f>
        <v>91700.369011835719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35323.976633212551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75323.976633212558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77058</v>
      </c>
      <c r="E18" s="123">
        <f>D18*0.19</f>
        <v>14641.02</v>
      </c>
      <c r="F18" s="120">
        <f>SUM(D18:E18)</f>
        <v>91699.02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9185.4000000000015</v>
      </c>
      <c r="E20" s="121">
        <f>D20*0.19</f>
        <v>1745.2260000000003</v>
      </c>
      <c r="F20" s="120">
        <f>SUM(D20:E20)</f>
        <v>10930.626000000002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111243.4</v>
      </c>
      <c r="E21" s="116">
        <f>SUM(E18:E20)</f>
        <v>21136.245999999999</v>
      </c>
      <c r="F21" s="115">
        <f>SUM(F18:F20)</f>
        <v>132379.64600000001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28410.813999999998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260774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111243.4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119696.5092125604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119696.5092125604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2025-02-17T21:15:51Z</dcterms:modified>
</cp:coreProperties>
</file>