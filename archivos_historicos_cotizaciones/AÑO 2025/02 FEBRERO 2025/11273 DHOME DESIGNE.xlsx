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51DC47B0-F753-4434-A554-56B184EA59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2" i="1"/>
  <c r="H23" i="1"/>
  <c r="K22" i="1"/>
  <c r="L22" i="1"/>
  <c r="N22" i="1" s="1"/>
  <c r="O22" i="1" s="1"/>
  <c r="M22" i="1"/>
  <c r="K23" i="1"/>
  <c r="L23" i="1"/>
  <c r="M23" i="1"/>
  <c r="R22" i="1" l="1"/>
  <c r="N23" i="1"/>
  <c r="O23" i="1" s="1"/>
  <c r="S22" i="1"/>
  <c r="S23" i="1"/>
  <c r="R23" i="1"/>
  <c r="H21" i="1" l="1"/>
  <c r="J42" i="1"/>
  <c r="L21" i="1"/>
  <c r="M21" i="1"/>
  <c r="L27" i="1" l="1"/>
  <c r="S21" i="1"/>
  <c r="R21" i="1"/>
  <c r="N21" i="1"/>
  <c r="O21" i="1" s="1"/>
  <c r="O28" i="1" s="1"/>
  <c r="U35" i="1"/>
  <c r="U36" i="1" s="1"/>
  <c r="R29" i="1" l="1"/>
  <c r="N34" i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Q40" i="1"/>
  <c r="N39" i="1" l="1"/>
  <c r="N40" i="1" s="1"/>
  <c r="D20" i="3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3" i="1" l="1"/>
  <c r="Q23" i="1" s="1"/>
  <c r="P22" i="1"/>
  <c r="Q22" i="1" s="1"/>
  <c r="P21" i="1"/>
  <c r="F15" i="3"/>
  <c r="Q21" i="1" l="1"/>
  <c r="H28" i="1" s="1"/>
  <c r="D11" i="3" l="1"/>
  <c r="X9" i="3" s="1"/>
  <c r="X15" i="3" s="1"/>
  <c r="H29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<sst xmlns="http://schemas.openxmlformats.org/spreadsheetml/2006/main" count="235" uniqueCount="177">
  <si>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</si>
  <si>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</si>
  <si>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</si>
  <si>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</si>
  <si>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</si>
  <si>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</si>
  <si>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</si>
  <si>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</si>
  <si>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</si>
  <si>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</si>
  <si>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</si>
  <si>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</si>
  <si>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</si>
  <si>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</si>
  <si>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</si>
  <si>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</si>
  <si>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</si>
  <si>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</si>
  <si>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</si>
  <si>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</si>
  <si>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</si>
  <si>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</si>
  <si>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</si>
  <si>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</si>
  <si>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</si>
  <si>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</si>
  <si>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</si>
  <si>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</si>
  <si>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</si>
  <si>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</si>
  <si>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</si>
  <si>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</si>
  <si>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</si>
  <si>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</si>
  <si>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</si>
  <si>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</si>
  <si>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</si>
  <si>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</si>
  <si>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</si>
  <si>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</si>
  <si>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</si>
  <si>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</si>
  <si>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</si>
  <si>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</si>
  <si>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</si>
  <si>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</si>
  <si>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</si>
  <si>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</si>
  <si>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</si>
  <si>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</si>
  <si>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</si>
  <si>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</si>
  <si>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</si>
  <si>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</si>
  <si>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</si>
  <si>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</si>
  <si>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</si>
  <si>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</si>
  <si>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</si>
  <si>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</si>
  <si>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</si>
  <si>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</si>
  <si>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</si>
  <si>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</si>
  <si>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</si>
  <si>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</si>
  <si>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</si>
  <si>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</si>
  <si>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</si>
  <si>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</si>
  <si>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</si>
  <si>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</si>
  <si>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</si>
  <si>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</si>
  <si>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</si>
  <si>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</si>
  <si>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</si>
  <si>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</si>
  <si>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</si>
  <si>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</si>
  <si>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</si>
  <si>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</si>
  <si>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</si>
  <si>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</si>
  <si>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</si>
  <si>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</si>
  <si>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</si>
  <si>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</si>
  <si>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</si>
  <si>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</si>
  <si>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</si>
  <si>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</si>
  <si>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</si>
  <si>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</si>
  <si>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</si>
  <si>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</si>
  <si>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</si>
  <si>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</si>
  <si>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</si>
  <si>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</si>
  <si>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</si>
  <si>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</si>
  <si>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</si>
  <si>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</si>
  <si>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</si>
  <si>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</si>
  <si>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</si>
  <si>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</si>
  <si>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</si>
  <si>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</si>
  <si>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</si>
  <si>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</si>
  <si>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</si>
  <si>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</si>
  <si>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</si>
  <si>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</si>
  <si>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</si>
  <si>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</si>
  <si>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</si>
  <si>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</si>
  <si>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</si>
  <si>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</si>
  <si>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</si>
  <si>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</si>
  <si>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</si>
  <si>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</si>
  <si>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</si>
  <si>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</si>
  <si>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</si>
  <si>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</si>
  <si>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</si>
  <si>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</si>
  <si>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</si>
  <si>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</si>
  <si>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</si>
  <si>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</si>
  <si>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</si>
  <si>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</si>
  <si>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</si>
  <si>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</si>
  <si>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</si>
  <si>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</si>
  <si>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</si>
  <si>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</si>
  <si>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</si>
  <si>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</si>
  <si>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</si>
  <si>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</si>
  <si>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</si>
  <si>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</si>
  <si>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</si>
  <si>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</si>
  <si>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</si>
  <si>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</si>
  <si>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</si>
  <si>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</si>
  <si>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</si>
  <si>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</si>
  <si>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</si>
  <si>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</si>
  <si>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</si>
  <si>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</si>
  <si>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</si>
  <si>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</si>
  <si>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</si>
  <si>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</si>
  <si>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ESKELETOR</t>
  </si>
  <si>
    <t>SANTIAGO</t>
  </si>
  <si>
    <t>SI</t>
  </si>
  <si>
    <t>DHOME DESIGNE</t>
  </si>
  <si>
    <t>JUAN GONZALEZ</t>
  </si>
  <si>
    <t>569 4219 4105</t>
  </si>
  <si>
    <t>CUB C/R FRENTE 90° R8</t>
  </si>
  <si>
    <t>N° 11273</t>
  </si>
  <si>
    <t>BLANCAS OPACAS</t>
  </si>
  <si>
    <t>3 DIAS HABILES</t>
  </si>
  <si>
    <t xml:space="preserve">DOVE GREY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</si>
</sst>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25</xdr:row>
      <xdr:rowOff>222558</xdr:rowOff>
    </xdr:from>
    <xdr:to>
      <xdr:col>5</xdr:col>
      <xdr:colOff>1659644</xdr:colOff>
      <xdr:row>29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9" t="s">
        <v>173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45691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175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168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170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166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30" t="s">
        <v>165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2" t="s">
        <v>148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70725.925925925927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45">
        <v>3</v>
      </c>
      <c r="C21" s="345" t="s">
        <v>172</v>
      </c>
      <c r="D21" s="346">
        <v>1.3</v>
      </c>
      <c r="E21" s="346">
        <v>0.64</v>
      </c>
      <c r="F21" s="345" t="s">
        <v>176</v>
      </c>
      <c r="G21" s="322">
        <v>75365</v>
      </c>
      <c r="H21" s="323">
        <f t="shared" ref="H21:H23" si="1">G21*B21</f>
        <v>226095</v>
      </c>
      <c r="I21" s="265"/>
      <c r="J21" s="47"/>
      <c r="K21" s="327"/>
      <c r="L21" s="328">
        <f t="shared" ref="L21" si="2">D21+L$19</f>
        <v>1.35</v>
      </c>
      <c r="M21" s="328">
        <f t="shared" ref="M21" si="3">E21+M$19</f>
        <v>0.64</v>
      </c>
      <c r="N21" s="261">
        <f t="shared" ref="N21" si="4">L21*M21</f>
        <v>0.8640000000000001</v>
      </c>
      <c r="O21" s="259">
        <f t="shared" ref="O21" si="5">N21*K21</f>
        <v>0</v>
      </c>
      <c r="P21" s="252">
        <f>P$20*N21</f>
        <v>61107.200000000012</v>
      </c>
      <c r="Q21" s="258">
        <f t="shared" ref="Q21" si="6">P21+Q$20</f>
        <v>64107.200000000012</v>
      </c>
      <c r="R21" s="308">
        <f>L21*K21*2</f>
        <v>0</v>
      </c>
      <c r="S21" s="46">
        <f>M21*K21*2</f>
        <v>0</v>
      </c>
      <c r="T21" s="9"/>
      <c r="W21" s="4"/>
    </row>
    <row r="22" spans="2:24" ht="18" thickBot="1" x14ac:dyDescent="0.35">
      <c r="B22" s="345">
        <v>3</v>
      </c>
      <c r="C22" s="345" t="s">
        <v>172</v>
      </c>
      <c r="D22" s="346">
        <v>2</v>
      </c>
      <c r="E22" s="346">
        <v>0.5</v>
      </c>
      <c r="F22" s="345" t="s">
        <v>174</v>
      </c>
      <c r="G22" s="344">
        <v>75494</v>
      </c>
      <c r="H22" s="323">
        <f t="shared" si="1"/>
        <v>226482</v>
      </c>
      <c r="I22" s="265"/>
      <c r="J22" s="47"/>
      <c r="K22" s="327">
        <f t="shared" ref="K22:K23" si="7">B22</f>
        <v>3</v>
      </c>
      <c r="L22" s="328">
        <f t="shared" ref="L22:L23" si="8">D22+L$19</f>
        <v>2.0499999999999998</v>
      </c>
      <c r="M22" s="328">
        <f t="shared" ref="M22:M23" si="9">E22+M$19</f>
        <v>0.5</v>
      </c>
      <c r="N22" s="261">
        <f t="shared" ref="N22:N23" si="10">L22*M22</f>
        <v>1.0249999999999999</v>
      </c>
      <c r="O22" s="259">
        <f t="shared" ref="O22:O23" si="11">N22*K22</f>
        <v>3.0749999999999997</v>
      </c>
      <c r="P22" s="252">
        <f t="shared" ref="P22:P23" si="12">P$20*N22</f>
        <v>72494.074074074073</v>
      </c>
      <c r="Q22" s="258">
        <f t="shared" ref="Q22:Q23" si="13">P22+Q$20</f>
        <v>75494.074074074073</v>
      </c>
      <c r="R22" s="308">
        <f t="shared" ref="R22:R23" si="14">L22*K22*2</f>
        <v>12.299999999999999</v>
      </c>
      <c r="S22" s="46">
        <f t="shared" ref="S22:S23" si="15">M22*K22*2</f>
        <v>3</v>
      </c>
      <c r="T22" s="9"/>
      <c r="W22" s="4"/>
    </row>
    <row r="23" spans="2:24" ht="17.399999999999999" x14ac:dyDescent="0.3">
      <c r="B23" s="345">
        <v>3</v>
      </c>
      <c r="C23" s="345" t="s">
        <v>172</v>
      </c>
      <c r="D23" s="346">
        <v>1.5</v>
      </c>
      <c r="E23" s="346">
        <v>0.5</v>
      </c>
      <c r="F23" s="345" t="s">
        <v>174</v>
      </c>
      <c r="G23" s="344">
        <v>57813</v>
      </c>
      <c r="H23" s="323">
        <f t="shared" si="1"/>
        <v>173439</v>
      </c>
      <c r="I23" s="265"/>
      <c r="J23" s="47"/>
      <c r="K23" s="327">
        <f t="shared" si="7"/>
        <v>3</v>
      </c>
      <c r="L23" s="328">
        <f t="shared" si="8"/>
        <v>1.55</v>
      </c>
      <c r="M23" s="328">
        <f t="shared" si="9"/>
        <v>0.5</v>
      </c>
      <c r="N23" s="261">
        <f t="shared" si="10"/>
        <v>0.77500000000000002</v>
      </c>
      <c r="O23" s="259">
        <f t="shared" si="11"/>
        <v>2.3250000000000002</v>
      </c>
      <c r="P23" s="252">
        <f t="shared" si="12"/>
        <v>54812.592592592599</v>
      </c>
      <c r="Q23" s="258">
        <f t="shared" si="13"/>
        <v>57812.592592592599</v>
      </c>
      <c r="R23" s="308">
        <f t="shared" si="14"/>
        <v>9.3000000000000007</v>
      </c>
      <c r="S23" s="46">
        <f t="shared" si="15"/>
        <v>3</v>
      </c>
      <c r="T23" s="9"/>
      <c r="W23" s="4"/>
    </row>
    <row r="24" spans="2:24" ht="17.399999999999999" x14ac:dyDescent="0.3">
      <c r="B24" s="342"/>
      <c r="C24" s="342"/>
      <c r="D24" s="343"/>
      <c r="E24" s="343"/>
      <c r="F24" s="342"/>
      <c r="G24" s="326"/>
      <c r="H24" s="326"/>
      <c r="I24" s="265"/>
      <c r="J24" s="47"/>
      <c r="K24" s="327"/>
      <c r="L24" s="328"/>
      <c r="M24" s="328"/>
      <c r="N24" s="261"/>
      <c r="O24" s="259"/>
      <c r="P24" s="252"/>
      <c r="Q24" s="258"/>
      <c r="R24" s="308"/>
      <c r="S24" s="46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26"/>
      <c r="H25" s="326"/>
      <c r="I25" s="265"/>
      <c r="J25" s="47"/>
      <c r="K25" s="47"/>
      <c r="L25" s="39"/>
      <c r="M25" s="39"/>
      <c r="N25" s="261"/>
      <c r="O25" s="259"/>
      <c r="P25" s="252"/>
      <c r="Q25" s="258"/>
      <c r="R25" s="308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09" t="s">
        <v>29</v>
      </c>
      <c r="H27" s="310">
        <f>SUM(H21:H26)</f>
        <v>626016</v>
      </c>
      <c r="I27" s="265"/>
      <c r="J27" s="47"/>
      <c r="K27" s="47"/>
      <c r="L27" s="39">
        <f>SUM(L21:L26)</f>
        <v>4.95</v>
      </c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307" t="s">
        <v>52</v>
      </c>
      <c r="H28" s="304">
        <f>H27*19%</f>
        <v>118943.04000000001</v>
      </c>
      <c r="I28" s="265"/>
      <c r="J28" s="47"/>
      <c r="K28" s="47"/>
      <c r="L28" s="39"/>
      <c r="M28" s="12"/>
      <c r="N28" s="12"/>
      <c r="O28" s="253">
        <f>SUM(O21:O23)</f>
        <v>5.4</v>
      </c>
      <c r="P28" s="14"/>
      <c r="Q28" s="12"/>
      <c r="R28" s="239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5">
        <f>H27+H28</f>
        <v>744959.04</v>
      </c>
      <c r="I29" s="265"/>
      <c r="J29" s="47"/>
      <c r="K29" s="47"/>
      <c r="L29" s="39"/>
      <c r="M29" s="12"/>
      <c r="N29" s="12"/>
      <c r="O29" s="253">
        <f>O28</f>
        <v>5.4</v>
      </c>
      <c r="P29" s="14"/>
      <c r="Q29" s="12"/>
      <c r="R29" s="239">
        <f>SUM(R21:R28)</f>
        <v>21.6</v>
      </c>
      <c r="S29" s="14"/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1.08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6.48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15" t="s">
        <v>22</v>
      </c>
      <c r="U32" s="312" t="s">
        <v>153</v>
      </c>
      <c r="V32" s="316">
        <v>44971</v>
      </c>
      <c r="W32" s="317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</f>
        <v>6.48</v>
      </c>
      <c r="M33" s="12">
        <v>2500</v>
      </c>
      <c r="N33" s="12">
        <f t="shared" ref="N33:N38" si="16">L33*M33</f>
        <v>16200.000000000002</v>
      </c>
      <c r="O33" s="14" t="s">
        <v>22</v>
      </c>
      <c r="P33" s="14"/>
      <c r="Q33" s="14"/>
      <c r="R33" s="241"/>
      <c r="S33" s="14"/>
      <c r="T33" s="315" t="s">
        <v>154</v>
      </c>
      <c r="U33" s="312">
        <v>3625</v>
      </c>
      <c r="V33" s="59" t="s">
        <v>155</v>
      </c>
      <c r="W33" s="317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2</v>
      </c>
      <c r="M34" s="12">
        <v>25000</v>
      </c>
      <c r="N34" s="12">
        <f t="shared" si="16"/>
        <v>50000</v>
      </c>
      <c r="O34" s="39" t="s">
        <v>32</v>
      </c>
      <c r="P34" s="42"/>
      <c r="Q34" s="14"/>
      <c r="R34" s="240"/>
      <c r="S34" s="14"/>
      <c r="T34" s="315"/>
      <c r="U34" s="59">
        <v>906.25</v>
      </c>
      <c r="V34" s="59" t="s">
        <v>156</v>
      </c>
      <c r="W34" s="317"/>
    </row>
    <row r="35" spans="2:23" s="230" customFormat="1" ht="17.399999999999999" x14ac:dyDescent="0.35">
      <c r="I35" s="262"/>
      <c r="J35" s="232"/>
      <c r="K35" s="250"/>
      <c r="L35" s="14"/>
      <c r="M35" s="250">
        <v>34000</v>
      </c>
      <c r="N35" s="12">
        <f t="shared" si="16"/>
        <v>0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17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/>
      <c r="K36" s="250"/>
      <c r="L36" s="14">
        <v>3</v>
      </c>
      <c r="M36" s="250">
        <v>25000</v>
      </c>
      <c r="N36" s="12">
        <f t="shared" si="16"/>
        <v>75000</v>
      </c>
      <c r="O36" s="14" t="s">
        <v>142</v>
      </c>
      <c r="P36" s="17"/>
      <c r="R36" s="238"/>
      <c r="S36" s="256"/>
      <c r="T36" s="59"/>
      <c r="U36" s="59">
        <f>U34+U35</f>
        <v>1087.5</v>
      </c>
      <c r="V36" s="317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/>
      <c r="K37" s="250"/>
      <c r="L37" s="249"/>
      <c r="M37" s="250">
        <v>300</v>
      </c>
      <c r="N37" s="12">
        <f t="shared" si="16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303"/>
      <c r="K38" s="250"/>
      <c r="L38" s="266">
        <v>21.6</v>
      </c>
      <c r="M38" s="12">
        <v>1500</v>
      </c>
      <c r="N38" s="12">
        <f t="shared" si="16"/>
        <v>32400.000000000004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173600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N39*2.2</f>
        <v>381920.00000000006</v>
      </c>
      <c r="O40" s="14" t="s">
        <v>141</v>
      </c>
      <c r="P40" s="14"/>
      <c r="Q40" s="40">
        <f>O31/Q39</f>
        <v>1.747195858498706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49340</v>
      </c>
      <c r="K41" s="250"/>
      <c r="L41" s="14"/>
      <c r="M41" s="12"/>
      <c r="N41" s="12">
        <f>N40/O29</f>
        <v>70725.925925925927</v>
      </c>
      <c r="O41" s="45" t="s">
        <v>25</v>
      </c>
      <c r="P41" s="14"/>
      <c r="Q41" s="14"/>
      <c r="R41"/>
      <c r="S41" s="238"/>
      <c r="T41" s="59" t="s">
        <v>159</v>
      </c>
      <c r="U41" s="312">
        <v>43650</v>
      </c>
    </row>
    <row r="42" spans="2:23" s="230" customFormat="1" ht="17.399999999999999" x14ac:dyDescent="0.35">
      <c r="G42"/>
      <c r="J42" s="230">
        <f>J41/1.19</f>
        <v>41462.184873949584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161</v>
      </c>
      <c r="U42" s="313" t="s">
        <v>160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162</v>
      </c>
      <c r="U43" s="314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/>
      <c r="T44" s="59" t="s">
        <v>157</v>
      </c>
      <c r="U44" s="59">
        <v>474.45</v>
      </c>
    </row>
    <row r="45" spans="2:23" ht="14.4" customHeight="1" x14ac:dyDescent="0.3"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45691</v>
      </c>
    </row>
    <row r="6" spans="2:31" ht="16.2" thickBot="1" x14ac:dyDescent="0.35">
      <c r="B6" s="140" t="s">
        <v>2</v>
      </c>
      <c r="C6" s="139" t="str">
        <f>'2229'!C10</f>
        <v>DHOME DESIGNE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99</v>
      </c>
      <c r="I7" s="337"/>
      <c r="J7" s="337"/>
      <c r="K7" s="338"/>
      <c r="N7" s="75"/>
      <c r="O7" s="335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11273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5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-77926.625033454111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626016</v>
      </c>
      <c r="E11" s="132">
        <f>D11*0.19</f>
        <v>118943.04000000001</v>
      </c>
      <c r="F11" s="131">
        <f>E11+D11</f>
        <v>744959.04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28063.374966545889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96034.090787439607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10063.374966545889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529981.90921256039</v>
      </c>
      <c r="E13" s="221">
        <f>(D11/D12)-1</f>
        <v>5.518685134278142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1063.374966545889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-37936.625033454111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158456.24979927533</v>
      </c>
      <c r="F15" s="216">
        <f>E15-D12</f>
        <v>62422.159011835727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-37936.625033454111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2063.374966545889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50000</v>
      </c>
      <c r="E19" s="123">
        <f>D19*0.19</f>
        <v>9500</v>
      </c>
      <c r="F19" s="120">
        <f>SUM(D19:E19)</f>
        <v>59500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16200.000000000002</v>
      </c>
      <c r="E20" s="121">
        <f>D20*0.19</f>
        <v>3078.0000000000005</v>
      </c>
      <c r="F20" s="120">
        <f>SUM(D20:E20)</f>
        <v>19278.000000000004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66200</v>
      </c>
      <c r="E21" s="116">
        <f>SUM(E18:E20)</f>
        <v>12578</v>
      </c>
      <c r="F21" s="115">
        <f>SUM(F18:F20)</f>
        <v>78778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106365.04000000001</v>
      </c>
    </row>
    <row r="41" spans="2:16" ht="15" thickBot="1" x14ac:dyDescent="0.35">
      <c r="H41" s="339" t="s">
        <v>61</v>
      </c>
      <c r="I41" s="340"/>
      <c r="J41" s="340"/>
      <c r="K41" s="340"/>
      <c r="L41" s="340"/>
      <c r="M41" s="341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626016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66200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529981.90921256039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529981.90921256039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2025-02-03T20:06:45Z</cp:lastPrinted>
  <dcterms:created xsi:type="dcterms:W3CDTF">2013-03-18T13:35:42Z</dcterms:created>
  <dcterms:modified xsi:type="dcterms:W3CDTF">2025-02-03T20:12:59Z</dcterms:modified>
</cp:coreProperties>
</file>