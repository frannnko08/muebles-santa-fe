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08824624-112E-462C-B8E2-B73E3781F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8" i="1" l="1"/>
  <c r="L21" i="1"/>
  <c r="M21" i="1"/>
  <c r="R21" i="1" l="1"/>
  <c r="L23" i="1"/>
  <c r="S21" i="1"/>
  <c r="N21" i="1"/>
  <c r="O21" i="1" s="1"/>
  <c r="O24" i="1" s="1"/>
  <c r="U31" i="1"/>
  <c r="U32" i="1" s="1"/>
  <c r="R25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H23" i="1" s="1"/>
  <c r="F15" i="3"/>
  <c r="Q21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<sst xmlns="http://schemas.openxmlformats.org/spreadsheetml/2006/main" count="231" uniqueCount="175">
  <si>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</si>
  <si>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</si>
  <si>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</si>
  <si>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</si>
  <si>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</si>
  <si>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</si>
  <si>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</si>
  <si>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</si>
  <si>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</si>
  <si>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</si>
  <si>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</si>
  <si>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</si>
  <si>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</si>
  <si>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</si>
  <si>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</si>
  <si>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</si>
  <si>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</si>
  <si>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</si>
  <si>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</si>
  <si>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</si>
  <si>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</si>
  <si>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</si>
  <si>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</si>
  <si>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</si>
  <si>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</si>
  <si>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</si>
  <si>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</si>
  <si>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</si>
  <si>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</si>
  <si>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</si>
  <si>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</si>
  <si>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</si>
  <si>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</si>
  <si>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</si>
  <si>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</si>
  <si>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</si>
  <si>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</si>
  <si>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</si>
  <si>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</si>
  <si>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</si>
  <si>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</si>
  <si>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</si>
  <si>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</si>
  <si>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</si>
  <si>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</si>
  <si>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</si>
  <si>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</si>
  <si>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</si>
  <si>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</si>
  <si>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</si>
  <si>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</si>
  <si>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</si>
  <si>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</si>
  <si>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</si>
  <si>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</si>
  <si>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</si>
  <si>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</si>
  <si>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</si>
  <si>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</si>
  <si>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</si>
  <si>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</si>
  <si>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</si>
  <si>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</si>
  <si>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</si>
  <si>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</si>
  <si>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</si>
  <si>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</si>
  <si>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</si>
  <si>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</si>
  <si>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</si>
  <si>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</si>
  <si>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</si>
  <si>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</si>
  <si>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</si>
  <si>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</si>
  <si>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</si>
  <si>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</si>
  <si>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</si>
  <si>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</si>
  <si>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</si>
  <si>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</si>
  <si>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</si>
  <si>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</si>
  <si>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</si>
  <si>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</si>
  <si>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</si>
  <si>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</si>
  <si>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</si>
  <si>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</si>
  <si>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</si>
  <si>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</si>
  <si>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</si>
  <si>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</si>
  <si>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</si>
  <si>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</si>
  <si>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</si>
  <si>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</si>
  <si>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</si>
  <si>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</si>
  <si>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</si>
  <si>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</si>
  <si>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</si>
  <si>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</si>
  <si>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</si>
  <si>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</si>
  <si>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</si>
  <si>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</si>
  <si>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</si>
  <si>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</si>
  <si>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</si>
  <si>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</si>
  <si>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</si>
  <si>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</si>
  <si>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</si>
  <si>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</si>
  <si>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</si>
  <si>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</si>
  <si>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</si>
  <si>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</si>
  <si>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</si>
  <si>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</si>
  <si>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</si>
  <si>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</si>
  <si>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</si>
  <si>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</si>
  <si>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</si>
  <si>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</si>
  <si>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</si>
  <si>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</si>
  <si>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</si>
  <si>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</si>
  <si>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</si>
  <si>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</si>
  <si>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</si>
  <si>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</si>
  <si>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</si>
  <si>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</si>
  <si>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</si>
  <si>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</si>
  <si>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</si>
  <si>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</si>
  <si>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</si>
  <si>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</si>
  <si>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</si>
  <si>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</si>
  <si>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</si>
  <si>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</si>
  <si>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</si>
  <si>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</si>
  <si>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</si>
  <si>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</si>
  <si>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</si>
  <si>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</si>
  <si>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</si>
  <si>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</si>
  <si>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</si>
  <si>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</si>
  <si>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</si>
  <si>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</si>
  <si>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</si>
  <si>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</si>
  <si>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</si>
  <si>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</si>
  <si>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</si>
  <si>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</si>
  <si>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</si>
  <si>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</si>
  <si>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</si>
  <si>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5699871 2672</t>
  </si>
  <si>
    <t>PAJARITOS PARADERO 9 PUDAHUEL</t>
  </si>
  <si>
    <t>10 DIAS HABILES</t>
  </si>
  <si>
    <t>MARIA VIRGINIA GALLEGUILLOS</t>
  </si>
  <si>
    <t>N° 11310A</t>
  </si>
  <si>
    <t>REPISAS M. DESPENSA</t>
  </si>
  <si>
    <t>MELAMINA BLANCA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</si>
</sst>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21</xdr:row>
      <xdr:rowOff>222558</xdr:rowOff>
    </xdr:from>
    <xdr:to>
      <xdr:col>5</xdr:col>
      <xdr:colOff>1659644</xdr:colOff>
      <xdr:row>25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ADICIONALES SOLICITADO POR LA ARRENDATARIA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41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168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169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9" t="s">
        <v>167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 t="e">
        <f>N37</f>
        <v>#DIV/0!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3</v>
      </c>
      <c r="C21" s="326" t="s">
        <v>173</v>
      </c>
      <c r="D21" s="327"/>
      <c r="E21" s="327"/>
      <c r="F21" s="326" t="s">
        <v>174</v>
      </c>
      <c r="G21" s="328">
        <v>3200</v>
      </c>
      <c r="H21" s="328">
        <f t="shared" ref="H21" si="1">G21*B21</f>
        <v>9600</v>
      </c>
      <c r="I21" s="265"/>
      <c r="J21" s="47"/>
      <c r="K21" s="324">
        <f t="shared" ref="K21" si="2">B21</f>
        <v>3</v>
      </c>
      <c r="L21" s="325">
        <f t="shared" ref="L21" si="3">D21+L$19</f>
        <v>0.08</v>
      </c>
      <c r="M21" s="325">
        <f t="shared" ref="M21" si="4">E21+M$19</f>
        <v>0</v>
      </c>
      <c r="N21" s="261">
        <f t="shared" ref="N21" si="5">L21*M21</f>
        <v>0</v>
      </c>
      <c r="O21" s="259">
        <f t="shared" ref="O21" si="6">N21*K21</f>
        <v>0</v>
      </c>
      <c r="P21" s="252" t="e">
        <f>P$20*N21</f>
        <v>#DIV/0!</v>
      </c>
      <c r="Q21" s="258" t="e">
        <f t="shared" ref="Q21" si="7">P21+Q$20</f>
        <v>#DIV/0!</v>
      </c>
      <c r="R21" s="308">
        <f>L21*K21</f>
        <v>0.24</v>
      </c>
      <c r="S21" s="46">
        <f>M21*K21*2</f>
        <v>0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9" t="s">
        <v>29</v>
      </c>
      <c r="H23" s="310">
        <f>SUM(H21:H22)</f>
        <v>9600</v>
      </c>
      <c r="I23" s="265"/>
      <c r="J23" s="47"/>
      <c r="K23" s="47"/>
      <c r="L23" s="39">
        <f>SUM(L21:L22)</f>
        <v>0.08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52</v>
      </c>
      <c r="H24" s="304"/>
      <c r="I24" s="265"/>
      <c r="J24" s="47"/>
      <c r="K24" s="47"/>
      <c r="L24" s="39"/>
      <c r="M24" s="12"/>
      <c r="N24" s="12"/>
      <c r="O24" s="253">
        <f>SUM(O21:O21)</f>
        <v>0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9600</v>
      </c>
      <c r="I25" s="265"/>
      <c r="J25" s="47"/>
      <c r="K25" s="47"/>
      <c r="L25" s="39"/>
      <c r="M25" s="12"/>
      <c r="N25" s="12"/>
      <c r="O25" s="253">
        <f>O24</f>
        <v>0</v>
      </c>
      <c r="P25" s="14"/>
      <c r="Q25" s="12"/>
      <c r="R25" s="239">
        <f>SUM(R21:R24)</f>
        <v>0.24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0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5" t="s">
        <v>22</v>
      </c>
      <c r="U28" s="312" t="s">
        <v>153</v>
      </c>
      <c r="V28" s="316">
        <v>44971</v>
      </c>
      <c r="W28" s="317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0</v>
      </c>
      <c r="M29" s="12">
        <v>3500</v>
      </c>
      <c r="N29" s="12">
        <f t="shared" ref="N29:N34" si="8">L29*M29</f>
        <v>0</v>
      </c>
      <c r="O29" s="14" t="s">
        <v>22</v>
      </c>
      <c r="P29" s="14"/>
      <c r="Q29" s="14"/>
      <c r="R29" s="241"/>
      <c r="S29" s="14"/>
      <c r="T29" s="315" t="s">
        <v>154</v>
      </c>
      <c r="U29" s="312">
        <v>3625</v>
      </c>
      <c r="V29" s="59" t="s">
        <v>155</v>
      </c>
      <c r="W29" s="317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1</v>
      </c>
      <c r="M30" s="12">
        <v>25000</v>
      </c>
      <c r="N30" s="12">
        <f t="shared" si="8"/>
        <v>25000</v>
      </c>
      <c r="O30" s="39" t="s">
        <v>32</v>
      </c>
      <c r="P30" s="42"/>
      <c r="Q30" s="14"/>
      <c r="R30" s="240"/>
      <c r="S30" s="14"/>
      <c r="T30" s="315"/>
      <c r="U30" s="59">
        <v>906.25</v>
      </c>
      <c r="V30" s="59" t="s">
        <v>156</v>
      </c>
      <c r="W30" s="317"/>
    </row>
    <row r="31" spans="2:24" s="230" customFormat="1" ht="17.399999999999999" x14ac:dyDescent="0.35">
      <c r="I31" s="262"/>
      <c r="J31" s="232"/>
      <c r="K31" s="250"/>
      <c r="L31" s="14">
        <v>1</v>
      </c>
      <c r="M31" s="250">
        <v>60000</v>
      </c>
      <c r="N31" s="12">
        <f t="shared" si="8"/>
        <v>60000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7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/>
      <c r="M32" s="250">
        <v>22000</v>
      </c>
      <c r="N32" s="12">
        <f t="shared" si="8"/>
        <v>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7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8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3"/>
      <c r="K34" s="250"/>
      <c r="L34" s="266">
        <v>3.34</v>
      </c>
      <c r="M34" s="12">
        <v>1500</v>
      </c>
      <c r="N34" s="12">
        <f t="shared" si="8"/>
        <v>5010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90010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198022.00000000003</v>
      </c>
      <c r="O36" s="14" t="s">
        <v>141</v>
      </c>
      <c r="P36" s="14"/>
      <c r="Q36" s="40">
        <f>O27/Q35</f>
        <v>0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42960</v>
      </c>
      <c r="K37" s="250"/>
      <c r="L37" s="14"/>
      <c r="M37" s="12"/>
      <c r="N37" s="12" t="e">
        <f>N36/O25</f>
        <v>#DIV/0!</v>
      </c>
      <c r="O37" s="45" t="s">
        <v>25</v>
      </c>
      <c r="P37" s="14"/>
      <c r="Q37" s="14"/>
      <c r="R37"/>
      <c r="S37" s="238"/>
      <c r="T37" s="59" t="s">
        <v>159</v>
      </c>
      <c r="U37" s="312">
        <v>43650</v>
      </c>
    </row>
    <row r="38" spans="2:23" s="230" customFormat="1" ht="17.399999999999999" x14ac:dyDescent="0.35">
      <c r="G38"/>
      <c r="J38" s="230">
        <f>J37/1.19</f>
        <v>36100.840336134454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13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MARIA VIRGINIA GALLEGUILLOS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11310A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29979.374966545889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9600</v>
      </c>
      <c r="E11" s="132">
        <f>D11*0.19</f>
        <v>1824</v>
      </c>
      <c r="F11" s="131">
        <f>E11+D11</f>
        <v>11424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135969.3749665459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114834.09078743961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117969.37496654589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-105234.09078743961</v>
      </c>
      <c r="E13" s="221">
        <f>(D11/D12)-1</f>
        <v>-0.91640113197944151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108969.37496654589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69969.374966545889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189476.24979927533</v>
      </c>
      <c r="F15" s="216">
        <f>E15-D12</f>
        <v>74642.159011835727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69969.374966545889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109969.37496654589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60000</v>
      </c>
      <c r="E18" s="123">
        <f>D18*0.19</f>
        <v>11400</v>
      </c>
      <c r="F18" s="120">
        <f>SUM(D18:E18)</f>
        <v>71400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85000</v>
      </c>
      <c r="E21" s="116">
        <f>SUM(E18:E20)</f>
        <v>16150</v>
      </c>
      <c r="F21" s="115">
        <f>SUM(F18:F20)</f>
        <v>101150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-14326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9600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85000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-105234.09078743961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-105234.09078743961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2025-03-24T19:27:08Z</dcterms:modified>
</cp:coreProperties>
</file>