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F92446C2-C7EC-48EB-91CD-1E393DE00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H21" i="1"/>
  <c r="K21" i="1"/>
  <c r="J39" i="1" l="1"/>
  <c r="L21" i="1"/>
  <c r="R21" i="1" s="1"/>
  <c r="M21" i="1"/>
  <c r="L24" i="1" l="1"/>
  <c r="S21" i="1"/>
  <c r="N21" i="1"/>
  <c r="O21" i="1" s="1"/>
  <c r="O25" i="1" s="1"/>
  <c r="U32" i="1"/>
  <c r="U33" i="1" s="1"/>
  <c r="R26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H24" i="1" s="1"/>
  <c r="H25" i="1" s="1"/>
  <c r="F15" i="3"/>
  <c r="Q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<sst xmlns="http://schemas.openxmlformats.org/spreadsheetml/2006/main" count="233" uniqueCount="178">
  <si>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</si>
  <si>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</si>
  <si>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</si>
  <si>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</si>
  <si>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</si>
  <si>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</si>
  <si>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</si>
  <si>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</si>
  <si>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</si>
  <si>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</si>
  <si>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</si>
  <si>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</si>
  <si>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</si>
  <si>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</si>
  <si>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</si>
  <si>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</si>
  <si>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</si>
  <si>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</si>
  <si>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</si>
  <si>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</si>
  <si>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</si>
  <si>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</si>
  <si>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</si>
  <si>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</si>
  <si>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</si>
  <si>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</si>
  <si>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</si>
  <si>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</si>
  <si>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</si>
  <si>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</si>
  <si>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</si>
  <si>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</si>
  <si>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</si>
  <si>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</si>
  <si>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</si>
  <si>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</si>
  <si>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</si>
  <si>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</si>
  <si>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</si>
  <si>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</si>
  <si>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</si>
  <si>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</si>
  <si>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</si>
  <si>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</si>
  <si>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</si>
  <si>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</si>
  <si>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</si>
  <si>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</si>
  <si>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</si>
  <si>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</si>
  <si>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</si>
  <si>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</si>
  <si>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</si>
  <si>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</si>
  <si>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</si>
  <si>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</si>
  <si>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</si>
  <si>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</si>
  <si>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</si>
  <si>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</si>
  <si>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</si>
  <si>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</si>
  <si>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</si>
  <si>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</si>
  <si>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</si>
  <si>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</si>
  <si>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</si>
  <si>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</si>
  <si>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</si>
  <si>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</si>
  <si>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</si>
  <si>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</si>
  <si>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</si>
  <si>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</si>
  <si>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</si>
  <si>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</si>
  <si>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</si>
  <si>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</si>
  <si>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</si>
  <si>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</si>
  <si>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</si>
  <si>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</si>
  <si>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</si>
  <si>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</si>
  <si>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</si>
  <si>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</si>
  <si>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</si>
  <si>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</si>
  <si>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</si>
  <si>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</si>
  <si>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</si>
  <si>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</si>
  <si>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</si>
  <si>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</si>
  <si>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</si>
  <si>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</si>
  <si>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</si>
  <si>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</si>
  <si>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</si>
  <si>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</si>
  <si>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</si>
  <si>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</si>
  <si>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</si>
  <si>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</si>
  <si>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</si>
  <si>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</si>
  <si>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</si>
  <si>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</si>
  <si>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</si>
  <si>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</si>
  <si>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</si>
  <si>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</si>
  <si>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</si>
  <si>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</si>
  <si>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</si>
  <si>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</si>
  <si>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</si>
  <si>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</si>
  <si>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</si>
  <si>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</si>
  <si>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</si>
  <si>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</si>
  <si>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</si>
  <si>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</si>
  <si>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</si>
  <si>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</si>
  <si>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</si>
  <si>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</si>
  <si>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</si>
  <si>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</si>
  <si>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</si>
  <si>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</si>
  <si>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</si>
  <si>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</si>
  <si>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</si>
  <si>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</si>
  <si>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</si>
  <si>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</si>
  <si>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</si>
  <si>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</si>
  <si>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</si>
  <si>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</si>
  <si>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</si>
  <si>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</si>
  <si>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</si>
  <si>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</si>
  <si>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</si>
  <si>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</si>
  <si>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</si>
  <si>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</si>
  <si>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</si>
  <si>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</si>
  <si>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</si>
  <si>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</si>
  <si>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</si>
  <si>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</si>
  <si>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</si>
  <si>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</si>
  <si>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</si>
  <si>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</si>
  <si>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</si>
  <si>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</si>
  <si>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</si>
  <si>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</si>
  <si>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</si>
  <si>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</si>
  <si>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</si>
  <si>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</si>
  <si>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N° 11396</t>
  </si>
  <si>
    <t>ALONSO EPINOZA</t>
  </si>
  <si>
    <t>12.687.268-0</t>
  </si>
  <si>
    <t>DISEÑO</t>
  </si>
  <si>
    <t>569 8211 6844</t>
  </si>
  <si>
    <t>SEPTIMA AVENIDA 1611 SNA MIGUEL</t>
  </si>
  <si>
    <t>CUB MESA F/E 2 LADOS R2</t>
  </si>
  <si>
    <t>COBRE 5MM</t>
  </si>
  <si>
    <t>2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</si>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</sst>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CLIENTE APORTA LAMINA DE COBRE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30MM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G14" sqref="G14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8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45761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 t="s">
        <v>170</v>
      </c>
      <c r="F11" t="s">
        <v>124</v>
      </c>
      <c r="G11" s="289" t="s">
        <v>176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 t="s">
        <v>171</v>
      </c>
      <c r="D12" s="247"/>
      <c r="E12" s="247"/>
      <c r="F12" s="247" t="s">
        <v>128</v>
      </c>
      <c r="G12" s="278" t="s">
        <v>177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177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172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 t="s">
        <v>173</v>
      </c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4" t="s">
        <v>167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93297.75312066573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31">
        <v>1</v>
      </c>
      <c r="C21" s="332" t="s">
        <v>174</v>
      </c>
      <c r="D21" s="333">
        <v>1.98</v>
      </c>
      <c r="E21" s="333">
        <v>0.57999999999999996</v>
      </c>
      <c r="F21" s="332" t="s">
        <v>175</v>
      </c>
      <c r="G21" s="322">
        <v>121082</v>
      </c>
      <c r="H21" s="323">
        <f t="shared" ref="H21" si="1">G21*B21</f>
        <v>121082</v>
      </c>
      <c r="I21" s="265"/>
      <c r="J21" s="47"/>
      <c r="K21" s="326">
        <f t="shared" ref="K21" si="2">B21</f>
        <v>1</v>
      </c>
      <c r="L21" s="327">
        <f t="shared" ref="L21" si="3">D21+L$19</f>
        <v>2.06</v>
      </c>
      <c r="M21" s="327">
        <f t="shared" ref="M21" si="4">E21+M$19</f>
        <v>0.63</v>
      </c>
      <c r="N21" s="261">
        <f t="shared" ref="N21" si="5">L21*M21</f>
        <v>1.2978000000000001</v>
      </c>
      <c r="O21" s="259">
        <f t="shared" ref="O21" si="6">N21*K21</f>
        <v>1.2978000000000001</v>
      </c>
      <c r="P21" s="252">
        <f>P$20*N21</f>
        <v>121081.82399999999</v>
      </c>
      <c r="Q21" s="258">
        <f t="shared" ref="Q21" si="7">P21+Q$20</f>
        <v>124081.82399999999</v>
      </c>
      <c r="R21" s="308">
        <f>L21*K21</f>
        <v>2.06</v>
      </c>
      <c r="S21" s="46">
        <f>M21*K21*2</f>
        <v>1.26</v>
      </c>
      <c r="T21" s="9"/>
      <c r="W21" s="4"/>
    </row>
    <row r="22" spans="2:24" ht="17.399999999999999" x14ac:dyDescent="0.3">
      <c r="B22" s="329"/>
      <c r="C22" s="330"/>
      <c r="D22" s="329"/>
      <c r="E22" s="329"/>
      <c r="F22" s="329"/>
      <c r="G22" s="329"/>
      <c r="H22" s="329"/>
      <c r="I22" s="265"/>
      <c r="J22" s="47"/>
      <c r="K22" s="326"/>
      <c r="L22" s="327"/>
      <c r="M22" s="327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121082</v>
      </c>
      <c r="I24" s="265"/>
      <c r="J24" s="47"/>
      <c r="K24" s="47"/>
      <c r="L24" s="39">
        <f>SUM(L21:L23)</f>
        <v>2.06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H24*19%</f>
        <v>23005.58</v>
      </c>
      <c r="I25" s="265"/>
      <c r="J25" s="47"/>
      <c r="K25" s="47"/>
      <c r="L25" s="39"/>
      <c r="M25" s="12"/>
      <c r="N25" s="12"/>
      <c r="O25" s="253">
        <f>SUM(O21:O21)</f>
        <v>1.2978000000000001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144087.58000000002</v>
      </c>
      <c r="I26" s="265"/>
      <c r="J26" s="47"/>
      <c r="K26" s="47"/>
      <c r="L26" s="39"/>
      <c r="M26" s="12"/>
      <c r="N26" s="12"/>
      <c r="O26" s="253">
        <f>O25</f>
        <v>1.2978000000000001</v>
      </c>
      <c r="P26" s="14"/>
      <c r="Q26" s="12"/>
      <c r="R26" s="239">
        <f>SUM(R21:R25)</f>
        <v>2.06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0.25956000000000001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1.5573600000000001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1.5573600000000001</v>
      </c>
      <c r="M30" s="12">
        <v>3500</v>
      </c>
      <c r="N30" s="12">
        <f t="shared" ref="N30:N35" si="8">L30*M30</f>
        <v>5450.76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</v>
      </c>
      <c r="M31" s="12">
        <v>45000</v>
      </c>
      <c r="N31" s="12">
        <f t="shared" si="8"/>
        <v>45000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77058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/>
      <c r="M33" s="250">
        <v>51185</v>
      </c>
      <c r="N33" s="12">
        <f t="shared" si="8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K35" s="250"/>
      <c r="L35" s="266"/>
      <c r="M35" s="12">
        <v>1500</v>
      </c>
      <c r="N35" s="12">
        <f t="shared" si="8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50450.76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N36*2.4</f>
        <v>121081.82399999999</v>
      </c>
      <c r="O37" s="14" t="s">
        <v>141</v>
      </c>
      <c r="P37" s="14"/>
      <c r="Q37" s="40">
        <f>O28/Q36</f>
        <v>0.41990940465918897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60910</v>
      </c>
      <c r="K38" s="250"/>
      <c r="L38" s="14"/>
      <c r="M38" s="12"/>
      <c r="N38" s="12">
        <f>N37/O26</f>
        <v>93297.75312066573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51184.873949579836</v>
      </c>
      <c r="K39" s="250"/>
      <c r="L39" s="13"/>
      <c r="M39" s="14"/>
      <c r="N39" s="17">
        <f>N37/N36</f>
        <v>2.4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45761</v>
      </c>
    </row>
    <row r="6" spans="2:31" ht="16.2" thickBot="1" x14ac:dyDescent="0.35">
      <c r="B6" s="140" t="s">
        <v>2</v>
      </c>
      <c r="C6" s="139" t="str">
        <f>'2229'!C10</f>
        <v>ALONSO EPINOZA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11396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1898.0006332125583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121082</v>
      </c>
      <c r="E11" s="132">
        <f>D11*0.19</f>
        <v>23005.58</v>
      </c>
      <c r="F11" s="131">
        <f>E11+D11</f>
        <v>144087.58000000002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107888.00063321256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80284.850787439616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89888.000633212563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40797.149212560384</v>
      </c>
      <c r="E13" s="221">
        <f>(D11/D12)-1</f>
        <v>0.50815501072019198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80888.000633212563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41888.000633212556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132470.00379927535</v>
      </c>
      <c r="F15" s="216">
        <f>E15-D12</f>
        <v>52185.153011835733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41888.000633212556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81888.000633212563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5450.76</v>
      </c>
      <c r="E20" s="121">
        <f>D20*0.19</f>
        <v>1035.6444000000001</v>
      </c>
      <c r="F20" s="120">
        <f>SUM(D20:E20)</f>
        <v>6486.4044000000004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50450.76</v>
      </c>
      <c r="E21" s="116">
        <f>SUM(E18:E20)</f>
        <v>9585.644400000001</v>
      </c>
      <c r="F21" s="115">
        <f>SUM(F18:F20)</f>
        <v>60036.404399999999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13419.935600000001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121082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50450.76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40797.149212560384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40797.149212560384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2025-04-14T16:38:21Z</dcterms:modified>
</cp:coreProperties>
</file>