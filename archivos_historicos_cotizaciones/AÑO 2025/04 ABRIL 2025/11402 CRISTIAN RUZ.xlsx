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B67BD02D-3A65-4801-9F85-CE4B7ADD98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3" i="1"/>
  <c r="L21" i="1" l="1"/>
  <c r="N21" i="1"/>
  <c r="M21" i="1" l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<sst xmlns="http://schemas.openxmlformats.org/spreadsheetml/2006/main" count="229" uniqueCount="174">
  <si>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</si>
  <si>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</si>
  <si>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</si>
  <si>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</si>
  <si>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</si>
  <si>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</si>
  <si>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</si>
  <si>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</si>
  <si>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</si>
  <si>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</si>
  <si>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</si>
  <si>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</si>
  <si>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</si>
  <si>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</si>
  <si>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</si>
  <si>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</si>
  <si>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</si>
  <si>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</si>
  <si>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</si>
  <si>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</si>
  <si>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</si>
  <si>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</si>
  <si>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</si>
  <si>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</si>
  <si>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</si>
  <si>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</si>
  <si>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</si>
  <si>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</si>
  <si>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</si>
  <si>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</si>
  <si>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</si>
  <si>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</si>
  <si>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</si>
  <si>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</si>
  <si>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</si>
  <si>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</si>
  <si>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</si>
  <si>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</si>
  <si>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</si>
  <si>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</si>
  <si>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</si>
  <si>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</si>
  <si>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</si>
  <si>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</si>
  <si>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</si>
  <si>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</si>
  <si>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</si>
  <si>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</si>
  <si>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</si>
  <si>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</si>
  <si>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</si>
  <si>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</si>
  <si>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</si>
  <si>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</si>
  <si>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</si>
  <si>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</si>
  <si>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</si>
  <si>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</si>
  <si>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</si>
  <si>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</si>
  <si>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</si>
  <si>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</si>
  <si>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</si>
  <si>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</si>
  <si>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</si>
  <si>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</si>
  <si>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</si>
  <si>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</si>
  <si>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</si>
  <si>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</si>
  <si>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</si>
  <si>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</si>
  <si>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</si>
  <si>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</si>
  <si>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</si>
  <si>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</si>
  <si>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</si>
  <si>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</si>
  <si>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</si>
  <si>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</si>
  <si>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</si>
  <si>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</si>
  <si>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</si>
  <si>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</si>
  <si>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</si>
  <si>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</si>
  <si>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</si>
  <si>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</si>
  <si>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</si>
  <si>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</si>
  <si>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</si>
  <si>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</si>
  <si>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</si>
  <si>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</si>
  <si>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</si>
  <si>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</si>
  <si>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</si>
  <si>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</si>
  <si>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</si>
  <si>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</si>
  <si>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</si>
  <si>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</si>
  <si>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</si>
  <si>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</si>
  <si>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</si>
  <si>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</si>
  <si>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</si>
  <si>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</si>
  <si>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</si>
  <si>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</si>
  <si>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</si>
  <si>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</si>
  <si>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</si>
  <si>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</si>
  <si>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</si>
  <si>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</si>
  <si>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</si>
  <si>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</si>
  <si>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</si>
  <si>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</si>
  <si>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</si>
  <si>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</si>
  <si>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</si>
  <si>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</si>
  <si>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</si>
  <si>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</si>
  <si>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</si>
  <si>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</si>
  <si>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</si>
  <si>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</si>
  <si>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</si>
  <si>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</si>
  <si>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</si>
  <si>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</si>
  <si>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</si>
  <si>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</si>
  <si>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</si>
  <si>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</si>
  <si>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</si>
  <si>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</si>
  <si>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</si>
  <si>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</si>
  <si>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</si>
  <si>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</si>
  <si>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</si>
  <si>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</si>
  <si>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</si>
  <si>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</si>
  <si>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</si>
  <si>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</si>
  <si>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</si>
  <si>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</si>
  <si>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</si>
  <si>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</si>
  <si>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</si>
  <si>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</si>
  <si>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</si>
  <si>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</si>
  <si>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</si>
  <si>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</si>
  <si>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</si>
  <si>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</si>
  <si>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</si>
  <si>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</si>
  <si>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</si>
  <si>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</si>
  <si>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CUB CON RESPALDO Y FRENTE 90°</t>
  </si>
  <si>
    <t>CRISTIAN RUZ</t>
  </si>
  <si>
    <t>56987729408</t>
  </si>
  <si>
    <t xml:space="preserve">CORTE Y ENCHAPE </t>
  </si>
  <si>
    <t>DESFONDADO</t>
  </si>
  <si>
    <t>FORD GRANITE 42008 BR</t>
  </si>
  <si>
    <t>N° 11402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</si>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</sst>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 CUBIERTAS</a:t>
          </a:r>
          <a:r>
            <a:rPr lang="es-CL" sz="1200" b="1" baseline="0"/>
            <a:t> SE ENTREGA ENCHAPADA EN SUS CANTOS A LA MEDIDA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UNION DE LAMINADO LADO IZQUIERDO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32.664062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167</v>
      </c>
      <c r="D10" s="243"/>
      <c r="E10" s="243"/>
      <c r="F10" s="244" t="s">
        <v>0</v>
      </c>
      <c r="G10" s="276">
        <v>45768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>
        <v>45771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173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168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1:25" ht="15" thickBot="1" x14ac:dyDescent="0.35">
      <c r="B17" s="311" t="s">
        <v>13</v>
      </c>
      <c r="C17" s="312" t="s">
        <v>164</v>
      </c>
      <c r="D17" s="313"/>
      <c r="E17" s="119"/>
      <c r="F17" s="333" t="s">
        <v>163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 t="shared" ref="N20" si="0">E20</f>
        <v>ANCHO</v>
      </c>
      <c r="O20" s="261" t="s">
        <v>131</v>
      </c>
      <c r="P20" s="259" t="s">
        <v>16</v>
      </c>
      <c r="Q20" s="252">
        <f>O39</f>
        <v>57148.173374613012</v>
      </c>
      <c r="R20" s="258">
        <v>3000</v>
      </c>
      <c r="S20" s="38"/>
      <c r="T20" s="14" t="s">
        <v>127</v>
      </c>
      <c r="U20" s="9"/>
      <c r="X20" s="4"/>
    </row>
    <row r="21" spans="1:25" ht="17.399999999999999" x14ac:dyDescent="0.3">
      <c r="B21" s="330">
        <v>1</v>
      </c>
      <c r="C21" s="330" t="s">
        <v>166</v>
      </c>
      <c r="D21" s="331">
        <v>3.32</v>
      </c>
      <c r="E21" s="331">
        <v>0.56999999999999995</v>
      </c>
      <c r="F21" s="330" t="s">
        <v>171</v>
      </c>
      <c r="G21" s="332">
        <v>110000</v>
      </c>
      <c r="H21" s="332">
        <f>G21*B21</f>
        <v>110000</v>
      </c>
      <c r="I21" s="320"/>
      <c r="J21" s="265">
        <v>210000</v>
      </c>
      <c r="K21" s="47"/>
      <c r="L21" s="47">
        <f>B21</f>
        <v>1</v>
      </c>
      <c r="M21" s="39">
        <f>D21+M$19</f>
        <v>3.4</v>
      </c>
      <c r="N21" s="39">
        <f>E21+$N$19</f>
        <v>0.56999999999999995</v>
      </c>
      <c r="O21" s="261">
        <f t="shared" ref="O21" si="1">M21*N21</f>
        <v>1.9379999999999997</v>
      </c>
      <c r="P21" s="259">
        <f t="shared" ref="P21" si="2">O21*L21</f>
        <v>1.9379999999999997</v>
      </c>
      <c r="Q21" s="252">
        <f t="shared" ref="Q21" si="3">Q$20*O21</f>
        <v>110753.16</v>
      </c>
      <c r="R21" s="319">
        <f t="shared" ref="R21" si="4">Q21+R$20</f>
        <v>113753.16</v>
      </c>
      <c r="S21" s="297">
        <f>M21*L21</f>
        <v>3.4</v>
      </c>
      <c r="T21" s="46">
        <f>N21*2*L21*2</f>
        <v>2.2799999999999998</v>
      </c>
      <c r="U21" s="9"/>
      <c r="X21" s="4"/>
    </row>
    <row r="22" spans="1:25" ht="17.399999999999999" x14ac:dyDescent="0.3">
      <c r="B22" s="330">
        <v>1</v>
      </c>
      <c r="C22" s="330" t="s">
        <v>169</v>
      </c>
      <c r="D22" s="331"/>
      <c r="E22" s="331"/>
      <c r="F22" s="330"/>
      <c r="G22" s="332">
        <v>7500</v>
      </c>
      <c r="H22" s="332">
        <f t="shared" ref="H22:H23" si="5">G22*B22</f>
        <v>7500</v>
      </c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330">
        <v>1</v>
      </c>
      <c r="C23" s="330" t="s">
        <v>170</v>
      </c>
      <c r="D23" s="331"/>
      <c r="E23" s="331"/>
      <c r="F23" s="330"/>
      <c r="G23" s="332">
        <v>20000</v>
      </c>
      <c r="H23" s="332">
        <f t="shared" si="5"/>
        <v>20000</v>
      </c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27</v>
      </c>
      <c r="H25" s="325">
        <f>SUM(H21:H24)</f>
        <v>137500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2.2799999999999998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50</v>
      </c>
      <c r="H26" s="294"/>
      <c r="I26" s="322"/>
      <c r="J26" s="265"/>
      <c r="K26" s="47"/>
      <c r="L26" s="47"/>
      <c r="M26" s="39">
        <f>SUM(M21:M21)</f>
        <v>3.4</v>
      </c>
      <c r="N26" s="12"/>
      <c r="O26" s="12"/>
      <c r="P26" s="253">
        <f>SUM(P21:P24)</f>
        <v>1.9379999999999997</v>
      </c>
      <c r="Q26" s="14"/>
      <c r="R26" s="12"/>
      <c r="S26" s="239">
        <f>SUM(S21:S25)</f>
        <v>3.4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137500</v>
      </c>
      <c r="I27" s="322"/>
      <c r="J27" s="265"/>
      <c r="K27" s="47"/>
      <c r="L27" s="47"/>
      <c r="M27" s="39"/>
      <c r="N27" s="12"/>
      <c r="O27" s="12"/>
      <c r="P27" s="253">
        <f>P26</f>
        <v>1.9379999999999997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0.38759999999999994</v>
      </c>
      <c r="Q28" s="39" t="s">
        <v>129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2.3255999999999997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150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2.3255999999999997</v>
      </c>
      <c r="N31" s="12">
        <v>3500</v>
      </c>
      <c r="O31" s="12">
        <f t="shared" ref="O31:O36" si="6">M31*N31</f>
        <v>8139.5999999999985</v>
      </c>
      <c r="P31" s="14" t="s">
        <v>21</v>
      </c>
      <c r="Q31" s="14"/>
      <c r="R31" s="14"/>
      <c r="S31" s="241"/>
      <c r="T31" s="14"/>
      <c r="U31" s="302" t="s">
        <v>151</v>
      </c>
      <c r="V31" s="299">
        <v>3625</v>
      </c>
      <c r="W31" s="59" t="s">
        <v>152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0.7</v>
      </c>
      <c r="N32" s="12">
        <v>25000</v>
      </c>
      <c r="O32" s="12">
        <f t="shared" si="6"/>
        <v>17500</v>
      </c>
      <c r="P32" s="39" t="s">
        <v>30</v>
      </c>
      <c r="Q32" s="42"/>
      <c r="R32" s="14"/>
      <c r="S32" s="240"/>
      <c r="T32" s="14"/>
      <c r="U32" s="302"/>
      <c r="V32" s="59">
        <v>906.25</v>
      </c>
      <c r="W32" s="59" t="s">
        <v>153</v>
      </c>
      <c r="X32" s="304"/>
    </row>
    <row r="33" spans="2:24" s="230" customFormat="1" ht="17.399999999999999" x14ac:dyDescent="0.35">
      <c r="B33" s="24" t="s">
        <v>149</v>
      </c>
      <c r="J33" s="262"/>
      <c r="K33" s="232"/>
      <c r="L33" s="250"/>
      <c r="M33" s="14"/>
      <c r="N33" s="250">
        <v>69000</v>
      </c>
      <c r="O33" s="12">
        <f t="shared" si="6"/>
        <v>0</v>
      </c>
      <c r="P33" s="39" t="s">
        <v>29</v>
      </c>
      <c r="Q33" s="42"/>
      <c r="S33" s="240"/>
      <c r="T33" s="256"/>
      <c r="U33" s="59"/>
      <c r="V33" s="59">
        <f>V32*20%</f>
        <v>181.25</v>
      </c>
      <c r="W33" s="304" t="s">
        <v>154</v>
      </c>
      <c r="X33" s="59"/>
    </row>
    <row r="34" spans="2:24" s="230" customFormat="1" ht="17.399999999999999" x14ac:dyDescent="0.35">
      <c r="B34" s="24" t="s">
        <v>165</v>
      </c>
      <c r="C34"/>
      <c r="D34"/>
      <c r="E34"/>
      <c r="F34"/>
      <c r="J34" s="262"/>
      <c r="K34" s="232"/>
      <c r="L34" s="250"/>
      <c r="M34" s="14">
        <v>1</v>
      </c>
      <c r="N34" s="250">
        <v>22000</v>
      </c>
      <c r="O34" s="12">
        <f t="shared" si="6"/>
        <v>22000</v>
      </c>
      <c r="P34" s="14" t="s">
        <v>140</v>
      </c>
      <c r="Q34" s="17"/>
      <c r="S34" s="238"/>
      <c r="T34" s="256"/>
      <c r="U34" s="59"/>
      <c r="V34" s="59">
        <f>V32+V33</f>
        <v>1087.5</v>
      </c>
      <c r="W34" s="304" t="s">
        <v>155</v>
      </c>
      <c r="X34" s="59"/>
    </row>
    <row r="35" spans="2:24" s="230" customFormat="1" ht="17.399999999999999" x14ac:dyDescent="0.35">
      <c r="B35" s="29" t="s">
        <v>124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6"/>
        <v>0</v>
      </c>
      <c r="P35" s="14" t="s">
        <v>31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>
        <v>3.4</v>
      </c>
      <c r="N36" s="12">
        <v>1500</v>
      </c>
      <c r="O36" s="12">
        <f t="shared" si="6"/>
        <v>5100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52739.6</v>
      </c>
      <c r="P37" s="39">
        <v>0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32</v>
      </c>
      <c r="N38" s="12"/>
      <c r="O38" s="255">
        <f>O37*2.1</f>
        <v>110753.16</v>
      </c>
      <c r="P38" s="14" t="s">
        <v>139</v>
      </c>
      <c r="Q38" s="14"/>
      <c r="R38" s="40">
        <f>P29/R37</f>
        <v>0.62704918032786872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31030</v>
      </c>
      <c r="L39" s="250"/>
      <c r="M39" s="14"/>
      <c r="N39" s="12"/>
      <c r="O39" s="12">
        <f>O38/P27</f>
        <v>57148.173374613012</v>
      </c>
      <c r="P39" s="45" t="s">
        <v>23</v>
      </c>
      <c r="Q39" s="14"/>
      <c r="R39" s="14"/>
      <c r="S39"/>
      <c r="T39" s="238"/>
      <c r="U39" s="59" t="s">
        <v>156</v>
      </c>
      <c r="V39" s="299">
        <v>43650</v>
      </c>
    </row>
    <row r="40" spans="2:24" s="230" customFormat="1" ht="17.399999999999999" x14ac:dyDescent="0.35">
      <c r="G40"/>
      <c r="K40" s="230">
        <f>K39/1.19</f>
        <v>26075.63025210084</v>
      </c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158</v>
      </c>
      <c r="V40" s="300" t="s">
        <v>157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159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154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25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146</v>
      </c>
    </row>
    <row r="75" spans="3:15" x14ac:dyDescent="0.3">
      <c r="C75" t="s">
        <v>145</v>
      </c>
    </row>
    <row r="78" spans="3:15" x14ac:dyDescent="0.3">
      <c r="C78" t="s">
        <v>145</v>
      </c>
    </row>
    <row r="155" spans="3:3" x14ac:dyDescent="0.3">
      <c r="C155" t="s">
        <v>145</v>
      </c>
    </row>
    <row r="156" spans="3:3" x14ac:dyDescent="0.3">
      <c r="C156" t="s">
        <v>147</v>
      </c>
    </row>
    <row r="157" spans="3:3" x14ac:dyDescent="0.3">
      <c r="C157" t="s">
        <v>148</v>
      </c>
    </row>
    <row r="582" spans="3:3" x14ac:dyDescent="0.3">
      <c r="C582" t="s">
        <v>145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45768</v>
      </c>
    </row>
    <row r="6" spans="2:31" ht="16.2" thickBot="1" x14ac:dyDescent="0.35">
      <c r="B6" s="140" t="s">
        <v>2</v>
      </c>
      <c r="C6" s="139" t="str">
        <f>'2229'!C10</f>
        <v>CRISTIAN RUZ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11402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-7661.4017001207731</v>
      </c>
    </row>
    <row r="10" spans="2:31" ht="16.2" thickBot="1" x14ac:dyDescent="0.35">
      <c r="D10" s="218" t="s">
        <v>27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'2229'!H25</f>
        <v>137500</v>
      </c>
      <c r="E11" s="132">
        <f>D11*0.19</f>
        <v>26125</v>
      </c>
      <c r="F11" s="131">
        <f>E11+D11</f>
        <v>163625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98328.598299879231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55473.690787439613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80328.598299879231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82026.309212560387</v>
      </c>
      <c r="E13" s="221">
        <f>(D11/D12)-1</f>
        <v>1.4786524575562012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71328.598299879231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27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32328.598299879228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91531.58979927536</v>
      </c>
      <c r="F15" s="216">
        <f>E15-D12</f>
        <v>36057.899011835747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32328.598299879228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72328.598299879231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27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27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8139.5999999999985</v>
      </c>
      <c r="E20" s="121">
        <f>D20*0.19</f>
        <v>1546.5239999999997</v>
      </c>
      <c r="F20" s="120">
        <f>SUM(D20:E20)</f>
        <v>9686.123999999998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28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25639.599999999999</v>
      </c>
      <c r="E21" s="116">
        <f>SUM(E18:E20)</f>
        <v>4871.5239999999994</v>
      </c>
      <c r="F21" s="115">
        <f>SUM(F18:F20)</f>
        <v>30511.123999999996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24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26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21253.476000000002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137500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25639.599999999999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82026.309212560387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82026.309212560387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2025-04-21T16:46:31Z</dcterms:modified>
</cp:coreProperties>
</file>