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93204A8B-9A38-439B-A44F-56EB398C5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M25" i="1"/>
  <c r="N25" i="1"/>
  <c r="M26" i="1"/>
  <c r="N26" i="1"/>
  <c r="H22" i="1"/>
  <c r="H23" i="1"/>
  <c r="M22" i="1"/>
  <c r="N22" i="1"/>
  <c r="O22" i="1" s="1"/>
  <c r="P22" i="1" s="1"/>
  <c r="M23" i="1"/>
  <c r="N23" i="1"/>
  <c r="M24" i="1"/>
  <c r="N24" i="1"/>
  <c r="O25" i="1" l="1"/>
  <c r="P25" i="1" s="1"/>
  <c r="O24" i="1"/>
  <c r="P24" i="1" s="1"/>
  <c r="O23" i="1"/>
  <c r="P23" i="1" s="1"/>
  <c r="O26" i="1"/>
  <c r="P26" i="1" s="1"/>
  <c r="N21" i="1"/>
  <c r="M21" i="1" l="1"/>
  <c r="M30" i="1" s="1"/>
  <c r="S21" i="1" l="1"/>
  <c r="S30" i="1" s="1"/>
  <c r="T21" i="1"/>
  <c r="T29" i="1" s="1"/>
  <c r="O21" i="1"/>
  <c r="P21" i="1" s="1"/>
  <c r="P30" i="1" s="1"/>
  <c r="K44" i="1"/>
  <c r="V37" i="1" l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6" i="1"/>
  <c r="R26" i="1" s="1"/>
  <c r="Q23" i="1"/>
  <c r="R23" i="1" s="1"/>
  <c r="Q24" i="1"/>
  <c r="R24" i="1" s="1"/>
  <c r="Q22" i="1"/>
  <c r="R22" i="1" s="1"/>
  <c r="O44" i="1"/>
  <c r="E15" i="3"/>
  <c r="Q21" i="1" l="1"/>
  <c r="F15" i="3"/>
  <c r="R21" i="1" l="1"/>
  <c r="H21" i="1" l="1"/>
  <c r="H29" i="1" s="1"/>
  <c r="H30" i="1" s="1"/>
  <c r="D11" i="3" l="1"/>
  <c r="X9" i="3" s="1"/>
  <c r="X15" i="3" s="1"/>
  <c r="H31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<sst xmlns="http://schemas.openxmlformats.org/spreadsheetml/2006/main" count="240" uniqueCount="179">
  <si>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</si>
  <si>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</si>
  <si>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</si>
  <si>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</si>
  <si>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</si>
  <si>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</si>
  <si>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</si>
  <si>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</si>
  <si>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</si>
  <si>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</si>
  <si>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</si>
  <si>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</si>
  <si>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</si>
  <si>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</si>
  <si>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</si>
  <si>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</si>
  <si>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</si>
  <si>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</si>
  <si>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</si>
  <si>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</si>
  <si>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</si>
  <si>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</si>
  <si>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</si>
  <si>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</si>
  <si>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</si>
  <si>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</si>
  <si>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</si>
  <si>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</si>
  <si>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</si>
  <si>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</si>
  <si>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</si>
  <si>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</si>
  <si>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</si>
  <si>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</si>
  <si>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</si>
  <si>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</si>
  <si>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</si>
  <si>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</si>
  <si>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</si>
  <si>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</si>
  <si>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</si>
  <si>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</si>
  <si>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</si>
  <si>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</si>
  <si>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</si>
  <si>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</si>
  <si>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</si>
  <si>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</si>
  <si>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</si>
  <si>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</si>
  <si>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</si>
  <si>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</si>
  <si>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</si>
  <si>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</si>
  <si>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</si>
  <si>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</si>
  <si>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</si>
  <si>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</si>
  <si>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</si>
  <si>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</si>
  <si>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</si>
  <si>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</si>
  <si>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</si>
  <si>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</si>
  <si>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</si>
  <si>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</si>
  <si>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</si>
  <si>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</si>
  <si>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</si>
  <si>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</si>
  <si>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</si>
  <si>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</si>
  <si>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</si>
  <si>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</si>
  <si>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</si>
  <si>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</si>
  <si>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</si>
  <si>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</si>
  <si>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</si>
  <si>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</si>
  <si>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</si>
  <si>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</si>
  <si>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</si>
  <si>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</si>
  <si>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</si>
  <si>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</si>
  <si>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</si>
  <si>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</si>
  <si>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</si>
  <si>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</si>
  <si>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</si>
  <si>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</si>
  <si>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</si>
  <si>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</si>
  <si>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</si>
  <si>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</si>
  <si>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</si>
  <si>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</si>
  <si>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</si>
  <si>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</si>
  <si>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</si>
  <si>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</si>
  <si>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</si>
  <si>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</si>
  <si>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</si>
  <si>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</si>
  <si>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</si>
  <si>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</si>
  <si>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</si>
  <si>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</si>
  <si>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</si>
  <si>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</si>
  <si>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</si>
  <si>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</si>
  <si>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</si>
  <si>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</si>
  <si>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</si>
  <si>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</si>
  <si>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</si>
  <si>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</si>
  <si>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</si>
  <si>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</si>
  <si>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</si>
  <si>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</si>
  <si>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</si>
  <si>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</si>
  <si>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</si>
  <si>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</si>
  <si>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</si>
  <si>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</si>
  <si>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</si>
  <si>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</si>
  <si>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</si>
  <si>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</si>
  <si>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</si>
  <si>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</si>
  <si>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</si>
  <si>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</si>
  <si>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</si>
  <si>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</si>
  <si>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</si>
  <si>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</si>
  <si>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</si>
  <si>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</si>
  <si>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</si>
  <si>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</si>
  <si>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</si>
  <si>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</si>
  <si>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</si>
  <si>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</si>
  <si>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</si>
  <si>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</si>
  <si>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</si>
  <si>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</si>
  <si>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</si>
  <si>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</si>
  <si>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</si>
  <si>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</si>
  <si>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</si>
  <si>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</si>
  <si>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</si>
  <si>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</si>
  <si>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</si>
  <si>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</si>
  <si>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</si>
  <si>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</si>
  <si>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ENCHAPE RECTO 2 CARAS MDF 18MM</t>
  </si>
  <si>
    <t>ENCHAPE RECTO 1 CARA MDF 18MM</t>
  </si>
  <si>
    <t>FASHION GREY 21731 SF</t>
  </si>
  <si>
    <t>VALOR X MT2 2 CARAS MDF 18MM</t>
  </si>
  <si>
    <t>VALOR X MT2 1 CARA MDF 18MM</t>
  </si>
  <si>
    <t>SERVICIO DE ENCHAPE TAPACANTO PVC 0,45 MM</t>
  </si>
  <si>
    <t>SERVICIO DE ENCHAPE TAPACANTO PVC 2 MM</t>
  </si>
  <si>
    <t xml:space="preserve">METRO </t>
  </si>
  <si>
    <t>LINEAL</t>
  </si>
  <si>
    <t>HUMERTO MUÑOZ</t>
  </si>
  <si>
    <t>5697132 6567</t>
  </si>
  <si>
    <t>7 DIAS HABILES</t>
  </si>
  <si>
    <t>N° 11413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</si>
</sst>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VALORES SON REFERENCIALES, AL FINAL SE COBRA SEGUN OPTIMIZACION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8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4" t="s">
        <v>160</v>
      </c>
      <c r="C10" s="278" t="s">
        <v>175</v>
      </c>
      <c r="D10" s="243"/>
      <c r="E10" s="243"/>
      <c r="F10" s="244" t="s">
        <v>0</v>
      </c>
      <c r="G10" s="276">
        <v>45776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/>
      <c r="F11" t="s">
        <v>122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5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6"/>
      <c r="H13" s="289"/>
      <c r="Q13" s="19"/>
      <c r="R13" s="25"/>
      <c r="S13" s="19"/>
    </row>
    <row r="14" spans="2:24" x14ac:dyDescent="0.3">
      <c r="B14" s="246" t="s">
        <v>138</v>
      </c>
      <c r="C14" s="313"/>
      <c r="D14" s="247"/>
      <c r="E14" s="247"/>
      <c r="F14" s="314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176</v>
      </c>
      <c r="D15" s="309"/>
      <c r="F15" t="s">
        <v>133</v>
      </c>
      <c r="G15" s="307" t="s">
        <v>134</v>
      </c>
      <c r="H15" s="289"/>
    </row>
    <row r="16" spans="2:24" ht="16.8" x14ac:dyDescent="0.4">
      <c r="B16" s="315" t="s">
        <v>3</v>
      </c>
      <c r="C16" s="305"/>
      <c r="D16" s="247"/>
      <c r="E16" s="247"/>
      <c r="F16" s="316" t="s">
        <v>128</v>
      </c>
      <c r="G16" s="317" t="s">
        <v>161</v>
      </c>
      <c r="H16" s="248"/>
    </row>
    <row r="17" spans="2:25" ht="15" thickBot="1" x14ac:dyDescent="0.35">
      <c r="B17" s="310" t="s">
        <v>13</v>
      </c>
      <c r="C17" s="311" t="s">
        <v>164</v>
      </c>
      <c r="D17" s="312"/>
      <c r="E17" s="119"/>
      <c r="F17" s="332" t="s">
        <v>163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94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 t="e">
        <f>O43</f>
        <v>#VALUE!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166</v>
      </c>
      <c r="D21" s="344">
        <v>3</v>
      </c>
      <c r="E21" s="344">
        <v>1.2</v>
      </c>
      <c r="F21" s="329" t="s">
        <v>168</v>
      </c>
      <c r="G21" s="330">
        <v>233088</v>
      </c>
      <c r="H21" s="330">
        <f>G21*B21</f>
        <v>233088</v>
      </c>
      <c r="I21" s="319"/>
      <c r="J21" s="265">
        <v>210000</v>
      </c>
      <c r="K21" s="47"/>
      <c r="L21" s="47">
        <v>1</v>
      </c>
      <c r="M21" s="39">
        <f>D21+M$19</f>
        <v>3.02</v>
      </c>
      <c r="N21" s="39">
        <f>E21+$N$19</f>
        <v>1.22</v>
      </c>
      <c r="O21" s="261">
        <f t="shared" ref="O21" si="1">M21*N21</f>
        <v>3.6844000000000001</v>
      </c>
      <c r="P21" s="259">
        <f t="shared" ref="P21" si="2">O21*L21</f>
        <v>3.6844000000000001</v>
      </c>
      <c r="Q21" s="252" t="e">
        <f t="shared" ref="Q21" si="3">Q$20*O21</f>
        <v>#VALUE!</v>
      </c>
      <c r="R21" s="318" t="e">
        <f t="shared" ref="R21" si="4">Q21+R$20</f>
        <v>#VALUE!</v>
      </c>
      <c r="S21" s="297">
        <f>M21*L21</f>
        <v>3.02</v>
      </c>
      <c r="T21" s="46">
        <f>N21*2*L21*2</f>
        <v>4.88</v>
      </c>
      <c r="U21" s="9"/>
      <c r="X21" s="4"/>
    </row>
    <row r="22" spans="2:25" ht="17.399999999999999" x14ac:dyDescent="0.3">
      <c r="B22" s="329">
        <v>1</v>
      </c>
      <c r="C22" s="329" t="s">
        <v>167</v>
      </c>
      <c r="D22" s="344">
        <v>3</v>
      </c>
      <c r="E22" s="344">
        <v>1.2</v>
      </c>
      <c r="F22" s="329" t="s">
        <v>168</v>
      </c>
      <c r="G22" s="330">
        <v>144044</v>
      </c>
      <c r="H22" s="330">
        <f t="shared" ref="H22:H26" si="5">G22*B22</f>
        <v>144044</v>
      </c>
      <c r="I22" s="319"/>
      <c r="J22" s="265"/>
      <c r="K22" s="47"/>
      <c r="L22" s="47"/>
      <c r="M22" s="39">
        <f t="shared" ref="M22:M24" si="6">D22+M$19</f>
        <v>3.02</v>
      </c>
      <c r="N22" s="39">
        <f t="shared" ref="N22:N24" si="7">E22+$N$19</f>
        <v>1.22</v>
      </c>
      <c r="O22" s="261">
        <f t="shared" ref="O22:O24" si="8">M22*N22</f>
        <v>3.6844000000000001</v>
      </c>
      <c r="P22" s="259">
        <f t="shared" ref="P22:P24" si="9">O22*L22</f>
        <v>0</v>
      </c>
      <c r="Q22" s="252" t="e">
        <f t="shared" ref="Q22:Q24" si="10">Q$20*O22</f>
        <v>#VALUE!</v>
      </c>
      <c r="R22" s="318" t="e">
        <f t="shared" ref="R22:R24" si="11">Q22+R$20</f>
        <v>#VALUE!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169</v>
      </c>
      <c r="D23" s="331">
        <v>1350</v>
      </c>
      <c r="E23" s="331">
        <v>600</v>
      </c>
      <c r="F23" s="329" t="s">
        <v>168</v>
      </c>
      <c r="G23" s="330">
        <v>77695</v>
      </c>
      <c r="H23" s="330">
        <f t="shared" si="5"/>
        <v>77695</v>
      </c>
      <c r="I23" s="319"/>
      <c r="J23" s="265"/>
      <c r="K23" s="47"/>
      <c r="L23" s="47"/>
      <c r="M23" s="39">
        <f t="shared" si="6"/>
        <v>1350.02</v>
      </c>
      <c r="N23" s="39">
        <f t="shared" si="7"/>
        <v>600.02</v>
      </c>
      <c r="O23" s="261">
        <f t="shared" si="8"/>
        <v>810039.00040000002</v>
      </c>
      <c r="P23" s="259">
        <f t="shared" si="9"/>
        <v>0</v>
      </c>
      <c r="Q23" s="252" t="e">
        <f t="shared" si="10"/>
        <v>#VALUE!</v>
      </c>
      <c r="R23" s="318" t="e">
        <f t="shared" si="11"/>
        <v>#VALUE!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170</v>
      </c>
      <c r="D24" s="331">
        <v>1200</v>
      </c>
      <c r="E24" s="331">
        <v>400</v>
      </c>
      <c r="F24" s="329" t="s">
        <v>168</v>
      </c>
      <c r="G24" s="330">
        <v>47531</v>
      </c>
      <c r="H24" s="330">
        <f t="shared" si="5"/>
        <v>47531</v>
      </c>
      <c r="I24" s="319"/>
      <c r="J24" s="265"/>
      <c r="K24" s="47"/>
      <c r="L24" s="47"/>
      <c r="M24" s="39">
        <f t="shared" si="6"/>
        <v>1200.02</v>
      </c>
      <c r="N24" s="39">
        <f t="shared" si="7"/>
        <v>400.02</v>
      </c>
      <c r="O24" s="261">
        <f t="shared" si="8"/>
        <v>480032.00039999996</v>
      </c>
      <c r="P24" s="259">
        <f t="shared" si="9"/>
        <v>0</v>
      </c>
      <c r="Q24" s="252" t="e">
        <f t="shared" si="10"/>
        <v>#VALUE!</v>
      </c>
      <c r="R24" s="318" t="e">
        <f t="shared" si="11"/>
        <v>#VALUE!</v>
      </c>
      <c r="S24" s="297"/>
      <c r="T24" s="46"/>
      <c r="U24" s="9"/>
      <c r="X24" s="4"/>
    </row>
    <row r="25" spans="2:25" ht="17.399999999999999" x14ac:dyDescent="0.3">
      <c r="B25" s="329">
        <v>1</v>
      </c>
      <c r="C25" s="329" t="s">
        <v>171</v>
      </c>
      <c r="D25" s="331" t="s">
        <v>173</v>
      </c>
      <c r="E25" s="331" t="s">
        <v>174</v>
      </c>
      <c r="F25" s="329"/>
      <c r="G25" s="330">
        <v>1000</v>
      </c>
      <c r="H25" s="330">
        <f t="shared" si="5"/>
        <v>1000</v>
      </c>
      <c r="I25" s="319"/>
      <c r="J25" s="265"/>
      <c r="K25" s="47"/>
      <c r="L25" s="47"/>
      <c r="M25" s="39" t="e">
        <f t="shared" ref="M25:M26" si="12">D25+M$19</f>
        <v>#VALUE!</v>
      </c>
      <c r="N25" s="39" t="e">
        <f t="shared" ref="N25:N26" si="13">E25+$N$19</f>
        <v>#VALUE!</v>
      </c>
      <c r="O25" s="261" t="e">
        <f t="shared" ref="O25:O26" si="14">M25*N25</f>
        <v>#VALUE!</v>
      </c>
      <c r="P25" s="259" t="e">
        <f t="shared" ref="P25:P26" si="15">O25*L25</f>
        <v>#VALUE!</v>
      </c>
      <c r="Q25" s="252" t="e">
        <f t="shared" ref="Q25:Q26" si="16">Q$20*O25</f>
        <v>#VALUE!</v>
      </c>
      <c r="R25" s="318" t="e">
        <f t="shared" ref="R25:R26" si="17">Q25+R$20</f>
        <v>#VALUE!</v>
      </c>
      <c r="S25" s="297"/>
      <c r="T25" s="46"/>
      <c r="U25" s="9"/>
      <c r="X25" s="4"/>
    </row>
    <row r="26" spans="2:25" ht="17.399999999999999" x14ac:dyDescent="0.3">
      <c r="B26" s="329">
        <v>1</v>
      </c>
      <c r="C26" s="329" t="s">
        <v>172</v>
      </c>
      <c r="D26" s="331" t="s">
        <v>173</v>
      </c>
      <c r="E26" s="331" t="s">
        <v>174</v>
      </c>
      <c r="F26" s="329"/>
      <c r="G26" s="330">
        <v>3500</v>
      </c>
      <c r="H26" s="330">
        <f t="shared" si="5"/>
        <v>3500</v>
      </c>
      <c r="I26" s="319"/>
      <c r="J26" s="265"/>
      <c r="K26" s="47"/>
      <c r="L26" s="47"/>
      <c r="M26" s="39" t="e">
        <f t="shared" si="12"/>
        <v>#VALUE!</v>
      </c>
      <c r="N26" s="39" t="e">
        <f t="shared" si="13"/>
        <v>#VALUE!</v>
      </c>
      <c r="O26" s="261" t="e">
        <f t="shared" si="14"/>
        <v>#VALUE!</v>
      </c>
      <c r="P26" s="259" t="e">
        <f t="shared" si="15"/>
        <v>#VALUE!</v>
      </c>
      <c r="Q26" s="252" t="e">
        <f t="shared" si="16"/>
        <v>#VALUE!</v>
      </c>
      <c r="R26" s="318" t="e">
        <f t="shared" si="17"/>
        <v>#VALUE!</v>
      </c>
      <c r="S26" s="297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19"/>
      <c r="H27" s="319"/>
      <c r="I27" s="319"/>
      <c r="J27" s="265"/>
      <c r="K27" s="47"/>
      <c r="L27" s="47"/>
      <c r="M27" s="39"/>
      <c r="N27" s="39"/>
      <c r="O27" s="261"/>
      <c r="P27" s="259"/>
      <c r="Q27" s="252"/>
      <c r="R27" s="318"/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0"/>
      <c r="I28" s="322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3" t="s">
        <v>27</v>
      </c>
      <c r="H29" s="324">
        <f>SUM(H21:H28)</f>
        <v>506858</v>
      </c>
      <c r="I29" s="321"/>
      <c r="J29" s="265"/>
      <c r="K29" s="47">
        <v>2600000</v>
      </c>
      <c r="L29" s="47"/>
      <c r="M29" s="39"/>
      <c r="N29" s="39"/>
      <c r="O29" s="261"/>
      <c r="P29" s="259"/>
      <c r="Q29" s="252"/>
      <c r="R29" s="258"/>
      <c r="S29" s="297"/>
      <c r="T29" s="46">
        <f>SUM(T21:T28)</f>
        <v>4.88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50</v>
      </c>
      <c r="H30" s="294">
        <f>H29*19%</f>
        <v>96303.02</v>
      </c>
      <c r="I30" s="321"/>
      <c r="J30" s="265"/>
      <c r="K30" s="47"/>
      <c r="L30" s="47"/>
      <c r="M30" s="39">
        <f>SUM(M21:M21)</f>
        <v>3.02</v>
      </c>
      <c r="N30" s="12"/>
      <c r="O30" s="12"/>
      <c r="P30" s="253" t="e">
        <f>SUM(P21:P28)</f>
        <v>#VALUE!</v>
      </c>
      <c r="Q30" s="14"/>
      <c r="R30" s="12"/>
      <c r="S30" s="239">
        <f>SUM(S21:S29)</f>
        <v>3.02</v>
      </c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603161.02</v>
      </c>
      <c r="I31" s="321"/>
      <c r="J31" s="265"/>
      <c r="K31" s="47"/>
      <c r="L31" s="47"/>
      <c r="M31" s="39"/>
      <c r="N31" s="12"/>
      <c r="O31" s="12"/>
      <c r="P31" s="253" t="e">
        <f>P30</f>
        <v>#VALUE!</v>
      </c>
      <c r="Q31" s="14"/>
      <c r="R31" s="12"/>
      <c r="S31" s="239"/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 t="e">
        <f>P31*20%</f>
        <v>#VALUE!</v>
      </c>
      <c r="Q32" s="39" t="s">
        <v>129</v>
      </c>
      <c r="R32" s="42"/>
      <c r="S32" s="240"/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 t="e">
        <f>P31+P32</f>
        <v>#VALUE!</v>
      </c>
      <c r="Q33" s="14"/>
      <c r="R33" s="14"/>
      <c r="S33" s="238"/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/>
      <c r="T34" s="14"/>
      <c r="U34" s="301" t="s">
        <v>21</v>
      </c>
      <c r="V34" s="298" t="s">
        <v>150</v>
      </c>
      <c r="W34" s="302">
        <v>44971</v>
      </c>
      <c r="X34" s="303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 t="e">
        <f>P33</f>
        <v>#VALUE!</v>
      </c>
      <c r="N35" s="12">
        <v>3500</v>
      </c>
      <c r="O35" s="12" t="e">
        <f t="shared" ref="O35:O40" si="18">M35*N35</f>
        <v>#VALUE!</v>
      </c>
      <c r="P35" s="14" t="s">
        <v>21</v>
      </c>
      <c r="Q35" s="14"/>
      <c r="R35" s="14"/>
      <c r="S35" s="241"/>
      <c r="T35" s="14"/>
      <c r="U35" s="301" t="s">
        <v>151</v>
      </c>
      <c r="V35" s="298">
        <v>3625</v>
      </c>
      <c r="W35" s="59" t="s">
        <v>152</v>
      </c>
      <c r="X35" s="303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1</v>
      </c>
      <c r="N36" s="12">
        <v>25000</v>
      </c>
      <c r="O36" s="12">
        <f t="shared" si="18"/>
        <v>25000</v>
      </c>
      <c r="P36" s="39" t="s">
        <v>30</v>
      </c>
      <c r="Q36" s="42"/>
      <c r="R36" s="14"/>
      <c r="S36" s="240"/>
      <c r="T36" s="14"/>
      <c r="U36" s="301"/>
      <c r="V36" s="59">
        <v>906.25</v>
      </c>
      <c r="W36" s="59" t="s">
        <v>153</v>
      </c>
      <c r="X36" s="303"/>
    </row>
    <row r="37" spans="1:24" s="230" customFormat="1" ht="17.399999999999999" x14ac:dyDescent="0.35">
      <c r="B37" s="24" t="s">
        <v>149</v>
      </c>
      <c r="J37" s="262"/>
      <c r="K37" s="232"/>
      <c r="L37" s="250"/>
      <c r="M37" s="14"/>
      <c r="N37" s="250">
        <v>69000</v>
      </c>
      <c r="O37" s="12">
        <f t="shared" si="18"/>
        <v>0</v>
      </c>
      <c r="P37" s="39" t="s">
        <v>29</v>
      </c>
      <c r="Q37" s="42"/>
      <c r="S37" s="240"/>
      <c r="T37" s="256"/>
      <c r="U37" s="59"/>
      <c r="V37" s="59">
        <f>V36*20%</f>
        <v>181.25</v>
      </c>
      <c r="W37" s="303" t="s">
        <v>154</v>
      </c>
      <c r="X37" s="59"/>
    </row>
    <row r="38" spans="1:24" s="230" customFormat="1" ht="17.399999999999999" x14ac:dyDescent="0.35">
      <c r="B38" s="24" t="s">
        <v>165</v>
      </c>
      <c r="C38"/>
      <c r="D38"/>
      <c r="E38"/>
      <c r="F38"/>
      <c r="J38" s="262"/>
      <c r="K38" s="232"/>
      <c r="L38" s="250"/>
      <c r="M38" s="14">
        <v>1</v>
      </c>
      <c r="N38" s="250">
        <v>25000</v>
      </c>
      <c r="O38" s="12">
        <f t="shared" si="18"/>
        <v>25000</v>
      </c>
      <c r="P38" s="14" t="s">
        <v>140</v>
      </c>
      <c r="Q38" s="17"/>
      <c r="S38" s="238"/>
      <c r="T38" s="256"/>
      <c r="U38" s="59"/>
      <c r="V38" s="59">
        <f>V36+V37</f>
        <v>1087.5</v>
      </c>
      <c r="W38" s="303" t="s">
        <v>155</v>
      </c>
      <c r="X38" s="59"/>
    </row>
    <row r="39" spans="1:24" s="230" customFormat="1" ht="17.399999999999999" x14ac:dyDescent="0.35">
      <c r="B39" s="29" t="s">
        <v>124</v>
      </c>
      <c r="C39"/>
      <c r="D39"/>
      <c r="E39"/>
      <c r="F39" s="229" t="s">
        <v>15</v>
      </c>
      <c r="J39" s="262"/>
      <c r="K39" s="260"/>
      <c r="L39" s="250"/>
      <c r="M39" s="249"/>
      <c r="N39" s="250">
        <v>900</v>
      </c>
      <c r="O39" s="12">
        <f t="shared" si="18"/>
        <v>0</v>
      </c>
      <c r="P39" s="14" t="s">
        <v>31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93"/>
      <c r="K40" s="260"/>
      <c r="L40" s="250"/>
      <c r="M40" s="266"/>
      <c r="N40" s="12">
        <v>1500</v>
      </c>
      <c r="O40" s="12">
        <f t="shared" si="18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60"/>
      <c r="L41" s="250"/>
      <c r="M41" s="14"/>
      <c r="N41" s="12"/>
      <c r="O41" s="12" t="e">
        <f>SUM(O35:O40)</f>
        <v>#VALUE!</v>
      </c>
      <c r="P41" s="39">
        <v>0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50"/>
      <c r="M42" s="254" t="s">
        <v>32</v>
      </c>
      <c r="N42" s="12"/>
      <c r="O42" s="255" t="e">
        <f>O41*2.2</f>
        <v>#VALUE!</v>
      </c>
      <c r="P42" s="14" t="s">
        <v>139</v>
      </c>
      <c r="Q42" s="14"/>
      <c r="R42" s="40" t="e">
        <f>P33/R41</f>
        <v>#VALUE!</v>
      </c>
      <c r="S42"/>
      <c r="T42" s="257"/>
    </row>
    <row r="43" spans="1:24" s="230" customFormat="1" ht="17.399999999999999" x14ac:dyDescent="0.35">
      <c r="G43"/>
      <c r="H43" s="260"/>
      <c r="I43" s="260"/>
      <c r="J43" s="260"/>
      <c r="K43" s="230">
        <v>31030</v>
      </c>
      <c r="L43" s="250"/>
      <c r="M43" s="14"/>
      <c r="N43" s="12"/>
      <c r="O43" s="12" t="e">
        <f>O42/P31</f>
        <v>#VALUE!</v>
      </c>
      <c r="P43" s="45" t="s">
        <v>23</v>
      </c>
      <c r="Q43" s="14"/>
      <c r="R43" s="14"/>
      <c r="S43"/>
      <c r="T43" s="238"/>
      <c r="U43" s="59" t="s">
        <v>156</v>
      </c>
      <c r="V43" s="298">
        <v>43650</v>
      </c>
    </row>
    <row r="44" spans="1:24" s="230" customFormat="1" ht="17.399999999999999" x14ac:dyDescent="0.35">
      <c r="G44"/>
      <c r="K44" s="230">
        <f>K43/1.19</f>
        <v>26075.63025210084</v>
      </c>
      <c r="L44" s="250"/>
      <c r="M44" s="13"/>
      <c r="N44" s="14"/>
      <c r="O44" s="17" t="e">
        <f>O42/O41</f>
        <v>#VALUE!</v>
      </c>
      <c r="P44" s="15"/>
      <c r="Q44"/>
      <c r="R44"/>
      <c r="S44"/>
      <c r="T44" s="238"/>
      <c r="U44" s="59" t="s">
        <v>158</v>
      </c>
      <c r="V44" s="299" t="s">
        <v>157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159</v>
      </c>
      <c r="V45" s="300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154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25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146</v>
      </c>
    </row>
    <row r="79" spans="3:15" x14ac:dyDescent="0.3">
      <c r="C79" t="s">
        <v>145</v>
      </c>
    </row>
    <row r="82" spans="3:3" x14ac:dyDescent="0.3">
      <c r="C82" t="s">
        <v>145</v>
      </c>
    </row>
    <row r="159" spans="3:3" x14ac:dyDescent="0.3">
      <c r="C159" t="s">
        <v>145</v>
      </c>
    </row>
    <row r="160" spans="3:3" x14ac:dyDescent="0.3">
      <c r="C160" t="s">
        <v>147</v>
      </c>
    </row>
    <row r="161" spans="3:3" x14ac:dyDescent="0.3">
      <c r="C161" t="s">
        <v>148</v>
      </c>
    </row>
    <row r="586" spans="3:3" x14ac:dyDescent="0.3">
      <c r="C586" t="s">
        <v>145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45776</v>
      </c>
    </row>
    <row r="6" spans="2:31" ht="16.2" thickBot="1" x14ac:dyDescent="0.35">
      <c r="B6" s="140" t="s">
        <v>2</v>
      </c>
      <c r="C6" s="139" t="str">
        <f>'2229'!C10</f>
        <v>HUMERTO MUÑOZ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97</v>
      </c>
      <c r="I7" s="339"/>
      <c r="J7" s="339"/>
      <c r="K7" s="340"/>
      <c r="N7" s="75"/>
      <c r="O7" s="337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11413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7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#VALUE!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'2229'!H29</f>
        <v>506858</v>
      </c>
      <c r="E11" s="132">
        <f>D11*0.19</f>
        <v>96303.02</v>
      </c>
      <c r="F11" s="131">
        <f>E11+D11</f>
        <v>603161.02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#VALUE!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 t="e">
        <f>SUM(M43:M45)</f>
        <v>#VALUE!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 t="e">
        <f t="shared" si="2"/>
        <v>#VALUE!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 t="e">
        <f>D11-D12</f>
        <v>#VALUE!</v>
      </c>
      <c r="E13" s="221" t="e">
        <f>(D11/D12)-1</f>
        <v>#VALUE!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 t="e">
        <f t="shared" si="2"/>
        <v>#VALUE!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 t="e">
        <f t="shared" si="2"/>
        <v>#VALUE!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 t="e">
        <f>(100%+D15)*D12</f>
        <v>#VALUE!</v>
      </c>
      <c r="F15" s="216" t="e">
        <f>E15-D12</f>
        <v>#VALUE!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 t="e">
        <f t="shared" si="2"/>
        <v>#VALUE!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 t="e">
        <f t="shared" si="2"/>
        <v>#VALUE!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'2229'!O36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 t="e">
        <f>'2229'!O35</f>
        <v>#VALUE!</v>
      </c>
      <c r="E20" s="121" t="e">
        <f>D20*0.19</f>
        <v>#VALUE!</v>
      </c>
      <c r="F20" s="120" t="e">
        <f>SUM(D20:E20)</f>
        <v>#VALUE!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 t="e">
        <f>SUM(D18:D20)</f>
        <v>#VALUE!</v>
      </c>
      <c r="E21" s="116" t="e">
        <f>SUM(E18:E20)</f>
        <v>#VALUE!</v>
      </c>
      <c r="F21" s="115" t="e">
        <f>SUM(F18:F20)</f>
        <v>#VALUE!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 t="e">
        <f>E11-E21</f>
        <v>#VALUE!</v>
      </c>
    </row>
    <row r="41" spans="2:16" ht="15" thickBot="1" x14ac:dyDescent="0.35">
      <c r="H41" s="341" t="s">
        <v>59</v>
      </c>
      <c r="I41" s="342"/>
      <c r="J41" s="342"/>
      <c r="K41" s="342"/>
      <c r="L41" s="342"/>
      <c r="M41" s="343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506858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 t="e">
        <f>D21</f>
        <v>#VALUE!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 t="e">
        <f>M42-(SUM(M43:M45))</f>
        <v>#VALUE!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 t="e">
        <f>M46-SUM(M47:M48)</f>
        <v>#VALUE!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2025-04-25T17:11:23Z</cp:lastPrinted>
  <dcterms:created xsi:type="dcterms:W3CDTF">2013-03-18T13:35:42Z</dcterms:created>
  <dcterms:modified xsi:type="dcterms:W3CDTF">2025-04-29T21:19:05Z</dcterms:modified>
</cp:coreProperties>
</file>