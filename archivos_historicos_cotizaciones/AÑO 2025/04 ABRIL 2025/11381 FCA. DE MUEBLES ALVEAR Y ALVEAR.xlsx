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59A8B99D-2221-4B9D-B0F5-B84862A05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9" i="1"/>
  <c r="H37" i="1"/>
  <c r="H35" i="1"/>
  <c r="H33" i="1"/>
  <c r="H31" i="1"/>
  <c r="H29" i="1"/>
  <c r="N40" i="1"/>
  <c r="N39" i="1"/>
  <c r="N37" i="1"/>
  <c r="N35" i="1"/>
  <c r="N33" i="1"/>
  <c r="N31" i="1"/>
  <c r="N29" i="1"/>
  <c r="M40" i="1"/>
  <c r="M39" i="1"/>
  <c r="M37" i="1"/>
  <c r="M35" i="1"/>
  <c r="M33" i="1"/>
  <c r="M31" i="1"/>
  <c r="S31" i="1" s="1"/>
  <c r="M29" i="1"/>
  <c r="L40" i="1"/>
  <c r="L39" i="1"/>
  <c r="L37" i="1"/>
  <c r="L35" i="1"/>
  <c r="L33" i="1"/>
  <c r="L31" i="1"/>
  <c r="L29" i="1"/>
  <c r="S33" i="1" l="1"/>
  <c r="S40" i="1"/>
  <c r="O35" i="1"/>
  <c r="P35" i="1" s="1"/>
  <c r="S29" i="1"/>
  <c r="S37" i="1"/>
  <c r="O31" i="1"/>
  <c r="P31" i="1" s="1"/>
  <c r="O37" i="1"/>
  <c r="P37" i="1" s="1"/>
  <c r="O39" i="1"/>
  <c r="P39" i="1" s="1"/>
  <c r="S35" i="1"/>
  <c r="O29" i="1"/>
  <c r="P29" i="1" s="1"/>
  <c r="O33" i="1"/>
  <c r="P33" i="1" s="1"/>
  <c r="O40" i="1"/>
  <c r="P40" i="1" s="1"/>
  <c r="H25" i="1"/>
  <c r="H27" i="1"/>
  <c r="J58" i="1"/>
  <c r="M25" i="1"/>
  <c r="N25" i="1"/>
  <c r="M27" i="1"/>
  <c r="S27" i="1" s="1"/>
  <c r="N27" i="1"/>
  <c r="J15" i="1"/>
  <c r="M23" i="1"/>
  <c r="N23" i="1"/>
  <c r="J10" i="1"/>
  <c r="H23" i="1"/>
  <c r="O27" i="1" l="1"/>
  <c r="O25" i="1"/>
  <c r="P25" i="1" s="1"/>
  <c r="P27" i="1"/>
  <c r="S25" i="1"/>
  <c r="S23" i="1"/>
  <c r="O23" i="1"/>
  <c r="P23" i="1" s="1"/>
  <c r="N21" i="1"/>
  <c r="M21" i="1" l="1"/>
  <c r="S21" i="1" s="1"/>
  <c r="M45" i="1" l="1"/>
  <c r="T21" i="1"/>
  <c r="T44" i="1" s="1"/>
  <c r="S46" i="1"/>
  <c r="O21" i="1"/>
  <c r="P21" i="1" s="1"/>
  <c r="P45" i="1" s="1"/>
  <c r="S47" i="1" l="1"/>
  <c r="S48" i="1" s="1"/>
  <c r="S49" i="1" s="1"/>
  <c r="V52" i="1"/>
  <c r="V53" i="1" s="1"/>
  <c r="O51" i="1" l="1"/>
  <c r="P46" i="1" l="1"/>
  <c r="N20" i="1"/>
  <c r="L20" i="1"/>
  <c r="P47" i="1" l="1"/>
  <c r="P48" i="1" s="1"/>
  <c r="M50" i="1" s="1"/>
  <c r="O52" i="1"/>
  <c r="R56" i="1"/>
  <c r="R57" i="1" l="1"/>
  <c r="O5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5" i="1"/>
  <c r="O54" i="1"/>
  <c r="F18" i="3" l="1"/>
  <c r="O50" i="1" l="1"/>
  <c r="O56" i="1" s="1"/>
  <c r="O57" i="1" s="1"/>
  <c r="D20" i="3" l="1"/>
  <c r="E20" i="3" s="1"/>
  <c r="E21" i="3" s="1"/>
  <c r="O58" i="1" l="1"/>
  <c r="Q20" i="1" s="1"/>
  <c r="Q40" i="1" s="1"/>
  <c r="R40" i="1" s="1"/>
  <c r="D21" i="3"/>
  <c r="M43" i="3" s="1"/>
  <c r="D12" i="3" s="1"/>
  <c r="F20" i="3"/>
  <c r="F21" i="3" s="1"/>
  <c r="Q37" i="1" l="1"/>
  <c r="R37" i="1" s="1"/>
  <c r="Q39" i="1"/>
  <c r="R39" i="1" s="1"/>
  <c r="Q33" i="1"/>
  <c r="R33" i="1" s="1"/>
  <c r="Q35" i="1"/>
  <c r="R35" i="1" s="1"/>
  <c r="Q29" i="1"/>
  <c r="R29" i="1" s="1"/>
  <c r="Q31" i="1"/>
  <c r="R31" i="1" s="1"/>
  <c r="Q25" i="1"/>
  <c r="R25" i="1" s="1"/>
  <c r="Q27" i="1"/>
  <c r="R27" i="1" s="1"/>
  <c r="Q23" i="1"/>
  <c r="R23" i="1" s="1"/>
  <c r="O59" i="1"/>
  <c r="E15" i="3"/>
  <c r="Q21" i="1" l="1"/>
  <c r="F15" i="3"/>
  <c r="R21" i="1" l="1"/>
  <c r="H21" i="1" l="1"/>
  <c r="H44" i="1" s="1"/>
  <c r="H45" i="1" s="1"/>
  <c r="H4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<sst xmlns="http://schemas.openxmlformats.org/spreadsheetml/2006/main" count="273" uniqueCount="182">
  <si>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</si>
  <si>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</si>
  <si>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</si>
  <si>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</si>
  <si>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</si>
  <si>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</si>
  <si>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</si>
  <si>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</si>
  <si>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</si>
  <si>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</si>
  <si>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</si>
  <si>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</si>
  <si>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</si>
  <si>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</si>
  <si>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</si>
  <si>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</si>
  <si>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</si>
  <si>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</si>
  <si>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</si>
  <si>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</si>
  <si>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</si>
  <si>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</si>
  <si>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</si>
  <si>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</si>
  <si>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</si>
  <si>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</si>
  <si>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</si>
  <si>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</si>
  <si>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</si>
  <si>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</si>
  <si>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</si>
  <si>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</si>
  <si>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</si>
  <si>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</si>
  <si>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</si>
  <si>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</si>
  <si>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</si>
  <si>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</si>
  <si>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</si>
  <si>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</si>
  <si>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</si>
  <si>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</si>
  <si>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</si>
  <si>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</si>
  <si>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</si>
  <si>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</si>
  <si>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</si>
  <si>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</si>
  <si>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</si>
  <si>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</si>
  <si>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</si>
  <si>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</si>
  <si>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</si>
  <si>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</si>
  <si>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</si>
  <si>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</si>
  <si>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</si>
  <si>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</si>
  <si>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</si>
  <si>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</si>
  <si>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</si>
  <si>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</si>
  <si>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</si>
  <si>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</si>
  <si>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</si>
  <si>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</si>
  <si>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</si>
  <si>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</si>
  <si>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</si>
  <si>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</si>
  <si>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</si>
  <si>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</si>
  <si>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</si>
  <si>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</si>
  <si>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</si>
  <si>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</si>
  <si>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</si>
  <si>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</si>
  <si>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</si>
  <si>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</si>
  <si>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</si>
  <si>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</si>
  <si>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</si>
  <si>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</si>
  <si>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</si>
  <si>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</si>
  <si>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</si>
  <si>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</si>
  <si>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</si>
  <si>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</si>
  <si>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</si>
  <si>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</si>
  <si>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</si>
  <si>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</si>
  <si>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</si>
  <si>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</si>
  <si>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</si>
  <si>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</si>
  <si>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</si>
  <si>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</si>
  <si>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</si>
  <si>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</si>
  <si>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</si>
  <si>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</si>
  <si>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</si>
  <si>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</si>
  <si>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</si>
  <si>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</si>
  <si>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</si>
  <si>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</si>
  <si>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</si>
  <si>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</si>
  <si>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</si>
  <si>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</si>
  <si>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</si>
  <si>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</si>
  <si>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</si>
  <si>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</si>
  <si>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</si>
  <si>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</si>
  <si>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</si>
  <si>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</si>
  <si>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</si>
  <si>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</si>
  <si>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</si>
  <si>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</si>
  <si>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</si>
  <si>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</si>
  <si>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</si>
  <si>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</si>
  <si>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</si>
  <si>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</si>
  <si>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</si>
  <si>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</si>
  <si>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</si>
  <si>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</si>
  <si>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</si>
  <si>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</si>
  <si>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</si>
  <si>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</si>
  <si>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</si>
  <si>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</si>
  <si>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</si>
  <si>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</si>
  <si>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</si>
  <si>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</si>
  <si>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</si>
  <si>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</si>
  <si>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</si>
  <si>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</si>
  <si>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</si>
  <si>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</si>
  <si>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</si>
  <si>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</si>
  <si>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</si>
  <si>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</si>
  <si>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</si>
  <si>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</si>
  <si>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</si>
  <si>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</si>
  <si>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</si>
  <si>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</si>
  <si>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</si>
  <si>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</si>
  <si>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</si>
  <si>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</si>
  <si>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</si>
  <si>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</si>
  <si>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</si>
  <si>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</si>
  <si>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</si>
  <si>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</si>
  <si>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</si>
  <si>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N° 11381</t>
  </si>
  <si>
    <t>NIEBLA 2191 MT</t>
  </si>
  <si>
    <t>WHITE OAK  1336 MT</t>
  </si>
  <si>
    <t>NIEBLA</t>
  </si>
  <si>
    <t>WHITE OAK</t>
  </si>
  <si>
    <t>10 DIAS HABILES</t>
  </si>
  <si>
    <t>CUB SIN RESPALDO 180°</t>
  </si>
  <si>
    <t>RESPADO R12</t>
  </si>
  <si>
    <t>CUB MESA 180°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</si>
</sst>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47</xdr:row>
      <xdr:rowOff>8194</xdr:rowOff>
    </xdr:from>
    <xdr:to>
      <xdr:col>8</xdr:col>
      <xdr:colOff>8193</xdr:colOff>
      <xdr:row>50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49</xdr:row>
      <xdr:rowOff>154305</xdr:rowOff>
    </xdr:from>
    <xdr:to>
      <xdr:col>7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5</xdr:col>
      <xdr:colOff>1745226</xdr:colOff>
      <xdr:row>50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43</xdr:row>
      <xdr:rowOff>9525</xdr:rowOff>
    </xdr:from>
    <xdr:to>
      <xdr:col>5</xdr:col>
      <xdr:colOff>1728839</xdr:colOff>
      <xdr:row>46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1"/>
  <sheetViews>
    <sheetView tabSelected="1" topLeftCell="A8" zoomScale="93" zoomScaleNormal="93" workbookViewId="0">
      <selection activeCell="B39" sqref="B39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45750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168</v>
      </c>
      <c r="F11" t="s">
        <v>123</v>
      </c>
      <c r="G11" s="288" t="s">
        <v>178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169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 t="s">
        <v>171</v>
      </c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56973069852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172</v>
      </c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O58</f>
        <v>74912.312202271904</v>
      </c>
      <c r="R20" s="258">
        <v>1500</v>
      </c>
      <c r="S20" s="38"/>
      <c r="T20" s="14" t="s">
        <v>128</v>
      </c>
      <c r="U20" s="9"/>
      <c r="X20" s="4"/>
    </row>
    <row r="21" spans="2:25" ht="17.399999999999999" x14ac:dyDescent="0.3">
      <c r="B21" s="329">
        <v>3</v>
      </c>
      <c r="C21" s="329" t="s">
        <v>179</v>
      </c>
      <c r="D21" s="332">
        <v>2.85</v>
      </c>
      <c r="E21" s="332">
        <v>0.6</v>
      </c>
      <c r="F21" s="329" t="s">
        <v>174</v>
      </c>
      <c r="G21" s="330">
        <v>115851</v>
      </c>
      <c r="H21" s="330">
        <f>G21*B21</f>
        <v>347553</v>
      </c>
      <c r="I21" s="319"/>
      <c r="J21" s="265">
        <v>1</v>
      </c>
      <c r="K21" s="47"/>
      <c r="L21" s="331"/>
      <c r="M21" s="39">
        <f>D21+M$19</f>
        <v>2.93</v>
      </c>
      <c r="N21" s="39">
        <f>E21+$N$19</f>
        <v>0.6</v>
      </c>
      <c r="O21" s="261">
        <f t="shared" ref="O21" si="1">M21*N21</f>
        <v>1.758</v>
      </c>
      <c r="P21" s="259">
        <f t="shared" ref="P21" si="2">O21*L21</f>
        <v>0</v>
      </c>
      <c r="Q21" s="252">
        <f t="shared" ref="Q21" si="3">Q$20*O21</f>
        <v>131695.84485159401</v>
      </c>
      <c r="R21" s="318">
        <f t="shared" ref="R21" si="4">Q21+R$20</f>
        <v>133195.84485159401</v>
      </c>
      <c r="S21" s="297">
        <f>M21*L21</f>
        <v>0</v>
      </c>
      <c r="T21" s="46">
        <f>M21*L21</f>
        <v>0</v>
      </c>
      <c r="U21" s="9"/>
      <c r="X21" s="4"/>
    </row>
    <row r="22" spans="2:25" ht="17.399999999999999" x14ac:dyDescent="0.3">
      <c r="B22" s="329">
        <v>3</v>
      </c>
      <c r="C22" s="329" t="s">
        <v>180</v>
      </c>
      <c r="D22" s="332">
        <v>2.85</v>
      </c>
      <c r="E22" s="332">
        <v>0.06</v>
      </c>
      <c r="F22" s="329" t="s">
        <v>174</v>
      </c>
      <c r="G22" s="330"/>
      <c r="H22" s="330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179</v>
      </c>
      <c r="D23" s="332">
        <v>1.22</v>
      </c>
      <c r="E23" s="332">
        <v>0.6</v>
      </c>
      <c r="F23" s="329" t="s">
        <v>174</v>
      </c>
      <c r="G23" s="330">
        <v>52236</v>
      </c>
      <c r="H23" s="330">
        <f t="shared" ref="H23:H40" si="5">G23*B23</f>
        <v>52236</v>
      </c>
      <c r="I23" s="319">
        <v>1</v>
      </c>
      <c r="J23" s="265"/>
      <c r="K23" s="47"/>
      <c r="L23" s="331"/>
      <c r="M23" s="39">
        <f t="shared" ref="M23" si="6">D23+M$19</f>
        <v>1.3</v>
      </c>
      <c r="N23" s="39">
        <f t="shared" ref="N23" si="7">E23+$N$19</f>
        <v>0.6</v>
      </c>
      <c r="O23" s="261">
        <f t="shared" ref="O23" si="8">M23*N23</f>
        <v>0.78</v>
      </c>
      <c r="P23" s="259">
        <f t="shared" ref="P23" si="9">O23*L23</f>
        <v>0</v>
      </c>
      <c r="Q23" s="252">
        <f t="shared" ref="Q23" si="10">Q$20*O23</f>
        <v>58431.603517772084</v>
      </c>
      <c r="R23" s="318">
        <f t="shared" ref="R23" si="11">Q23+R$20</f>
        <v>59931.603517772084</v>
      </c>
      <c r="S23" s="297">
        <f t="shared" ref="S23" si="12">M23*L23</f>
        <v>0</v>
      </c>
      <c r="T23" s="46"/>
      <c r="U23" s="9"/>
      <c r="X23" s="4"/>
    </row>
    <row r="24" spans="2:25" ht="17.399999999999999" x14ac:dyDescent="0.3">
      <c r="B24" s="329">
        <v>1</v>
      </c>
      <c r="C24" s="329" t="s">
        <v>180</v>
      </c>
      <c r="D24" s="332">
        <v>1.22</v>
      </c>
      <c r="E24" s="332">
        <v>0.06</v>
      </c>
      <c r="F24" s="329" t="s">
        <v>174</v>
      </c>
      <c r="G24" s="330"/>
      <c r="H24" s="330"/>
      <c r="I24" s="319"/>
      <c r="J24" s="265"/>
      <c r="K24" s="47"/>
      <c r="L24" s="331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179</v>
      </c>
      <c r="D25" s="332">
        <v>1.52</v>
      </c>
      <c r="E25" s="332">
        <v>0.6</v>
      </c>
      <c r="F25" s="329" t="s">
        <v>174</v>
      </c>
      <c r="G25" s="330">
        <v>63944</v>
      </c>
      <c r="H25" s="330">
        <f t="shared" si="5"/>
        <v>63944</v>
      </c>
      <c r="I25" s="319"/>
      <c r="J25" s="265"/>
      <c r="K25" s="47"/>
      <c r="L25" s="331"/>
      <c r="M25" s="39">
        <f t="shared" ref="M25:M40" si="13">D25+M$19</f>
        <v>1.6</v>
      </c>
      <c r="N25" s="39">
        <f t="shared" ref="N25:N40" si="14">E25+$N$19</f>
        <v>0.6</v>
      </c>
      <c r="O25" s="261">
        <f t="shared" ref="O25:O40" si="15">M25*N25</f>
        <v>0.96</v>
      </c>
      <c r="P25" s="259">
        <f t="shared" ref="P25:P40" si="16">O25*L25</f>
        <v>0</v>
      </c>
      <c r="Q25" s="252">
        <f t="shared" ref="Q25:Q40" si="17">Q$20*O25</f>
        <v>71915.819714181023</v>
      </c>
      <c r="R25" s="318">
        <f t="shared" ref="R25:R40" si="18">Q25+R$20</f>
        <v>73415.819714181023</v>
      </c>
      <c r="S25" s="297">
        <f t="shared" ref="S25:S40" si="19">M25*L25</f>
        <v>0</v>
      </c>
      <c r="T25" s="46"/>
      <c r="U25" s="9"/>
      <c r="X25" s="4"/>
    </row>
    <row r="26" spans="2:25" ht="17.399999999999999" x14ac:dyDescent="0.3">
      <c r="B26" s="329">
        <v>1</v>
      </c>
      <c r="C26" s="329" t="s">
        <v>180</v>
      </c>
      <c r="D26" s="332">
        <v>1.52</v>
      </c>
      <c r="E26" s="332">
        <v>0.06</v>
      </c>
      <c r="F26" s="329" t="s">
        <v>174</v>
      </c>
      <c r="G26" s="330"/>
      <c r="H26" s="330"/>
      <c r="I26" s="319"/>
      <c r="J26" s="265"/>
      <c r="K26" s="47"/>
      <c r="L26" s="331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7.399999999999999" x14ac:dyDescent="0.3">
      <c r="B27" s="329">
        <v>2</v>
      </c>
      <c r="C27" s="329" t="s">
        <v>179</v>
      </c>
      <c r="D27" s="332">
        <v>2.2000000000000002</v>
      </c>
      <c r="E27" s="332">
        <v>0.6</v>
      </c>
      <c r="F27" s="329" t="s">
        <v>174</v>
      </c>
      <c r="G27" s="330">
        <v>90483</v>
      </c>
      <c r="H27" s="330">
        <f t="shared" si="5"/>
        <v>180966</v>
      </c>
      <c r="I27" s="319"/>
      <c r="J27" s="265"/>
      <c r="K27" s="47"/>
      <c r="L27" s="331"/>
      <c r="M27" s="39">
        <f t="shared" si="13"/>
        <v>2.2800000000000002</v>
      </c>
      <c r="N27" s="39">
        <f t="shared" si="14"/>
        <v>0.6</v>
      </c>
      <c r="O27" s="261">
        <f t="shared" si="15"/>
        <v>1.3680000000000001</v>
      </c>
      <c r="P27" s="259">
        <f t="shared" si="16"/>
        <v>0</v>
      </c>
      <c r="Q27" s="252">
        <f t="shared" si="17"/>
        <v>102480.04309270797</v>
      </c>
      <c r="R27" s="318">
        <f t="shared" si="18"/>
        <v>103980.04309270797</v>
      </c>
      <c r="S27" s="297">
        <f t="shared" si="19"/>
        <v>0</v>
      </c>
      <c r="T27" s="46"/>
      <c r="U27" s="9"/>
      <c r="X27" s="4"/>
    </row>
    <row r="28" spans="2:25" ht="17.399999999999999" x14ac:dyDescent="0.3">
      <c r="B28" s="329">
        <v>2</v>
      </c>
      <c r="C28" s="329" t="s">
        <v>180</v>
      </c>
      <c r="D28" s="332">
        <v>2.2000000000000002</v>
      </c>
      <c r="E28" s="332">
        <v>0.06</v>
      </c>
      <c r="F28" s="329" t="s">
        <v>174</v>
      </c>
      <c r="G28" s="330"/>
      <c r="H28" s="330"/>
      <c r="I28" s="319"/>
      <c r="J28" s="265"/>
      <c r="K28" s="47"/>
      <c r="L28" s="331"/>
      <c r="M28" s="39"/>
      <c r="N28" s="39"/>
      <c r="O28" s="261"/>
      <c r="P28" s="259"/>
      <c r="Q28" s="252"/>
      <c r="R28" s="318"/>
      <c r="S28" s="297"/>
      <c r="T28" s="46"/>
      <c r="U28" s="9"/>
      <c r="X28" s="4"/>
    </row>
    <row r="29" spans="2:25" ht="17.399999999999999" x14ac:dyDescent="0.3">
      <c r="B29" s="329">
        <v>1</v>
      </c>
      <c r="C29" s="329" t="s">
        <v>179</v>
      </c>
      <c r="D29" s="332">
        <v>1.86</v>
      </c>
      <c r="E29" s="332">
        <v>0.6</v>
      </c>
      <c r="F29" s="329" t="s">
        <v>175</v>
      </c>
      <c r="G29" s="330">
        <v>88698</v>
      </c>
      <c r="H29" s="330">
        <f t="shared" si="5"/>
        <v>88698</v>
      </c>
      <c r="I29" s="319"/>
      <c r="J29" s="265"/>
      <c r="K29" s="47"/>
      <c r="L29" s="331">
        <f t="shared" ref="L29:L40" si="20">B29</f>
        <v>1</v>
      </c>
      <c r="M29" s="39">
        <f t="shared" si="13"/>
        <v>1.9400000000000002</v>
      </c>
      <c r="N29" s="39">
        <f t="shared" si="14"/>
        <v>0.6</v>
      </c>
      <c r="O29" s="261">
        <f t="shared" si="15"/>
        <v>1.1640000000000001</v>
      </c>
      <c r="P29" s="259">
        <f t="shared" si="16"/>
        <v>1.1640000000000001</v>
      </c>
      <c r="Q29" s="252">
        <f t="shared" si="17"/>
        <v>87197.931403444512</v>
      </c>
      <c r="R29" s="318">
        <f t="shared" si="18"/>
        <v>88697.931403444512</v>
      </c>
      <c r="S29" s="297">
        <f t="shared" si="19"/>
        <v>1.9400000000000002</v>
      </c>
      <c r="T29" s="46"/>
      <c r="U29" s="9"/>
      <c r="X29" s="4"/>
    </row>
    <row r="30" spans="2:25" ht="17.399999999999999" x14ac:dyDescent="0.3">
      <c r="B30" s="329">
        <v>1</v>
      </c>
      <c r="C30" s="329" t="s">
        <v>180</v>
      </c>
      <c r="D30" s="332">
        <v>1.86</v>
      </c>
      <c r="E30" s="332">
        <v>0.06</v>
      </c>
      <c r="F30" s="329" t="s">
        <v>175</v>
      </c>
      <c r="G30" s="330"/>
      <c r="H30" s="330"/>
      <c r="I30" s="319"/>
      <c r="J30" s="265"/>
      <c r="K30" s="47"/>
      <c r="L30" s="331"/>
      <c r="M30" s="39"/>
      <c r="N30" s="39"/>
      <c r="O30" s="261"/>
      <c r="P30" s="259"/>
      <c r="Q30" s="252"/>
      <c r="R30" s="318"/>
      <c r="S30" s="297"/>
      <c r="T30" s="46"/>
      <c r="U30" s="9"/>
      <c r="X30" s="4"/>
    </row>
    <row r="31" spans="2:25" ht="17.399999999999999" x14ac:dyDescent="0.3">
      <c r="B31" s="329">
        <v>2</v>
      </c>
      <c r="C31" s="329" t="s">
        <v>179</v>
      </c>
      <c r="D31" s="332">
        <v>2.75</v>
      </c>
      <c r="E31" s="332">
        <v>0.6</v>
      </c>
      <c r="F31" s="329" t="s">
        <v>175</v>
      </c>
      <c r="G31" s="330">
        <v>128701</v>
      </c>
      <c r="H31" s="330">
        <f t="shared" si="5"/>
        <v>257402</v>
      </c>
      <c r="I31" s="319"/>
      <c r="J31" s="265"/>
      <c r="K31" s="47"/>
      <c r="L31" s="331">
        <f t="shared" si="20"/>
        <v>2</v>
      </c>
      <c r="M31" s="39">
        <f t="shared" si="13"/>
        <v>2.83</v>
      </c>
      <c r="N31" s="39">
        <f t="shared" si="14"/>
        <v>0.6</v>
      </c>
      <c r="O31" s="261">
        <f t="shared" si="15"/>
        <v>1.698</v>
      </c>
      <c r="P31" s="259">
        <f t="shared" si="16"/>
        <v>3.3959999999999999</v>
      </c>
      <c r="Q31" s="252">
        <f t="shared" si="17"/>
        <v>127201.10611945769</v>
      </c>
      <c r="R31" s="318">
        <f t="shared" si="18"/>
        <v>128701.10611945769</v>
      </c>
      <c r="S31" s="297">
        <f t="shared" si="19"/>
        <v>5.66</v>
      </c>
      <c r="T31" s="46"/>
      <c r="U31" s="9"/>
      <c r="X31" s="4"/>
    </row>
    <row r="32" spans="2:25" ht="17.399999999999999" x14ac:dyDescent="0.3">
      <c r="B32" s="329">
        <v>2</v>
      </c>
      <c r="C32" s="329" t="s">
        <v>180</v>
      </c>
      <c r="D32" s="332">
        <v>2.75</v>
      </c>
      <c r="E32" s="332">
        <v>0.06</v>
      </c>
      <c r="F32" s="329" t="s">
        <v>175</v>
      </c>
      <c r="G32" s="330"/>
      <c r="H32" s="330"/>
      <c r="I32" s="319"/>
      <c r="J32" s="265"/>
      <c r="K32" s="47"/>
      <c r="L32" s="331"/>
      <c r="M32" s="39"/>
      <c r="N32" s="39"/>
      <c r="O32" s="261"/>
      <c r="P32" s="259"/>
      <c r="Q32" s="252"/>
      <c r="R32" s="318"/>
      <c r="S32" s="297"/>
      <c r="T32" s="46"/>
      <c r="U32" s="9"/>
      <c r="X32" s="4"/>
    </row>
    <row r="33" spans="2:24" ht="17.399999999999999" x14ac:dyDescent="0.3">
      <c r="B33" s="329">
        <v>2</v>
      </c>
      <c r="C33" s="329" t="s">
        <v>179</v>
      </c>
      <c r="D33" s="332">
        <v>2.31</v>
      </c>
      <c r="E33" s="332">
        <v>0.6</v>
      </c>
      <c r="F33" s="329" t="s">
        <v>175</v>
      </c>
      <c r="G33" s="330">
        <v>108924</v>
      </c>
      <c r="H33" s="330">
        <f t="shared" si="5"/>
        <v>217848</v>
      </c>
      <c r="I33" s="319"/>
      <c r="J33" s="265"/>
      <c r="K33" s="47"/>
      <c r="L33" s="331">
        <f t="shared" si="20"/>
        <v>2</v>
      </c>
      <c r="M33" s="39">
        <f t="shared" si="13"/>
        <v>2.39</v>
      </c>
      <c r="N33" s="39">
        <f t="shared" si="14"/>
        <v>0.6</v>
      </c>
      <c r="O33" s="261">
        <f t="shared" si="15"/>
        <v>1.4339999999999999</v>
      </c>
      <c r="P33" s="259">
        <f t="shared" si="16"/>
        <v>2.8679999999999999</v>
      </c>
      <c r="Q33" s="252">
        <f t="shared" si="17"/>
        <v>107424.25569805791</v>
      </c>
      <c r="R33" s="318">
        <f t="shared" si="18"/>
        <v>108924.25569805791</v>
      </c>
      <c r="S33" s="297">
        <f t="shared" si="19"/>
        <v>4.78</v>
      </c>
      <c r="T33" s="46"/>
      <c r="U33" s="9"/>
      <c r="X33" s="4"/>
    </row>
    <row r="34" spans="2:24" ht="17.399999999999999" x14ac:dyDescent="0.3">
      <c r="B34" s="329">
        <v>2</v>
      </c>
      <c r="C34" s="329" t="s">
        <v>180</v>
      </c>
      <c r="D34" s="332">
        <v>2.31</v>
      </c>
      <c r="E34" s="332">
        <v>0.06</v>
      </c>
      <c r="F34" s="329" t="s">
        <v>175</v>
      </c>
      <c r="G34" s="330"/>
      <c r="H34" s="330"/>
      <c r="I34" s="319"/>
      <c r="J34" s="265"/>
      <c r="K34" s="47"/>
      <c r="L34" s="331"/>
      <c r="M34" s="39"/>
      <c r="N34" s="39"/>
      <c r="O34" s="261"/>
      <c r="P34" s="259"/>
      <c r="Q34" s="252"/>
      <c r="R34" s="318"/>
      <c r="S34" s="297"/>
      <c r="T34" s="46"/>
      <c r="U34" s="9"/>
      <c r="X34" s="4"/>
    </row>
    <row r="35" spans="2:24" ht="17.399999999999999" x14ac:dyDescent="0.3">
      <c r="B35" s="329">
        <v>3</v>
      </c>
      <c r="C35" s="329" t="s">
        <v>179</v>
      </c>
      <c r="D35" s="332">
        <v>2</v>
      </c>
      <c r="E35" s="332">
        <v>0.6</v>
      </c>
      <c r="F35" s="329" t="s">
        <v>175</v>
      </c>
      <c r="G35" s="330">
        <v>94991</v>
      </c>
      <c r="H35" s="330">
        <f t="shared" si="5"/>
        <v>284973</v>
      </c>
      <c r="I35" s="319"/>
      <c r="J35" s="265"/>
      <c r="K35" s="47"/>
      <c r="L35" s="331">
        <f t="shared" si="20"/>
        <v>3</v>
      </c>
      <c r="M35" s="39">
        <f t="shared" si="13"/>
        <v>2.08</v>
      </c>
      <c r="N35" s="39">
        <f t="shared" si="14"/>
        <v>0.6</v>
      </c>
      <c r="O35" s="261">
        <f t="shared" si="15"/>
        <v>1.248</v>
      </c>
      <c r="P35" s="259">
        <f t="shared" si="16"/>
        <v>3.7439999999999998</v>
      </c>
      <c r="Q35" s="252">
        <f t="shared" si="17"/>
        <v>93490.565628435332</v>
      </c>
      <c r="R35" s="318">
        <f t="shared" si="18"/>
        <v>94990.565628435332</v>
      </c>
      <c r="S35" s="297">
        <f t="shared" si="19"/>
        <v>6.24</v>
      </c>
      <c r="T35" s="46"/>
      <c r="U35" s="9"/>
      <c r="X35" s="4"/>
    </row>
    <row r="36" spans="2:24" ht="17.399999999999999" x14ac:dyDescent="0.3">
      <c r="B36" s="329">
        <v>3</v>
      </c>
      <c r="C36" s="329" t="s">
        <v>180</v>
      </c>
      <c r="D36" s="332">
        <v>2</v>
      </c>
      <c r="E36" s="332">
        <v>0.06</v>
      </c>
      <c r="F36" s="329" t="s">
        <v>175</v>
      </c>
      <c r="G36" s="330"/>
      <c r="H36" s="330"/>
      <c r="I36" s="319"/>
      <c r="J36" s="265"/>
      <c r="K36" s="47"/>
      <c r="L36" s="331"/>
      <c r="M36" s="39"/>
      <c r="N36" s="39"/>
      <c r="O36" s="261"/>
      <c r="P36" s="259"/>
      <c r="Q36" s="252"/>
      <c r="R36" s="318"/>
      <c r="S36" s="297"/>
      <c r="T36" s="46"/>
      <c r="U36" s="9"/>
      <c r="X36" s="4"/>
    </row>
    <row r="37" spans="2:24" ht="17.399999999999999" x14ac:dyDescent="0.3">
      <c r="B37" s="329">
        <v>1</v>
      </c>
      <c r="C37" s="329" t="s">
        <v>179</v>
      </c>
      <c r="D37" s="332">
        <v>2.25</v>
      </c>
      <c r="E37" s="332">
        <v>0.6</v>
      </c>
      <c r="F37" s="329" t="s">
        <v>175</v>
      </c>
      <c r="G37" s="330">
        <v>106227</v>
      </c>
      <c r="H37" s="330">
        <f t="shared" si="5"/>
        <v>106227</v>
      </c>
      <c r="I37" s="319"/>
      <c r="J37" s="265"/>
      <c r="K37" s="47"/>
      <c r="L37" s="331">
        <f t="shared" si="20"/>
        <v>1</v>
      </c>
      <c r="M37" s="39">
        <f t="shared" si="13"/>
        <v>2.33</v>
      </c>
      <c r="N37" s="39">
        <f t="shared" si="14"/>
        <v>0.6</v>
      </c>
      <c r="O37" s="261">
        <f t="shared" si="15"/>
        <v>1.3979999999999999</v>
      </c>
      <c r="P37" s="259">
        <f t="shared" si="16"/>
        <v>1.3979999999999999</v>
      </c>
      <c r="Q37" s="252">
        <f t="shared" si="17"/>
        <v>104727.41245877612</v>
      </c>
      <c r="R37" s="318">
        <f t="shared" si="18"/>
        <v>106227.41245877612</v>
      </c>
      <c r="S37" s="297">
        <f t="shared" si="19"/>
        <v>2.33</v>
      </c>
      <c r="T37" s="46"/>
      <c r="U37" s="9"/>
      <c r="X37" s="4"/>
    </row>
    <row r="38" spans="2:24" ht="17.399999999999999" x14ac:dyDescent="0.3">
      <c r="B38" s="329">
        <v>1</v>
      </c>
      <c r="C38" s="329" t="s">
        <v>180</v>
      </c>
      <c r="D38" s="332">
        <v>2.25</v>
      </c>
      <c r="E38" s="332">
        <v>0.06</v>
      </c>
      <c r="F38" s="329" t="s">
        <v>175</v>
      </c>
      <c r="G38" s="330"/>
      <c r="H38" s="330"/>
      <c r="I38" s="319"/>
      <c r="J38" s="265"/>
      <c r="K38" s="47"/>
      <c r="L38" s="331"/>
      <c r="M38" s="39"/>
      <c r="N38" s="39"/>
      <c r="O38" s="261"/>
      <c r="P38" s="259"/>
      <c r="Q38" s="252"/>
      <c r="R38" s="318"/>
      <c r="S38" s="297"/>
      <c r="T38" s="46"/>
      <c r="U38" s="9"/>
      <c r="X38" s="4"/>
    </row>
    <row r="39" spans="2:24" ht="17.399999999999999" x14ac:dyDescent="0.3">
      <c r="B39" s="329">
        <v>2</v>
      </c>
      <c r="C39" s="329" t="s">
        <v>181</v>
      </c>
      <c r="D39" s="332">
        <v>1.2</v>
      </c>
      <c r="E39" s="332">
        <v>0.6</v>
      </c>
      <c r="F39" s="329" t="s">
        <v>175</v>
      </c>
      <c r="G39" s="330">
        <v>59033</v>
      </c>
      <c r="H39" s="330">
        <f t="shared" si="5"/>
        <v>118066</v>
      </c>
      <c r="I39" s="319"/>
      <c r="J39" s="265"/>
      <c r="K39" s="47"/>
      <c r="L39" s="331">
        <f t="shared" si="20"/>
        <v>2</v>
      </c>
      <c r="M39" s="39">
        <f t="shared" si="13"/>
        <v>1.28</v>
      </c>
      <c r="N39" s="39">
        <f t="shared" si="14"/>
        <v>0.6</v>
      </c>
      <c r="O39" s="261">
        <f t="shared" si="15"/>
        <v>0.76800000000000002</v>
      </c>
      <c r="P39" s="259">
        <f t="shared" si="16"/>
        <v>1.536</v>
      </c>
      <c r="Q39" s="252">
        <f t="shared" si="17"/>
        <v>57532.65577134482</v>
      </c>
      <c r="R39" s="318">
        <f t="shared" si="18"/>
        <v>59032.65577134482</v>
      </c>
      <c r="S39" s="297"/>
      <c r="T39" s="46"/>
      <c r="U39" s="9"/>
      <c r="X39" s="4"/>
    </row>
    <row r="40" spans="2:24" ht="17.399999999999999" x14ac:dyDescent="0.3">
      <c r="B40" s="329">
        <v>6</v>
      </c>
      <c r="C40" s="329" t="s">
        <v>179</v>
      </c>
      <c r="D40" s="332">
        <v>1</v>
      </c>
      <c r="E40" s="332">
        <v>0.35</v>
      </c>
      <c r="F40" s="329" t="s">
        <v>175</v>
      </c>
      <c r="G40" s="330">
        <v>29817</v>
      </c>
      <c r="H40" s="330">
        <f t="shared" si="5"/>
        <v>178902</v>
      </c>
      <c r="I40" s="319"/>
      <c r="J40" s="265"/>
      <c r="K40" s="47"/>
      <c r="L40" s="331">
        <f t="shared" si="20"/>
        <v>6</v>
      </c>
      <c r="M40" s="39">
        <f t="shared" si="13"/>
        <v>1.08</v>
      </c>
      <c r="N40" s="39">
        <f t="shared" si="14"/>
        <v>0.35</v>
      </c>
      <c r="O40" s="261">
        <f t="shared" si="15"/>
        <v>0.378</v>
      </c>
      <c r="P40" s="259">
        <f t="shared" si="16"/>
        <v>2.2679999999999998</v>
      </c>
      <c r="Q40" s="252">
        <f t="shared" si="17"/>
        <v>28316.854012458778</v>
      </c>
      <c r="R40" s="318">
        <f t="shared" si="18"/>
        <v>29816.854012458778</v>
      </c>
      <c r="S40" s="297">
        <f t="shared" si="19"/>
        <v>6.48</v>
      </c>
      <c r="T40" s="46"/>
      <c r="U40" s="9"/>
      <c r="X40" s="4"/>
    </row>
    <row r="41" spans="2:24" ht="17.399999999999999" x14ac:dyDescent="0.3">
      <c r="B41" s="346"/>
      <c r="C41" s="346"/>
      <c r="D41" s="347"/>
      <c r="E41" s="347"/>
      <c r="F41" s="346"/>
      <c r="G41" s="319"/>
      <c r="H41" s="319"/>
      <c r="I41" s="319"/>
      <c r="J41" s="265"/>
      <c r="K41" s="47"/>
      <c r="L41" s="331"/>
      <c r="M41" s="39"/>
      <c r="N41" s="39"/>
      <c r="O41" s="261"/>
      <c r="P41" s="259"/>
      <c r="Q41" s="252"/>
      <c r="R41" s="318"/>
      <c r="S41" s="297"/>
      <c r="T41" s="46"/>
      <c r="U41" s="9"/>
      <c r="X41" s="4"/>
    </row>
    <row r="42" spans="2:24" ht="17.399999999999999" x14ac:dyDescent="0.3">
      <c r="B42" s="285"/>
      <c r="C42" s="285"/>
      <c r="D42" s="286"/>
      <c r="E42" s="286"/>
      <c r="F42" s="285"/>
      <c r="G42" s="319"/>
      <c r="H42" s="319"/>
      <c r="I42" s="319"/>
      <c r="J42" s="265"/>
      <c r="K42" s="47"/>
      <c r="L42" s="47"/>
      <c r="M42" s="39"/>
      <c r="N42" s="39"/>
      <c r="O42" s="261"/>
      <c r="P42" s="259"/>
      <c r="Q42" s="252"/>
      <c r="R42" s="318"/>
      <c r="S42" s="297"/>
      <c r="T42" s="46"/>
      <c r="U42" s="9"/>
      <c r="X42" s="4"/>
    </row>
    <row r="43" spans="2:24" ht="18" thickBot="1" x14ac:dyDescent="0.35">
      <c r="B43" s="285"/>
      <c r="C43" s="285"/>
      <c r="D43" s="286"/>
      <c r="E43" s="286"/>
      <c r="F43" s="285"/>
      <c r="G43" s="265"/>
      <c r="H43" s="320"/>
      <c r="I43" s="322"/>
      <c r="J43" s="233"/>
      <c r="K43" s="47"/>
      <c r="L43" s="47"/>
      <c r="M43" s="39"/>
      <c r="N43" s="39"/>
      <c r="O43" s="261"/>
      <c r="P43" s="259"/>
      <c r="Q43" s="252"/>
      <c r="R43" s="258"/>
      <c r="S43" s="297"/>
      <c r="T43" s="14"/>
      <c r="U43" s="9"/>
      <c r="X43" s="4"/>
    </row>
    <row r="44" spans="2:24" ht="17.399999999999999" x14ac:dyDescent="0.3">
      <c r="B44" s="285"/>
      <c r="C44" s="285"/>
      <c r="D44" s="286"/>
      <c r="E44" s="286"/>
      <c r="F44" s="285"/>
      <c r="G44" s="323" t="s">
        <v>28</v>
      </c>
      <c r="H44" s="324">
        <f>SUM(H21:H43)</f>
        <v>1896815</v>
      </c>
      <c r="I44" s="321"/>
      <c r="J44" s="265"/>
      <c r="K44" s="47"/>
      <c r="L44" s="47"/>
      <c r="M44" s="39"/>
      <c r="N44" s="39"/>
      <c r="O44" s="261"/>
      <c r="P44" s="259"/>
      <c r="Q44" s="252"/>
      <c r="R44" s="258"/>
      <c r="S44" s="297"/>
      <c r="T44" s="46">
        <f>SUM(T21:T43)</f>
        <v>0</v>
      </c>
      <c r="U44" s="9"/>
      <c r="X44" s="4"/>
    </row>
    <row r="45" spans="2:24" ht="17.399999999999999" x14ac:dyDescent="0.3">
      <c r="B45" s="279"/>
      <c r="C45" s="282"/>
      <c r="D45" s="283"/>
      <c r="E45" s="283"/>
      <c r="F45" s="284"/>
      <c r="G45" s="296" t="s">
        <v>51</v>
      </c>
      <c r="H45" s="294">
        <f>H44*19%</f>
        <v>360394.85</v>
      </c>
      <c r="I45" s="321"/>
      <c r="J45" s="265"/>
      <c r="K45" s="47"/>
      <c r="L45" s="47"/>
      <c r="M45" s="39">
        <f>SUM(M21:M44)</f>
        <v>22.04</v>
      </c>
      <c r="N45" s="12"/>
      <c r="O45" s="12"/>
      <c r="P45" s="253">
        <f>SUM(P21:P43)</f>
        <v>16.373999999999999</v>
      </c>
      <c r="Q45" s="14"/>
      <c r="R45" s="12"/>
      <c r="S45" s="239"/>
      <c r="T45" s="46"/>
      <c r="U45" s="9"/>
      <c r="X45" s="4"/>
    </row>
    <row r="46" spans="2:24" ht="18" thickBot="1" x14ac:dyDescent="0.35">
      <c r="B46" s="275"/>
      <c r="C46" s="281"/>
      <c r="D46" s="272"/>
      <c r="E46" s="272"/>
      <c r="F46" s="273"/>
      <c r="G46" s="280" t="s">
        <v>6</v>
      </c>
      <c r="H46" s="295">
        <f>H44+H45</f>
        <v>2257209.85</v>
      </c>
      <c r="I46" s="321"/>
      <c r="J46" s="265"/>
      <c r="K46" s="47"/>
      <c r="L46" s="47"/>
      <c r="M46" s="39"/>
      <c r="N46" s="12"/>
      <c r="O46" s="12"/>
      <c r="P46" s="253">
        <f>P45</f>
        <v>16.373999999999999</v>
      </c>
      <c r="Q46" s="14"/>
      <c r="R46" s="12"/>
      <c r="S46" s="239">
        <f>SUM(S21:S45)</f>
        <v>27.430000000000003</v>
      </c>
      <c r="T46" s="46"/>
      <c r="U46" s="9"/>
      <c r="X46" s="4"/>
    </row>
    <row r="47" spans="2:24" ht="17.399999999999999" x14ac:dyDescent="0.3">
      <c r="B47" s="275"/>
      <c r="C47" s="271"/>
      <c r="D47" s="272"/>
      <c r="E47" s="272"/>
      <c r="F47" s="273"/>
      <c r="J47" s="265"/>
      <c r="K47" s="47"/>
      <c r="L47" s="47"/>
      <c r="M47" s="14"/>
      <c r="N47" s="12"/>
      <c r="O47" s="12"/>
      <c r="P47" s="39">
        <f>P46*20%</f>
        <v>3.2747999999999999</v>
      </c>
      <c r="Q47" s="39" t="s">
        <v>130</v>
      </c>
      <c r="R47" s="42"/>
      <c r="S47" s="240">
        <f>S46+T44</f>
        <v>27.430000000000003</v>
      </c>
      <c r="T47" s="14"/>
      <c r="U47" s="9"/>
      <c r="X47" s="4"/>
    </row>
    <row r="48" spans="2:24" ht="17.399999999999999" x14ac:dyDescent="0.35">
      <c r="B48" s="269"/>
      <c r="C48" s="230"/>
      <c r="D48" s="230"/>
      <c r="E48" s="233"/>
      <c r="F48" s="234"/>
      <c r="G48" s="230"/>
      <c r="H48" s="274"/>
      <c r="I48" s="274"/>
      <c r="J48" s="265"/>
      <c r="K48" s="47"/>
      <c r="L48" s="47"/>
      <c r="M48" s="14"/>
      <c r="N48" s="12"/>
      <c r="O48" s="12"/>
      <c r="P48" s="46">
        <f>P46+P47</f>
        <v>19.648799999999998</v>
      </c>
      <c r="Q48" s="14"/>
      <c r="R48" s="14"/>
      <c r="S48" s="238">
        <f>S47*20%</f>
        <v>5.4860000000000007</v>
      </c>
      <c r="T48" s="14"/>
      <c r="U48" s="9"/>
      <c r="X48" s="4"/>
    </row>
    <row r="49" spans="1:24" ht="17.399999999999999" x14ac:dyDescent="0.35">
      <c r="B49" s="235"/>
      <c r="C49" s="236"/>
      <c r="D49" s="237"/>
      <c r="E49" s="235"/>
      <c r="F49" s="230"/>
      <c r="G49" s="230"/>
      <c r="I49" s="274"/>
      <c r="J49" s="265"/>
      <c r="K49" s="47"/>
      <c r="L49" s="47"/>
      <c r="M49" s="14"/>
      <c r="N49" s="14"/>
      <c r="O49" s="14"/>
      <c r="P49" s="14"/>
      <c r="Q49" s="14"/>
      <c r="R49" s="14"/>
      <c r="S49" s="240">
        <f>S47+S48</f>
        <v>32.916000000000004</v>
      </c>
      <c r="T49" s="14"/>
      <c r="U49" s="302" t="s">
        <v>21</v>
      </c>
      <c r="V49" s="299" t="s">
        <v>152</v>
      </c>
      <c r="W49" s="303">
        <v>44971</v>
      </c>
      <c r="X49" s="304"/>
    </row>
    <row r="50" spans="1:24" ht="17.399999999999999" x14ac:dyDescent="0.35">
      <c r="B50" s="230"/>
      <c r="C50" s="230"/>
      <c r="D50" s="230"/>
      <c r="E50" s="230"/>
      <c r="F50" s="230"/>
      <c r="G50" s="230"/>
      <c r="J50" s="265"/>
      <c r="K50" s="47"/>
      <c r="L50" s="47"/>
      <c r="M50" s="39">
        <f>P48</f>
        <v>19.648799999999998</v>
      </c>
      <c r="N50" s="12">
        <v>2500</v>
      </c>
      <c r="O50" s="12">
        <f t="shared" ref="O50:O55" si="21">M50*N50</f>
        <v>49121.999999999993</v>
      </c>
      <c r="P50" s="14" t="s">
        <v>21</v>
      </c>
      <c r="Q50" s="14"/>
      <c r="R50" s="14"/>
      <c r="S50" s="241"/>
      <c r="T50" s="14"/>
      <c r="U50" s="302" t="s">
        <v>153</v>
      </c>
      <c r="V50" s="299">
        <v>3625</v>
      </c>
      <c r="W50" s="59" t="s">
        <v>154</v>
      </c>
      <c r="X50" s="304"/>
    </row>
    <row r="51" spans="1:24" ht="17.399999999999999" x14ac:dyDescent="0.35">
      <c r="A51" s="230"/>
      <c r="B51" s="230"/>
      <c r="C51" s="230"/>
      <c r="D51" s="230"/>
      <c r="E51" s="230"/>
      <c r="F51" s="230"/>
      <c r="G51" s="230"/>
      <c r="H51" s="230"/>
      <c r="J51" s="265"/>
      <c r="K51" s="47"/>
      <c r="L51" s="47"/>
      <c r="M51" s="249">
        <v>5.3</v>
      </c>
      <c r="N51" s="12">
        <v>23500</v>
      </c>
      <c r="O51" s="12">
        <f t="shared" si="21"/>
        <v>124550</v>
      </c>
      <c r="P51" s="39" t="s">
        <v>31</v>
      </c>
      <c r="Q51" s="42"/>
      <c r="R51" s="14"/>
      <c r="S51" s="240"/>
      <c r="T51" s="14"/>
      <c r="U51" s="302"/>
      <c r="V51" s="59">
        <v>906.25</v>
      </c>
      <c r="W51" s="59" t="s">
        <v>155</v>
      </c>
      <c r="X51" s="304"/>
    </row>
    <row r="52" spans="1:24" s="230" customFormat="1" ht="17.399999999999999" x14ac:dyDescent="0.35">
      <c r="B52" s="24" t="s">
        <v>151</v>
      </c>
      <c r="J52" s="262"/>
      <c r="K52" s="232"/>
      <c r="L52" s="250"/>
      <c r="M52" s="14"/>
      <c r="N52" s="250">
        <v>35000</v>
      </c>
      <c r="O52" s="12">
        <f t="shared" si="21"/>
        <v>0</v>
      </c>
      <c r="P52" s="39" t="s">
        <v>30</v>
      </c>
      <c r="Q52" s="42"/>
      <c r="S52" s="240"/>
      <c r="T52" s="256"/>
      <c r="U52" s="59"/>
      <c r="V52" s="59">
        <f>V51*20%</f>
        <v>181.25</v>
      </c>
      <c r="W52" s="304" t="s">
        <v>156</v>
      </c>
      <c r="X52" s="59"/>
    </row>
    <row r="53" spans="1:24" s="230" customFormat="1" ht="17.399999999999999" x14ac:dyDescent="0.35">
      <c r="B53" s="24" t="s">
        <v>144</v>
      </c>
      <c r="C53"/>
      <c r="D53"/>
      <c r="E53"/>
      <c r="F53"/>
      <c r="J53" s="262"/>
      <c r="K53" s="232"/>
      <c r="L53" s="250"/>
      <c r="M53" s="14">
        <v>10</v>
      </c>
      <c r="N53" s="250">
        <v>38300</v>
      </c>
      <c r="O53" s="12">
        <f t="shared" si="21"/>
        <v>383000</v>
      </c>
      <c r="P53" s="14" t="s">
        <v>141</v>
      </c>
      <c r="Q53" s="17"/>
      <c r="S53" s="238"/>
      <c r="T53" s="256"/>
      <c r="U53" s="59"/>
      <c r="V53" s="59">
        <f>V51+V52</f>
        <v>1087.5</v>
      </c>
      <c r="W53" s="304" t="s">
        <v>157</v>
      </c>
      <c r="X53" s="59"/>
    </row>
    <row r="54" spans="1:24" s="230" customFormat="1" ht="17.399999999999999" x14ac:dyDescent="0.35">
      <c r="B54" s="29" t="s">
        <v>125</v>
      </c>
      <c r="C54"/>
      <c r="D54"/>
      <c r="E54"/>
      <c r="F54" s="229" t="s">
        <v>15</v>
      </c>
      <c r="J54" s="262"/>
      <c r="K54" s="260"/>
      <c r="L54" s="250"/>
      <c r="M54" s="249"/>
      <c r="N54" s="250">
        <v>900</v>
      </c>
      <c r="O54" s="12">
        <f t="shared" si="21"/>
        <v>0</v>
      </c>
      <c r="P54" s="14" t="s">
        <v>32</v>
      </c>
      <c r="Q54" s="14"/>
      <c r="R54" s="230">
        <v>1.52</v>
      </c>
      <c r="S54" s="238"/>
      <c r="T54" s="238"/>
    </row>
    <row r="55" spans="1:24" s="230" customFormat="1" ht="17.399999999999999" x14ac:dyDescent="0.35">
      <c r="J55" s="293" t="s">
        <v>177</v>
      </c>
      <c r="K55" s="260">
        <v>38300</v>
      </c>
      <c r="L55" s="250"/>
      <c r="M55" s="266">
        <v>27.43</v>
      </c>
      <c r="N55" s="12">
        <v>1000</v>
      </c>
      <c r="O55" s="12">
        <f t="shared" si="21"/>
        <v>27430</v>
      </c>
      <c r="P55" s="14" t="s">
        <v>22</v>
      </c>
      <c r="Q55" s="14"/>
      <c r="R55">
        <v>2.44</v>
      </c>
      <c r="S55"/>
      <c r="T55" s="238"/>
      <c r="X55" s="231"/>
    </row>
    <row r="56" spans="1:24" s="230" customFormat="1" ht="17.399999999999999" x14ac:dyDescent="0.35">
      <c r="J56" s="230" t="s">
        <v>176</v>
      </c>
      <c r="K56" s="260">
        <v>31000</v>
      </c>
      <c r="L56" s="250"/>
      <c r="M56" s="14"/>
      <c r="N56" s="12"/>
      <c r="O56" s="12">
        <f>SUM(O50:O55)</f>
        <v>584102</v>
      </c>
      <c r="P56" s="39" t="s">
        <v>23</v>
      </c>
      <c r="Q56" s="14"/>
      <c r="R56">
        <f>R54*R55</f>
        <v>3.7088000000000001</v>
      </c>
      <c r="S56"/>
      <c r="T56" s="238"/>
      <c r="X56" s="231"/>
    </row>
    <row r="57" spans="1:24" s="230" customFormat="1" ht="17.399999999999999" x14ac:dyDescent="0.35">
      <c r="J57" s="230">
        <v>49560</v>
      </c>
      <c r="L57" s="250"/>
      <c r="M57" s="254" t="s">
        <v>33</v>
      </c>
      <c r="N57" s="12"/>
      <c r="O57" s="255">
        <f>O56*2.1</f>
        <v>1226614.2</v>
      </c>
      <c r="P57" s="14" t="s">
        <v>140</v>
      </c>
      <c r="Q57" s="14"/>
      <c r="R57" s="40">
        <f>P48/R56</f>
        <v>5.2978861087144082</v>
      </c>
      <c r="S57"/>
      <c r="T57" s="257"/>
    </row>
    <row r="58" spans="1:24" s="230" customFormat="1" ht="17.399999999999999" x14ac:dyDescent="0.35">
      <c r="G58"/>
      <c r="H58" s="260"/>
      <c r="I58" s="260"/>
      <c r="J58" s="260">
        <f>J57/1.19</f>
        <v>41647.058823529413</v>
      </c>
      <c r="L58" s="250"/>
      <c r="M58" s="14"/>
      <c r="N58" s="12"/>
      <c r="O58" s="12">
        <f>O57/P46</f>
        <v>74912.312202271904</v>
      </c>
      <c r="P58" s="45" t="s">
        <v>24</v>
      </c>
      <c r="Q58" s="14"/>
      <c r="R58" s="14"/>
      <c r="S58"/>
      <c r="T58" s="238"/>
      <c r="U58" s="59" t="s">
        <v>158</v>
      </c>
      <c r="V58" s="299">
        <v>43650</v>
      </c>
    </row>
    <row r="59" spans="1:24" s="230" customFormat="1" ht="17.399999999999999" x14ac:dyDescent="0.35">
      <c r="G59"/>
      <c r="L59" s="250"/>
      <c r="M59" s="13"/>
      <c r="N59" s="14"/>
      <c r="O59" s="17">
        <f>O57/O56</f>
        <v>2.1</v>
      </c>
      <c r="P59" s="15"/>
      <c r="Q59"/>
      <c r="R59"/>
      <c r="S59"/>
      <c r="T59" s="238"/>
      <c r="U59" s="59" t="s">
        <v>160</v>
      </c>
      <c r="V59" s="300" t="s">
        <v>159</v>
      </c>
      <c r="W59" s="59">
        <v>2.4</v>
      </c>
    </row>
    <row r="60" spans="1:24" s="230" customFormat="1" ht="17.399999999999999" x14ac:dyDescent="0.35">
      <c r="G60" s="23"/>
      <c r="L60" s="12"/>
      <c r="T60" s="238"/>
      <c r="U60" s="59" t="s">
        <v>161</v>
      </c>
      <c r="V60" s="301">
        <v>395.37</v>
      </c>
    </row>
    <row r="61" spans="1:24" s="230" customFormat="1" ht="17.399999999999999" x14ac:dyDescent="0.35">
      <c r="B61"/>
      <c r="C61" s="228"/>
      <c r="D61" s="22"/>
      <c r="E61" s="22"/>
      <c r="F61" s="21"/>
      <c r="G61" s="23"/>
      <c r="L61" s="12"/>
      <c r="T61" s="238"/>
      <c r="U61" s="59" t="s">
        <v>156</v>
      </c>
      <c r="V61" s="59">
        <v>474.45</v>
      </c>
    </row>
    <row r="62" spans="1:24" ht="14.4" customHeight="1" x14ac:dyDescent="0.3">
      <c r="L62" s="12"/>
      <c r="U62" s="59"/>
      <c r="V62" s="59"/>
    </row>
    <row r="63" spans="1:24" x14ac:dyDescent="0.3">
      <c r="L63" s="250"/>
    </row>
    <row r="64" spans="1:24" x14ac:dyDescent="0.3">
      <c r="L64" s="250"/>
      <c r="T64" s="270"/>
    </row>
    <row r="65" spans="12:20" x14ac:dyDescent="0.3">
      <c r="L65" s="250"/>
    </row>
    <row r="66" spans="12:20" ht="15" customHeight="1" x14ac:dyDescent="0.3"/>
    <row r="68" spans="12:20" x14ac:dyDescent="0.3">
      <c r="O68">
        <v>40935</v>
      </c>
      <c r="P68" t="s">
        <v>16</v>
      </c>
      <c r="Q68" t="s">
        <v>26</v>
      </c>
    </row>
    <row r="70" spans="12:20" x14ac:dyDescent="0.3">
      <c r="O70" s="54"/>
      <c r="P70" s="54"/>
    </row>
    <row r="71" spans="12:20" x14ac:dyDescent="0.3">
      <c r="S71" s="18"/>
      <c r="T71" s="18"/>
    </row>
    <row r="72" spans="12:20" x14ac:dyDescent="0.3">
      <c r="S72" s="18"/>
      <c r="T72" s="18"/>
    </row>
    <row r="73" spans="12:20" x14ac:dyDescent="0.3">
      <c r="S73" s="18"/>
      <c r="T73" s="18"/>
    </row>
    <row r="74" spans="12:20" x14ac:dyDescent="0.3">
      <c r="S74" s="18"/>
      <c r="T74" s="18"/>
    </row>
    <row r="75" spans="12:20" x14ac:dyDescent="0.3">
      <c r="S75" s="18"/>
      <c r="T75" s="18"/>
    </row>
    <row r="76" spans="12:20" x14ac:dyDescent="0.3">
      <c r="S76" s="18"/>
      <c r="T76" s="18"/>
    </row>
    <row r="77" spans="12:20" x14ac:dyDescent="0.3">
      <c r="S77" s="18"/>
      <c r="T77" s="18"/>
    </row>
    <row r="78" spans="12:20" x14ac:dyDescent="0.3">
      <c r="S78" s="18"/>
      <c r="T78" s="18"/>
    </row>
    <row r="79" spans="12:20" x14ac:dyDescent="0.3">
      <c r="S79" s="18"/>
      <c r="T79" s="18"/>
    </row>
    <row r="82" spans="3:15" x14ac:dyDescent="0.3">
      <c r="O82" s="43"/>
    </row>
    <row r="83" spans="3:15" x14ac:dyDescent="0.3">
      <c r="O83" s="43"/>
    </row>
    <row r="84" spans="3:15" x14ac:dyDescent="0.3">
      <c r="O84" s="6"/>
    </row>
    <row r="85" spans="3:15" x14ac:dyDescent="0.3">
      <c r="O85" s="6"/>
    </row>
    <row r="93" spans="3:15" x14ac:dyDescent="0.3">
      <c r="C93" t="s">
        <v>148</v>
      </c>
    </row>
    <row r="94" spans="3:15" x14ac:dyDescent="0.3">
      <c r="C94" t="s">
        <v>147</v>
      </c>
    </row>
    <row r="97" spans="3:3" x14ac:dyDescent="0.3">
      <c r="C97" t="s">
        <v>147</v>
      </c>
    </row>
    <row r="174" spans="3:3" x14ac:dyDescent="0.3">
      <c r="C174" t="s">
        <v>147</v>
      </c>
    </row>
    <row r="175" spans="3:3" x14ac:dyDescent="0.3">
      <c r="C175" t="s">
        <v>149</v>
      </c>
    </row>
    <row r="176" spans="3:3" x14ac:dyDescent="0.3">
      <c r="C176" t="s">
        <v>150</v>
      </c>
    </row>
    <row r="601" spans="3:3" x14ac:dyDescent="0.3">
      <c r="C601" t="s">
        <v>147</v>
      </c>
    </row>
  </sheetData>
  <mergeCells count="2">
    <mergeCell ref="F17:H17"/>
    <mergeCell ref="B19:H19"/>
  </mergeCells>
  <phoneticPr fontId="34" type="noConversion"/>
  <hyperlinks>
    <hyperlink ref="F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45750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-260171.65836678745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'2229'!H44</f>
        <v>1896815</v>
      </c>
      <c r="E11" s="132">
        <f>D11*0.19</f>
        <v>360394.85</v>
      </c>
      <c r="F11" s="131">
        <f>E11+D11</f>
        <v>2257209.85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-154181.65836678745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203506.09078743961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-172181.65836678745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1693308.9092125604</v>
      </c>
      <c r="E13" s="221">
        <f>(D11/D12)-1</f>
        <v>8.3206792615421392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-181181.65836678745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-220181.65836678745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335785.04979927535</v>
      </c>
      <c r="F15" s="216">
        <f>E15-D12</f>
        <v>132278.95901183574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-220181.65836678745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-180181.65836678745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'2229'!O52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'2229'!O51</f>
        <v>124550</v>
      </c>
      <c r="E19" s="123">
        <f>D19*0.19</f>
        <v>23664.5</v>
      </c>
      <c r="F19" s="120">
        <f>SUM(D19:E19)</f>
        <v>148214.5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'2229'!O50</f>
        <v>49121.999999999993</v>
      </c>
      <c r="E20" s="121">
        <f>D20*0.19</f>
        <v>9333.1799999999985</v>
      </c>
      <c r="F20" s="120">
        <f>SUM(D20:E20)</f>
        <v>58455.179999999993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173672</v>
      </c>
      <c r="E21" s="116">
        <f>SUM(E18:E20)</f>
        <v>32997.68</v>
      </c>
      <c r="F21" s="115">
        <f>SUM(F18:F20)</f>
        <v>206669.68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327397.17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1896815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173672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1693308.9092125604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1693308.9092125604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2025-04-03T19:05:05Z</dcterms:modified>
</cp:coreProperties>
</file>