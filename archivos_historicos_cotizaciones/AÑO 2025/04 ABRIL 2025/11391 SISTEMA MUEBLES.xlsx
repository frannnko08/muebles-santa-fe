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4 ABRIL 2025\"/>
    </mc:Choice>
  </mc:AlternateContent>
  <xr:revisionPtr revIDLastSave="0" documentId="13_ncr:1_{84C59ECC-C94B-489C-8F0F-AD6A5A02F2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'2229'!$B$1:$I$70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2" i="1" l="1"/>
  <c r="Q60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K36" i="1"/>
  <c r="K43" i="1" l="1"/>
  <c r="O30" i="1"/>
  <c r="P30" i="1" s="1"/>
  <c r="Q30" i="1" s="1"/>
  <c r="O31" i="1"/>
  <c r="P31" i="1" s="1"/>
  <c r="Q31" i="1" s="1"/>
  <c r="O32" i="1"/>
  <c r="P32" i="1"/>
  <c r="Q32" i="1" s="1"/>
  <c r="O33" i="1"/>
  <c r="P33" i="1" s="1"/>
  <c r="Q33" i="1" s="1"/>
  <c r="O34" i="1"/>
  <c r="P34" i="1" s="1"/>
  <c r="Q34" i="1" s="1"/>
  <c r="O35" i="1"/>
  <c r="P35" i="1" s="1"/>
  <c r="Q35" i="1" s="1"/>
  <c r="O36" i="1"/>
  <c r="P36" i="1"/>
  <c r="Q36" i="1" s="1"/>
  <c r="O37" i="1"/>
  <c r="P37" i="1" s="1"/>
  <c r="Q37" i="1" s="1"/>
  <c r="O38" i="1"/>
  <c r="P38" i="1" s="1"/>
  <c r="Q38" i="1" s="1"/>
  <c r="O39" i="1"/>
  <c r="P39" i="1" s="1"/>
  <c r="Q39" i="1" s="1"/>
  <c r="O40" i="1"/>
  <c r="P40" i="1"/>
  <c r="Q40" i="1" s="1"/>
  <c r="O41" i="1"/>
  <c r="P41" i="1" s="1"/>
  <c r="Q41" i="1" s="1"/>
  <c r="O42" i="1"/>
  <c r="P42" i="1"/>
  <c r="Q42" i="1" s="1"/>
  <c r="O43" i="1"/>
  <c r="P43" i="1" s="1"/>
  <c r="Q43" i="1" s="1"/>
  <c r="O44" i="1"/>
  <c r="P44" i="1"/>
  <c r="Q44" i="1" s="1"/>
  <c r="O45" i="1"/>
  <c r="P45" i="1" s="1"/>
  <c r="Q45" i="1" s="1"/>
  <c r="O46" i="1"/>
  <c r="P46" i="1"/>
  <c r="Q46" i="1" s="1"/>
  <c r="O47" i="1"/>
  <c r="P47" i="1" s="1"/>
  <c r="Q47" i="1" s="1"/>
  <c r="O48" i="1"/>
  <c r="P48" i="1"/>
  <c r="Q48" i="1" s="1"/>
  <c r="O49" i="1"/>
  <c r="P49" i="1" s="1"/>
  <c r="Q49" i="1" s="1"/>
  <c r="O50" i="1"/>
  <c r="P50" i="1"/>
  <c r="Q50" i="1" s="1"/>
  <c r="O51" i="1"/>
  <c r="P51" i="1" s="1"/>
  <c r="Q51" i="1" s="1"/>
  <c r="O52" i="1"/>
  <c r="P52" i="1"/>
  <c r="Q52" i="1" s="1"/>
  <c r="O53" i="1"/>
  <c r="P53" i="1" s="1"/>
  <c r="Q53" i="1" s="1"/>
  <c r="O54" i="1"/>
  <c r="P54" i="1"/>
  <c r="Q54" i="1" s="1"/>
  <c r="O55" i="1"/>
  <c r="P55" i="1" s="1"/>
  <c r="Q55" i="1" s="1"/>
  <c r="O56" i="1"/>
  <c r="P56" i="1"/>
  <c r="Q56" i="1" s="1"/>
  <c r="N56" i="1"/>
  <c r="N55" i="1"/>
  <c r="N54" i="1"/>
  <c r="N53" i="1"/>
  <c r="N52" i="1"/>
  <c r="N51" i="1"/>
  <c r="N50" i="1"/>
  <c r="N49" i="1"/>
  <c r="T49" i="1"/>
  <c r="N48" i="1"/>
  <c r="N47" i="1"/>
  <c r="N46" i="1"/>
  <c r="T46" i="1" s="1"/>
  <c r="N45" i="1"/>
  <c r="N44" i="1"/>
  <c r="N43" i="1"/>
  <c r="N42" i="1"/>
  <c r="T42" i="1" s="1"/>
  <c r="N41" i="1"/>
  <c r="N40" i="1"/>
  <c r="N39" i="1"/>
  <c r="N38" i="1"/>
  <c r="T38" i="1" s="1"/>
  <c r="N37" i="1"/>
  <c r="N36" i="1"/>
  <c r="N35" i="1"/>
  <c r="N34" i="1"/>
  <c r="N33" i="1"/>
  <c r="N32" i="1"/>
  <c r="T32" i="1" s="1"/>
  <c r="N31" i="1"/>
  <c r="N30" i="1"/>
  <c r="M56" i="1"/>
  <c r="M55" i="1"/>
  <c r="M54" i="1"/>
  <c r="M53" i="1"/>
  <c r="M52" i="1"/>
  <c r="M51" i="1"/>
  <c r="M50" i="1"/>
  <c r="M49" i="1"/>
  <c r="M48" i="1"/>
  <c r="M47" i="1"/>
  <c r="T47" i="1" s="1"/>
  <c r="M46" i="1"/>
  <c r="M45" i="1"/>
  <c r="M44" i="1"/>
  <c r="M43" i="1"/>
  <c r="M42" i="1"/>
  <c r="M41" i="1"/>
  <c r="M40" i="1"/>
  <c r="M39" i="1"/>
  <c r="M38" i="1"/>
  <c r="M37" i="1"/>
  <c r="M36" i="1"/>
  <c r="T36" i="1" s="1"/>
  <c r="M35" i="1"/>
  <c r="M34" i="1"/>
  <c r="T34" i="1" s="1"/>
  <c r="M33" i="1"/>
  <c r="M32" i="1"/>
  <c r="M31" i="1"/>
  <c r="M30" i="1"/>
  <c r="I24" i="1"/>
  <c r="I25" i="1"/>
  <c r="I26" i="1"/>
  <c r="I27" i="1"/>
  <c r="I28" i="1"/>
  <c r="I29" i="1"/>
  <c r="M24" i="1"/>
  <c r="N24" i="1"/>
  <c r="O24" i="1"/>
  <c r="M25" i="1"/>
  <c r="N25" i="1"/>
  <c r="O25" i="1"/>
  <c r="M26" i="1"/>
  <c r="N26" i="1"/>
  <c r="O26" i="1"/>
  <c r="M27" i="1"/>
  <c r="N27" i="1"/>
  <c r="O27" i="1"/>
  <c r="M28" i="1"/>
  <c r="N28" i="1"/>
  <c r="O28" i="1"/>
  <c r="M29" i="1"/>
  <c r="N29" i="1"/>
  <c r="O29" i="1"/>
  <c r="T35" i="1" l="1"/>
  <c r="T33" i="1"/>
  <c r="T39" i="1"/>
  <c r="T43" i="1"/>
  <c r="T30" i="1"/>
  <c r="T40" i="1"/>
  <c r="T44" i="1"/>
  <c r="T50" i="1"/>
  <c r="T31" i="1"/>
  <c r="T37" i="1"/>
  <c r="T41" i="1"/>
  <c r="T45" i="1"/>
  <c r="T48" i="1"/>
  <c r="P28" i="1"/>
  <c r="Q28" i="1" s="1"/>
  <c r="P29" i="1"/>
  <c r="Q29" i="1" s="1"/>
  <c r="P25" i="1"/>
  <c r="T29" i="1"/>
  <c r="T26" i="1"/>
  <c r="T25" i="1"/>
  <c r="P24" i="1"/>
  <c r="T28" i="1"/>
  <c r="T27" i="1"/>
  <c r="T24" i="1"/>
  <c r="Q25" i="1"/>
  <c r="Q24" i="1"/>
  <c r="P26" i="1"/>
  <c r="Q26" i="1" s="1"/>
  <c r="P27" i="1"/>
  <c r="Q27" i="1" s="1"/>
  <c r="M22" i="1"/>
  <c r="N22" i="1"/>
  <c r="O22" i="1"/>
  <c r="M23" i="1"/>
  <c r="N23" i="1"/>
  <c r="O23" i="1"/>
  <c r="I22" i="1"/>
  <c r="I23" i="1"/>
  <c r="M21" i="1"/>
  <c r="O21" i="1"/>
  <c r="T22" i="1" l="1"/>
  <c r="T23" i="1"/>
  <c r="P23" i="1"/>
  <c r="Q23" i="1" s="1"/>
  <c r="P22" i="1"/>
  <c r="Q22" i="1" s="1"/>
  <c r="N21" i="1"/>
  <c r="N60" i="1" s="1"/>
  <c r="T21" i="1" l="1"/>
  <c r="T61" i="1" s="1"/>
  <c r="U21" i="1"/>
  <c r="U59" i="1" s="1"/>
  <c r="P21" i="1"/>
  <c r="Q21" i="1" s="1"/>
  <c r="L74" i="1"/>
  <c r="T62" i="1" l="1"/>
  <c r="T63" i="1" s="1"/>
  <c r="T64" i="1" s="1"/>
  <c r="W67" i="1"/>
  <c r="W68" i="1" s="1"/>
  <c r="P66" i="1" l="1"/>
  <c r="Q61" i="1" l="1"/>
  <c r="O20" i="1"/>
  <c r="M20" i="1"/>
  <c r="Q62" i="1" l="1"/>
  <c r="Q63" i="1" s="1"/>
  <c r="N65" i="1" s="1"/>
  <c r="P67" i="1"/>
  <c r="S71" i="1"/>
  <c r="S72" i="1" l="1"/>
  <c r="P68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P70" i="1"/>
  <c r="P69" i="1"/>
  <c r="F18" i="3" l="1"/>
  <c r="P65" i="1" l="1"/>
  <c r="P71" i="1" s="1"/>
  <c r="P73" i="1" s="1"/>
  <c r="D20" i="3" l="1"/>
  <c r="E20" i="3" s="1"/>
  <c r="E21" i="3" s="1"/>
  <c r="R20" i="1" l="1"/>
  <c r="D21" i="3"/>
  <c r="M43" i="3" s="1"/>
  <c r="D12" i="3" s="1"/>
  <c r="F20" i="3"/>
  <c r="F21" i="3" s="1"/>
  <c r="R31" i="1" l="1"/>
  <c r="S31" i="1" s="1"/>
  <c r="W31" i="1" s="1"/>
  <c r="R35" i="1"/>
  <c r="S35" i="1" s="1"/>
  <c r="W35" i="1" s="1"/>
  <c r="R39" i="1"/>
  <c r="S39" i="1" s="1"/>
  <c r="W39" i="1" s="1"/>
  <c r="R43" i="1"/>
  <c r="S43" i="1" s="1"/>
  <c r="W43" i="1" s="1"/>
  <c r="R47" i="1"/>
  <c r="S47" i="1" s="1"/>
  <c r="W47" i="1" s="1"/>
  <c r="R51" i="1"/>
  <c r="S51" i="1" s="1"/>
  <c r="W51" i="1" s="1"/>
  <c r="R55" i="1"/>
  <c r="S55" i="1" s="1"/>
  <c r="W55" i="1" s="1"/>
  <c r="R52" i="1"/>
  <c r="S52" i="1" s="1"/>
  <c r="W52" i="1" s="1"/>
  <c r="R56" i="1"/>
  <c r="S56" i="1" s="1"/>
  <c r="W56" i="1" s="1"/>
  <c r="R32" i="1"/>
  <c r="S32" i="1" s="1"/>
  <c r="W32" i="1" s="1"/>
  <c r="R36" i="1"/>
  <c r="S36" i="1" s="1"/>
  <c r="W36" i="1" s="1"/>
  <c r="R40" i="1"/>
  <c r="S40" i="1" s="1"/>
  <c r="W40" i="1" s="1"/>
  <c r="R44" i="1"/>
  <c r="S44" i="1" s="1"/>
  <c r="W44" i="1" s="1"/>
  <c r="R48" i="1"/>
  <c r="S48" i="1" s="1"/>
  <c r="W48" i="1" s="1"/>
  <c r="R34" i="1"/>
  <c r="S34" i="1" s="1"/>
  <c r="W34" i="1" s="1"/>
  <c r="R42" i="1"/>
  <c r="S42" i="1" s="1"/>
  <c r="W42" i="1" s="1"/>
  <c r="R46" i="1"/>
  <c r="S46" i="1" s="1"/>
  <c r="W46" i="1" s="1"/>
  <c r="R50" i="1"/>
  <c r="S50" i="1" s="1"/>
  <c r="W50" i="1" s="1"/>
  <c r="R54" i="1"/>
  <c r="S54" i="1" s="1"/>
  <c r="W54" i="1" s="1"/>
  <c r="R33" i="1"/>
  <c r="S33" i="1" s="1"/>
  <c r="W33" i="1" s="1"/>
  <c r="R37" i="1"/>
  <c r="S37" i="1" s="1"/>
  <c r="W37" i="1" s="1"/>
  <c r="R41" i="1"/>
  <c r="S41" i="1" s="1"/>
  <c r="W41" i="1" s="1"/>
  <c r="R45" i="1"/>
  <c r="S45" i="1" s="1"/>
  <c r="W45" i="1" s="1"/>
  <c r="R49" i="1"/>
  <c r="S49" i="1" s="1"/>
  <c r="W49" i="1" s="1"/>
  <c r="R53" i="1"/>
  <c r="S53" i="1" s="1"/>
  <c r="W53" i="1" s="1"/>
  <c r="R30" i="1"/>
  <c r="S30" i="1" s="1"/>
  <c r="W30" i="1" s="1"/>
  <c r="R38" i="1"/>
  <c r="S38" i="1" s="1"/>
  <c r="W38" i="1" s="1"/>
  <c r="R25" i="1"/>
  <c r="S25" i="1" s="1"/>
  <c r="W25" i="1" s="1"/>
  <c r="R29" i="1"/>
  <c r="S29" i="1" s="1"/>
  <c r="W29" i="1" s="1"/>
  <c r="R24" i="1"/>
  <c r="S24" i="1" s="1"/>
  <c r="W24" i="1" s="1"/>
  <c r="R28" i="1"/>
  <c r="S28" i="1" s="1"/>
  <c r="W28" i="1" s="1"/>
  <c r="R27" i="1"/>
  <c r="S27" i="1" s="1"/>
  <c r="W27" i="1" s="1"/>
  <c r="R26" i="1"/>
  <c r="S26" i="1" s="1"/>
  <c r="W26" i="1" s="1"/>
  <c r="R23" i="1"/>
  <c r="S23" i="1" s="1"/>
  <c r="W23" i="1" s="1"/>
  <c r="R22" i="1"/>
  <c r="S22" i="1" s="1"/>
  <c r="W22" i="1" s="1"/>
  <c r="P74" i="1"/>
  <c r="E15" i="3"/>
  <c r="R21" i="1" l="1"/>
  <c r="F15" i="3"/>
  <c r="S21" i="1" l="1"/>
  <c r="W21" i="1" s="1"/>
  <c r="W57" i="1" s="1"/>
  <c r="I21" i="1" l="1"/>
  <c r="I59" i="1" l="1"/>
  <c r="I60" i="1" s="1"/>
  <c r="I61" i="1" s="1"/>
  <c r="D11" i="3" l="1"/>
  <c r="X9" i="3" s="1"/>
  <c r="X15" i="3" s="1"/>
  <c r="M42" i="3" l="1"/>
  <c r="M46" i="3" s="1"/>
  <c r="M49" i="3" s="1"/>
  <c r="X14" i="3"/>
  <c r="X12" i="3"/>
  <c r="X11" i="3"/>
  <c r="X13" i="3"/>
  <c r="X16" i="3"/>
  <c r="E11" i="3"/>
  <c r="D40" i="3" s="1"/>
  <c r="E13" i="3"/>
  <c r="D13" i="3"/>
  <c r="F11" i="3" l="1"/>
</calcChain>
</file>

<file path=xl/sharedStrings.xml><?xml version="1.0" encoding="utf-8"?>
<sst xmlns="http://schemas.openxmlformats.org/spreadsheetml/2006/main" count="340" uniqueCount="188">
  <si>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</si>
  <si>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</si>
  <si>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</si>
  <si>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</si>
  <si>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</si>
  <si>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</si>
  <si>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</si>
  <si>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</si>
  <si>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</si>
  <si>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</si>
  <si>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</si>
  <si>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</si>
  <si>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</si>
  <si>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</si>
  <si>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</si>
  <si>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</si>
  <si>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</si>
  <si>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</si>
  <si>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</si>
  <si>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</si>
  <si>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</si>
  <si>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</si>
  <si>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</si>
  <si>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</si>
  <si>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</si>
  <si>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</si>
  <si>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</si>
  <si>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</si>
  <si>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</si>
  <si>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</si>
  <si>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</si>
  <si>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</si>
  <si>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</si>
  <si>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</si>
  <si>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</si>
  <si>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</si>
  <si>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</si>
  <si>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</si>
  <si>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</si>
  <si>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</si>
  <si>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</si>
  <si>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</si>
  <si>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</si>
  <si>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</si>
  <si>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</si>
  <si>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</si>
  <si>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</si>
  <si>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</si>
  <si>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</si>
  <si>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</si>
  <si>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</si>
  <si>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</si>
  <si>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</si>
  <si>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</si>
  <si>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</si>
  <si>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</si>
  <si>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</si>
  <si>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</si>
  <si>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</si>
  <si>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</si>
  <si>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</si>
  <si>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</si>
  <si>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</si>
  <si>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</si>
  <si>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</si>
  <si>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</si>
  <si>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</si>
  <si>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</si>
  <si>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</si>
  <si>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</si>
  <si>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</si>
  <si>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</si>
  <si>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</si>
  <si>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</si>
  <si>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</si>
  <si>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</si>
  <si>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</si>
  <si>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</si>
  <si>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</si>
  <si>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</si>
  <si>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</si>
  <si>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</si>
  <si>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</si>
  <si>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</si>
  <si>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</si>
  <si>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</si>
  <si>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</si>
  <si>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</si>
  <si>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</si>
  <si>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</si>
  <si>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</si>
  <si>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</si>
  <si>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</si>
  <si>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</si>
  <si>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</si>
  <si>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</si>
  <si>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</si>
  <si>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</si>
  <si>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</si>
  <si>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</si>
  <si>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</si>
  <si>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</si>
  <si>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</si>
  <si>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</si>
  <si>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</si>
  <si>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</si>
  <si>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</si>
  <si>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</si>
  <si>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</si>
  <si>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</si>
  <si>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</si>
  <si>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</si>
  <si>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</si>
  <si>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</si>
  <si>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</si>
  <si>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</si>
  <si>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</si>
  <si>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</si>
  <si>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</si>
  <si>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</si>
  <si>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</si>
  <si>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</si>
  <si>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</si>
  <si>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</si>
  <si>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</si>
  <si>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</si>
  <si>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</si>
  <si>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</si>
  <si>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</si>
  <si>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</si>
  <si>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</si>
  <si>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</si>
  <si>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</si>
  <si>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</si>
  <si>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</si>
  <si>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</si>
  <si>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</si>
  <si>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</si>
  <si>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</si>
  <si>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</si>
  <si>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</si>
  <si>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</si>
  <si>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</si>
  <si>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</si>
  <si>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</si>
  <si>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</si>
  <si>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</si>
  <si>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</si>
  <si>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</si>
  <si>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</si>
  <si>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</si>
  <si>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</si>
  <si>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</si>
  <si>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</si>
  <si>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</si>
  <si>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</si>
  <si>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</si>
  <si>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</si>
  <si>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</si>
  <si>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</si>
  <si>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</si>
  <si>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</si>
  <si>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</si>
  <si>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</si>
  <si>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</si>
  <si>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SISTEMA MUEBLES</t>
  </si>
  <si>
    <t>LAMINA 153X366</t>
  </si>
  <si>
    <t>alternativa 2</t>
  </si>
  <si>
    <t>19 de 153x366</t>
  </si>
  <si>
    <t>MARIOLI CONCHA</t>
  </si>
  <si>
    <t>+569 9408 2633</t>
  </si>
  <si>
    <t>A CONVENIR</t>
  </si>
  <si>
    <t>PUMIC GREY 21321 TRASCARA BLANCO OPACO</t>
  </si>
  <si>
    <t>CUB C/R 90° R8 MDF 25MM</t>
  </si>
  <si>
    <t>CUB S/R 180° MDF 25MM</t>
  </si>
  <si>
    <t>M03</t>
  </si>
  <si>
    <t>M03A</t>
  </si>
  <si>
    <t>M04</t>
  </si>
  <si>
    <t>M05</t>
  </si>
  <si>
    <t>M06</t>
  </si>
  <si>
    <t>M04A</t>
  </si>
  <si>
    <t>M05A</t>
  </si>
  <si>
    <t>M21</t>
  </si>
  <si>
    <t>M22</t>
  </si>
  <si>
    <t>MESON MDF18MM</t>
  </si>
  <si>
    <t>BLANCO</t>
  </si>
  <si>
    <t>MDF 25MM</t>
  </si>
  <si>
    <t>N° 11391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</si>
</sst>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6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" fillId="2" borderId="0" xfId="0" applyNumberFormat="1" applyFon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0" fontId="32" fillId="18" borderId="1" xfId="0" applyFont="1" applyFill="1" applyBorder="1" applyAlignment="1">
      <alignment horizontal="center" vertical="center"/>
    </xf>
    <xf numFmtId="166" fontId="32" fillId="18" borderId="1" xfId="0" applyNumberFormat="1" applyFont="1" applyFill="1" applyBorder="1" applyAlignment="1">
      <alignment horizontal="center" vertical="center"/>
    </xf>
    <xf numFmtId="166" fontId="32" fillId="0" borderId="4" xfId="0" applyNumberFormat="1" applyFont="1" applyFill="1" applyBorder="1" applyAlignment="1">
      <alignment horizontal="center" vertical="center"/>
    </xf>
    <xf numFmtId="167" fontId="0" fillId="3" borderId="0" xfId="0" applyNumberFormat="1" applyFill="1"/>
    <xf numFmtId="166" fontId="3" fillId="3" borderId="0" xfId="0" applyNumberFormat="1" applyFont="1" applyFill="1"/>
    <xf numFmtId="0" fontId="21" fillId="3" borderId="0" xfId="0" applyFont="1" applyFill="1" applyAlignment="1">
      <alignment horizontal="center" vertical="center"/>
    </xf>
    <xf numFmtId="167" fontId="0" fillId="21" borderId="0" xfId="0" applyNumberFormat="1" applyFill="1"/>
    <xf numFmtId="166" fontId="3" fillId="21" borderId="0" xfId="0" applyNumberFormat="1" applyFont="1" applyFill="1"/>
    <xf numFmtId="0" fontId="21" fillId="21" borderId="0" xfId="0" applyFont="1" applyFill="1" applyAlignment="1">
      <alignment horizontal="center" vertical="center"/>
    </xf>
    <xf numFmtId="167" fontId="0" fillId="13" borderId="0" xfId="0" applyNumberFormat="1" applyFill="1"/>
    <xf numFmtId="166" fontId="3" fillId="13" borderId="0" xfId="0" applyNumberFormat="1" applyFont="1" applyFill="1"/>
    <xf numFmtId="0" fontId="21" fillId="13" borderId="0" xfId="0" applyFont="1" applyFill="1" applyAlignment="1">
      <alignment horizontal="center" vertical="center"/>
    </xf>
    <xf numFmtId="166" fontId="3" fillId="6" borderId="0" xfId="0" applyNumberFormat="1" applyFont="1" applyFill="1"/>
    <xf numFmtId="166" fontId="3" fillId="16" borderId="0" xfId="0" applyNumberFormat="1" applyFont="1" applyFill="1"/>
    <xf numFmtId="0" fontId="21" fillId="16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0" fontId="32" fillId="0" borderId="1" xfId="0" applyFont="1" applyFill="1" applyBorder="1" applyAlignment="1">
      <alignment horizontal="center" vertical="center"/>
    </xf>
    <xf numFmtId="41" fontId="0" fillId="0" borderId="0" xfId="4" applyFont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B36D98"/>
      <color rgb="FF8BCD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62</xdr:row>
      <xdr:rowOff>8194</xdr:rowOff>
    </xdr:from>
    <xdr:to>
      <xdr:col>9</xdr:col>
      <xdr:colOff>8193</xdr:colOff>
      <xdr:row>65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7</xdr:col>
      <xdr:colOff>222885</xdr:colOff>
      <xdr:row>64</xdr:row>
      <xdr:rowOff>154305</xdr:rowOff>
    </xdr:from>
    <xdr:to>
      <xdr:col>8</xdr:col>
      <xdr:colOff>853440</xdr:colOff>
      <xdr:row>64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62</xdr:row>
      <xdr:rowOff>9525</xdr:rowOff>
    </xdr:from>
    <xdr:to>
      <xdr:col>6</xdr:col>
      <xdr:colOff>1745226</xdr:colOff>
      <xdr:row>65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58</xdr:row>
      <xdr:rowOff>9525</xdr:rowOff>
    </xdr:from>
    <xdr:to>
      <xdr:col>6</xdr:col>
      <xdr:colOff>1728839</xdr:colOff>
      <xdr:row>61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25MM TRASCARA BLANCO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Z616"/>
  <sheetViews>
    <sheetView tabSelected="1" topLeftCell="A2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0.88671875" customWidth="1"/>
    <col min="4" max="4" width="11.109375" customWidth="1"/>
    <col min="5" max="6" width="10.5546875" customWidth="1"/>
    <col min="7" max="7" width="40.33203125" customWidth="1"/>
    <col min="8" max="8" width="14" customWidth="1"/>
    <col min="9" max="10" width="15.44140625" customWidth="1"/>
    <col min="11" max="11" width="13.44140625" customWidth="1"/>
    <col min="13" max="13" width="9.5546875" style="18" customWidth="1"/>
    <col min="14" max="14" width="8.88671875" customWidth="1"/>
    <col min="15" max="15" width="8.33203125" customWidth="1"/>
    <col min="16" max="16" width="9.44140625" customWidth="1"/>
    <col min="17" max="17" width="7.6640625" customWidth="1"/>
    <col min="18" max="18" width="9.44140625" customWidth="1"/>
    <col min="19" max="19" width="10.109375" customWidth="1"/>
    <col min="20" max="20" width="8.88671875" customWidth="1"/>
    <col min="21" max="21" width="9.6640625" customWidth="1"/>
    <col min="22" max="22" width="9.33203125" customWidth="1"/>
    <col min="23" max="23" width="12.44140625" customWidth="1"/>
    <col min="24" max="24" width="10.88671875" customWidth="1"/>
    <col min="25" max="25" width="10.44140625" customWidth="1"/>
    <col min="26" max="26" width="9" customWidth="1"/>
  </cols>
  <sheetData>
    <row r="2" spans="2:25" ht="15.6" x14ac:dyDescent="0.3">
      <c r="G2" s="242" t="s">
        <v>140</v>
      </c>
      <c r="R2" s="2"/>
      <c r="S2" s="2"/>
      <c r="T2" s="3"/>
      <c r="U2" s="3"/>
      <c r="V2" s="2"/>
      <c r="W2" s="2"/>
      <c r="X2" s="3"/>
      <c r="Y2" s="4"/>
    </row>
    <row r="3" spans="2:25" x14ac:dyDescent="0.3">
      <c r="G3" s="59" t="s">
        <v>137</v>
      </c>
      <c r="R3" s="2"/>
      <c r="S3" s="2"/>
      <c r="T3" s="3"/>
      <c r="U3" s="3"/>
      <c r="V3" s="2"/>
      <c r="W3" s="2"/>
      <c r="X3" s="3"/>
      <c r="Y3" s="4"/>
    </row>
    <row r="4" spans="2:25" x14ac:dyDescent="0.3">
      <c r="G4" s="59" t="s">
        <v>141</v>
      </c>
      <c r="R4" s="2"/>
      <c r="S4" s="2"/>
      <c r="T4" s="3"/>
      <c r="U4" s="3"/>
      <c r="V4" s="2"/>
      <c r="W4" s="2"/>
      <c r="X4" s="3"/>
      <c r="Y4" s="4"/>
    </row>
    <row r="5" spans="2:25" x14ac:dyDescent="0.3">
      <c r="G5" s="59" t="s">
        <v>14</v>
      </c>
      <c r="R5" s="2"/>
      <c r="S5" s="2"/>
      <c r="T5" s="3"/>
      <c r="U5" s="3"/>
      <c r="V5" s="2"/>
      <c r="W5" s="2"/>
      <c r="X5" s="3"/>
      <c r="Y5" s="4"/>
    </row>
    <row r="6" spans="2:25" ht="15.6" x14ac:dyDescent="0.3">
      <c r="G6" s="59" t="s">
        <v>162</v>
      </c>
      <c r="P6" s="33" t="s">
        <v>19</v>
      </c>
      <c r="R6" s="2"/>
      <c r="S6" s="2"/>
      <c r="T6" s="3"/>
      <c r="U6" s="3"/>
      <c r="V6" s="2"/>
      <c r="W6" s="2"/>
      <c r="X6" s="3"/>
    </row>
    <row r="7" spans="2:25" ht="15" thickBot="1" x14ac:dyDescent="0.35">
      <c r="G7" s="59" t="s">
        <v>123</v>
      </c>
      <c r="R7" s="2"/>
      <c r="S7" s="2"/>
      <c r="T7" s="3"/>
      <c r="U7" s="3"/>
      <c r="V7" s="2"/>
      <c r="W7" s="2"/>
      <c r="X7" s="3"/>
    </row>
    <row r="8" spans="2:25" ht="21.6" thickBot="1" x14ac:dyDescent="0.45">
      <c r="B8" s="291" t="s">
        <v>125</v>
      </c>
      <c r="C8" s="292"/>
      <c r="D8" s="329" t="s">
        <v>187</v>
      </c>
      <c r="G8" s="59"/>
      <c r="L8" s="52"/>
      <c r="S8" s="2"/>
      <c r="T8" s="3"/>
      <c r="U8" s="3"/>
      <c r="V8" s="2"/>
      <c r="W8" s="2"/>
      <c r="X8" s="3"/>
    </row>
    <row r="9" spans="2:25" ht="15" thickBot="1" x14ac:dyDescent="0.35">
      <c r="S9" s="2"/>
      <c r="T9" s="3"/>
      <c r="U9" s="3"/>
      <c r="V9" s="4"/>
      <c r="W9" s="2"/>
      <c r="X9" s="3"/>
    </row>
    <row r="10" spans="2:25" x14ac:dyDescent="0.3">
      <c r="B10" s="305" t="s">
        <v>160</v>
      </c>
      <c r="C10" s="278" t="s">
        <v>165</v>
      </c>
      <c r="D10" s="243"/>
      <c r="E10" s="243"/>
      <c r="F10" s="243"/>
      <c r="G10" s="244" t="s">
        <v>0</v>
      </c>
      <c r="H10" s="276">
        <v>45757</v>
      </c>
      <c r="I10" s="245"/>
      <c r="L10" s="1"/>
      <c r="S10" s="2"/>
      <c r="T10" s="3"/>
      <c r="U10" s="3"/>
      <c r="V10" s="4"/>
      <c r="W10" s="2"/>
      <c r="X10" s="3"/>
    </row>
    <row r="11" spans="2:25" ht="16.8" x14ac:dyDescent="0.4">
      <c r="B11" s="287" t="s">
        <v>12</v>
      </c>
      <c r="C11" s="298"/>
      <c r="G11" t="s">
        <v>122</v>
      </c>
      <c r="H11" s="288" t="s">
        <v>171</v>
      </c>
      <c r="I11" s="289"/>
      <c r="R11" s="19"/>
      <c r="S11" s="25" t="s">
        <v>18</v>
      </c>
      <c r="T11" s="19"/>
    </row>
    <row r="12" spans="2:25" ht="16.8" x14ac:dyDescent="0.4">
      <c r="B12" s="246" t="s">
        <v>143</v>
      </c>
      <c r="C12" s="306"/>
      <c r="D12" s="247"/>
      <c r="E12" s="247"/>
      <c r="F12" s="247"/>
      <c r="G12" s="247" t="s">
        <v>126</v>
      </c>
      <c r="H12" s="277" t="s">
        <v>134</v>
      </c>
      <c r="I12" s="248"/>
      <c r="R12" s="19"/>
      <c r="S12" s="25"/>
      <c r="T12" s="19"/>
    </row>
    <row r="13" spans="2:25" x14ac:dyDescent="0.3">
      <c r="B13" s="287" t="s">
        <v>144</v>
      </c>
      <c r="C13" t="s">
        <v>169</v>
      </c>
      <c r="H13" s="307"/>
      <c r="I13" s="289"/>
      <c r="R13" s="19"/>
      <c r="S13" s="25"/>
      <c r="T13" s="19"/>
    </row>
    <row r="14" spans="2:25" x14ac:dyDescent="0.3">
      <c r="B14" s="246" t="s">
        <v>138</v>
      </c>
      <c r="C14" s="314"/>
      <c r="D14" s="247"/>
      <c r="E14" s="247"/>
      <c r="F14" s="247"/>
      <c r="G14" s="315" t="s">
        <v>135</v>
      </c>
      <c r="H14" s="290" t="s">
        <v>134</v>
      </c>
      <c r="I14" s="248"/>
      <c r="L14" s="29"/>
      <c r="R14" s="20"/>
      <c r="S14" s="26" t="s">
        <v>17</v>
      </c>
      <c r="T14" s="20"/>
    </row>
    <row r="15" spans="2:25" ht="15.6" x14ac:dyDescent="0.3">
      <c r="B15" s="287" t="s">
        <v>4</v>
      </c>
      <c r="C15" s="309" t="s">
        <v>170</v>
      </c>
      <c r="D15" s="310"/>
      <c r="G15" t="s">
        <v>133</v>
      </c>
      <c r="H15" s="308" t="s">
        <v>134</v>
      </c>
      <c r="I15" s="289"/>
    </row>
    <row r="16" spans="2:25" ht="16.8" x14ac:dyDescent="0.4">
      <c r="B16" s="316" t="s">
        <v>3</v>
      </c>
      <c r="C16" s="306"/>
      <c r="D16" s="247"/>
      <c r="E16" s="247"/>
      <c r="F16" s="247"/>
      <c r="G16" s="317" t="s">
        <v>128</v>
      </c>
      <c r="H16" s="318" t="s">
        <v>161</v>
      </c>
      <c r="I16" s="248"/>
    </row>
    <row r="17" spans="2:26" ht="15" thickBot="1" x14ac:dyDescent="0.35">
      <c r="B17" s="311" t="s">
        <v>13</v>
      </c>
      <c r="C17" s="312" t="s">
        <v>164</v>
      </c>
      <c r="D17" s="313"/>
      <c r="E17" s="119"/>
      <c r="F17" s="119"/>
      <c r="G17" s="334" t="s">
        <v>163</v>
      </c>
      <c r="H17" s="334"/>
      <c r="I17" s="335"/>
      <c r="J17" s="263"/>
      <c r="K17" s="263"/>
      <c r="U17" s="6"/>
      <c r="V17" s="6"/>
    </row>
    <row r="18" spans="2:26" ht="15.75" customHeight="1" thickBot="1" x14ac:dyDescent="0.35">
      <c r="K18" s="47"/>
      <c r="L18" s="5"/>
      <c r="W18" s="9"/>
      <c r="Y18" s="6"/>
      <c r="Z18" s="6"/>
    </row>
    <row r="19" spans="2:26" ht="13.5" customHeight="1" thickBot="1" x14ac:dyDescent="0.35">
      <c r="B19" s="336" t="s">
        <v>94</v>
      </c>
      <c r="C19" s="337"/>
      <c r="D19" s="337"/>
      <c r="E19" s="337"/>
      <c r="F19" s="337"/>
      <c r="G19" s="337"/>
      <c r="H19" s="337"/>
      <c r="I19" s="338"/>
      <c r="J19" s="264"/>
      <c r="K19" s="264"/>
      <c r="L19" s="5"/>
      <c r="M19" s="250"/>
      <c r="N19" s="14">
        <v>0.08</v>
      </c>
      <c r="O19" s="14"/>
      <c r="P19" s="14"/>
      <c r="Q19" s="251" t="s">
        <v>6</v>
      </c>
      <c r="R19" s="36" t="s">
        <v>20</v>
      </c>
      <c r="S19" s="37" t="s">
        <v>132</v>
      </c>
      <c r="T19" s="10" t="s">
        <v>136</v>
      </c>
      <c r="V19" s="9"/>
      <c r="W19" s="9"/>
      <c r="Y19" s="6"/>
      <c r="Z19" s="6"/>
    </row>
    <row r="20" spans="2:26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/>
      <c r="G20" s="327" t="s">
        <v>8</v>
      </c>
      <c r="H20" s="327" t="s">
        <v>5</v>
      </c>
      <c r="I20" s="328" t="s">
        <v>6</v>
      </c>
      <c r="J20" s="265"/>
      <c r="K20" s="265"/>
      <c r="L20" s="47"/>
      <c r="M20" s="268" t="str">
        <f>B20</f>
        <v>UNIDAD</v>
      </c>
      <c r="N20" s="267" t="s">
        <v>130</v>
      </c>
      <c r="O20" s="39" t="str">
        <f t="shared" ref="O20" si="0">E20</f>
        <v>ANCHO</v>
      </c>
      <c r="P20" s="261" t="s">
        <v>131</v>
      </c>
      <c r="Q20" s="259" t="s">
        <v>16</v>
      </c>
      <c r="R20" s="252">
        <f>P73</f>
        <v>132809.65450281047</v>
      </c>
      <c r="S20" s="258">
        <v>3000</v>
      </c>
      <c r="T20" s="38"/>
      <c r="U20" s="14" t="s">
        <v>127</v>
      </c>
      <c r="V20" s="9"/>
      <c r="Y20" s="4"/>
    </row>
    <row r="21" spans="2:26" ht="17.399999999999999" x14ac:dyDescent="0.3">
      <c r="B21" s="330">
        <v>1</v>
      </c>
      <c r="C21" s="330" t="s">
        <v>173</v>
      </c>
      <c r="D21" s="333">
        <v>1.05</v>
      </c>
      <c r="E21" s="333">
        <v>0.6</v>
      </c>
      <c r="F21" s="333" t="s">
        <v>175</v>
      </c>
      <c r="G21" s="346" t="s">
        <v>172</v>
      </c>
      <c r="H21" s="331">
        <v>93045</v>
      </c>
      <c r="I21" s="331">
        <f>H21*B21</f>
        <v>93045</v>
      </c>
      <c r="J21" s="320"/>
      <c r="K21" s="265"/>
      <c r="L21" s="47"/>
      <c r="M21" s="353">
        <f>B21</f>
        <v>1</v>
      </c>
      <c r="N21" s="359">
        <f>D21+N$19</f>
        <v>1.1300000000000001</v>
      </c>
      <c r="O21" s="354">
        <f>E21+$O$19</f>
        <v>0.6</v>
      </c>
      <c r="P21" s="261">
        <f t="shared" ref="P21" si="1">N21*O21</f>
        <v>0.67800000000000005</v>
      </c>
      <c r="Q21" s="259">
        <f t="shared" ref="Q21" si="2">P21*M21</f>
        <v>0.67800000000000005</v>
      </c>
      <c r="R21" s="252">
        <f t="shared" ref="R21" si="3">R$20*P21</f>
        <v>90044.945752905507</v>
      </c>
      <c r="S21" s="319">
        <f t="shared" ref="S21" si="4">R21+S$20</f>
        <v>93044.945752905507</v>
      </c>
      <c r="T21" s="297">
        <f t="shared" ref="T21:T56" si="5">M21*N21*2</f>
        <v>2.2600000000000002</v>
      </c>
      <c r="U21" s="46">
        <f>O21*2*M21*2</f>
        <v>2.4</v>
      </c>
      <c r="V21" s="9"/>
      <c r="W21" s="365">
        <f>M21*S21</f>
        <v>93044.945752905507</v>
      </c>
      <c r="Y21" s="4"/>
    </row>
    <row r="22" spans="2:26" ht="17.399999999999999" x14ac:dyDescent="0.3">
      <c r="B22" s="330">
        <v>1</v>
      </c>
      <c r="C22" s="330" t="s">
        <v>173</v>
      </c>
      <c r="D22" s="333">
        <v>1.2</v>
      </c>
      <c r="E22" s="333">
        <v>0.6</v>
      </c>
      <c r="F22" s="333" t="s">
        <v>175</v>
      </c>
      <c r="G22" s="346" t="s">
        <v>172</v>
      </c>
      <c r="H22" s="331">
        <v>104998</v>
      </c>
      <c r="I22" s="331">
        <f t="shared" ref="I22:I56" si="6">H22*B22</f>
        <v>104998</v>
      </c>
      <c r="J22" s="320"/>
      <c r="K22" s="265"/>
      <c r="L22" s="47"/>
      <c r="M22" s="353">
        <f t="shared" ref="M22:M23" si="7">B22</f>
        <v>1</v>
      </c>
      <c r="N22" s="359">
        <f t="shared" ref="N22:N23" si="8">D22+N$19</f>
        <v>1.28</v>
      </c>
      <c r="O22" s="354">
        <f t="shared" ref="O22:O23" si="9">E22+$O$19</f>
        <v>0.6</v>
      </c>
      <c r="P22" s="261">
        <f t="shared" ref="P22:P23" si="10">N22*O22</f>
        <v>0.76800000000000002</v>
      </c>
      <c r="Q22" s="259">
        <f t="shared" ref="Q22:Q23" si="11">P22*M22</f>
        <v>0.76800000000000002</v>
      </c>
      <c r="R22" s="252">
        <f t="shared" ref="R22:R23" si="12">R$20*P22</f>
        <v>101997.81465815844</v>
      </c>
      <c r="S22" s="319">
        <f t="shared" ref="S22:S23" si="13">R22+S$20</f>
        <v>104997.81465815844</v>
      </c>
      <c r="T22" s="297">
        <f t="shared" si="5"/>
        <v>2.56</v>
      </c>
      <c r="U22" s="46"/>
      <c r="V22" s="9"/>
      <c r="W22" s="365">
        <f t="shared" ref="W22:W56" si="14">M22*S22</f>
        <v>104997.81465815844</v>
      </c>
      <c r="Y22" s="4"/>
    </row>
    <row r="23" spans="2:26" ht="17.399999999999999" x14ac:dyDescent="0.3">
      <c r="B23" s="330">
        <v>3</v>
      </c>
      <c r="C23" s="330" t="s">
        <v>173</v>
      </c>
      <c r="D23" s="333">
        <v>1.3</v>
      </c>
      <c r="E23" s="333">
        <v>0.6</v>
      </c>
      <c r="F23" s="333" t="s">
        <v>175</v>
      </c>
      <c r="G23" s="346" t="s">
        <v>172</v>
      </c>
      <c r="H23" s="331">
        <v>112966</v>
      </c>
      <c r="I23" s="331">
        <f t="shared" si="6"/>
        <v>338898</v>
      </c>
      <c r="J23" s="320"/>
      <c r="K23" s="265"/>
      <c r="L23" s="47"/>
      <c r="M23" s="353">
        <f t="shared" si="7"/>
        <v>3</v>
      </c>
      <c r="N23" s="359">
        <f t="shared" si="8"/>
        <v>1.3800000000000001</v>
      </c>
      <c r="O23" s="354">
        <f t="shared" si="9"/>
        <v>0.6</v>
      </c>
      <c r="P23" s="261">
        <f t="shared" si="10"/>
        <v>0.82800000000000007</v>
      </c>
      <c r="Q23" s="259">
        <f t="shared" si="11"/>
        <v>2.484</v>
      </c>
      <c r="R23" s="252">
        <f t="shared" si="12"/>
        <v>109966.39392832709</v>
      </c>
      <c r="S23" s="319">
        <f t="shared" si="13"/>
        <v>112966.39392832709</v>
      </c>
      <c r="T23" s="297">
        <f t="shared" si="5"/>
        <v>8.2800000000000011</v>
      </c>
      <c r="U23" s="46"/>
      <c r="V23" s="9"/>
      <c r="W23" s="365">
        <f t="shared" si="14"/>
        <v>338899.18178498128</v>
      </c>
      <c r="Y23" s="4"/>
    </row>
    <row r="24" spans="2:26" ht="17.399999999999999" x14ac:dyDescent="0.3">
      <c r="B24" s="330">
        <v>15</v>
      </c>
      <c r="C24" s="330" t="s">
        <v>173</v>
      </c>
      <c r="D24" s="333">
        <v>1.5</v>
      </c>
      <c r="E24" s="333">
        <v>0.6</v>
      </c>
      <c r="F24" s="333" t="s">
        <v>175</v>
      </c>
      <c r="G24" s="346" t="s">
        <v>172</v>
      </c>
      <c r="H24" s="331">
        <v>128904</v>
      </c>
      <c r="I24" s="331">
        <f t="shared" si="6"/>
        <v>1933560</v>
      </c>
      <c r="J24" s="320"/>
      <c r="K24" s="265"/>
      <c r="L24" s="47"/>
      <c r="M24" s="353">
        <f t="shared" ref="M24:M56" si="15">B24</f>
        <v>15</v>
      </c>
      <c r="N24" s="359">
        <f t="shared" ref="N24:N56" si="16">D24+N$19</f>
        <v>1.58</v>
      </c>
      <c r="O24" s="354">
        <f t="shared" ref="O24:O29" si="17">E24+$O$19</f>
        <v>0.6</v>
      </c>
      <c r="P24" s="261">
        <f t="shared" ref="P24:P29" si="18">N24*O24</f>
        <v>0.94799999999999995</v>
      </c>
      <c r="Q24" s="259">
        <f t="shared" ref="Q24:Q29" si="19">P24*M24</f>
        <v>14.219999999999999</v>
      </c>
      <c r="R24" s="252">
        <f t="shared" ref="R24:R29" si="20">R$20*P24</f>
        <v>125903.55246866432</v>
      </c>
      <c r="S24" s="319">
        <f t="shared" ref="S24:S29" si="21">R24+S$20</f>
        <v>128903.55246866432</v>
      </c>
      <c r="T24" s="297">
        <f t="shared" si="5"/>
        <v>47.400000000000006</v>
      </c>
      <c r="U24" s="46"/>
      <c r="V24" s="9"/>
      <c r="W24" s="365">
        <f t="shared" si="14"/>
        <v>1933553.2870299648</v>
      </c>
      <c r="Y24" s="4"/>
    </row>
    <row r="25" spans="2:26" ht="17.399999999999999" x14ac:dyDescent="0.3">
      <c r="B25" s="330">
        <v>1</v>
      </c>
      <c r="C25" s="330" t="s">
        <v>173</v>
      </c>
      <c r="D25" s="333">
        <v>1.65</v>
      </c>
      <c r="E25" s="333">
        <v>0.6</v>
      </c>
      <c r="F25" s="333" t="s">
        <v>175</v>
      </c>
      <c r="G25" s="346" t="s">
        <v>172</v>
      </c>
      <c r="H25" s="331">
        <v>140856</v>
      </c>
      <c r="I25" s="331">
        <f t="shared" si="6"/>
        <v>140856</v>
      </c>
      <c r="J25" s="320"/>
      <c r="K25" s="265"/>
      <c r="L25" s="47"/>
      <c r="M25" s="356">
        <f t="shared" si="15"/>
        <v>1</v>
      </c>
      <c r="N25" s="360">
        <f t="shared" si="16"/>
        <v>1.73</v>
      </c>
      <c r="O25" s="357">
        <f t="shared" si="17"/>
        <v>0.6</v>
      </c>
      <c r="P25" s="261">
        <f t="shared" si="18"/>
        <v>1.038</v>
      </c>
      <c r="Q25" s="259">
        <f t="shared" si="19"/>
        <v>1.038</v>
      </c>
      <c r="R25" s="252">
        <f t="shared" si="20"/>
        <v>137856.42137391728</v>
      </c>
      <c r="S25" s="319">
        <f t="shared" si="21"/>
        <v>140856.42137391728</v>
      </c>
      <c r="T25" s="297">
        <f t="shared" si="5"/>
        <v>3.46</v>
      </c>
      <c r="U25" s="46"/>
      <c r="V25" s="9"/>
      <c r="W25" s="365">
        <f t="shared" si="14"/>
        <v>140856.42137391728</v>
      </c>
      <c r="Y25" s="4"/>
    </row>
    <row r="26" spans="2:26" ht="17.399999999999999" x14ac:dyDescent="0.3">
      <c r="B26" s="330">
        <v>1</v>
      </c>
      <c r="C26" s="330" t="s">
        <v>173</v>
      </c>
      <c r="D26" s="333">
        <v>2.2000000000000002</v>
      </c>
      <c r="E26" s="333">
        <v>0.6</v>
      </c>
      <c r="F26" s="333" t="s">
        <v>175</v>
      </c>
      <c r="G26" s="346" t="s">
        <v>172</v>
      </c>
      <c r="H26" s="331">
        <v>184684</v>
      </c>
      <c r="I26" s="331">
        <f t="shared" si="6"/>
        <v>184684</v>
      </c>
      <c r="J26" s="320"/>
      <c r="K26" s="265"/>
      <c r="L26" s="47"/>
      <c r="M26" s="350">
        <f t="shared" si="15"/>
        <v>1</v>
      </c>
      <c r="N26" s="360">
        <f t="shared" si="16"/>
        <v>2.2800000000000002</v>
      </c>
      <c r="O26" s="351">
        <f t="shared" si="17"/>
        <v>0.6</v>
      </c>
      <c r="P26" s="261">
        <f t="shared" si="18"/>
        <v>1.3680000000000001</v>
      </c>
      <c r="Q26" s="259">
        <f t="shared" si="19"/>
        <v>1.3680000000000001</v>
      </c>
      <c r="R26" s="252">
        <f t="shared" si="20"/>
        <v>181683.60735984475</v>
      </c>
      <c r="S26" s="319">
        <f t="shared" si="21"/>
        <v>184683.60735984475</v>
      </c>
      <c r="T26" s="297">
        <f t="shared" si="5"/>
        <v>4.5600000000000005</v>
      </c>
      <c r="U26" s="46"/>
      <c r="V26" s="9"/>
      <c r="W26" s="365">
        <f t="shared" si="14"/>
        <v>184683.60735984475</v>
      </c>
      <c r="Y26" s="4"/>
    </row>
    <row r="27" spans="2:26" ht="17.399999999999999" x14ac:dyDescent="0.3">
      <c r="B27" s="347">
        <v>1</v>
      </c>
      <c r="C27" s="347" t="s">
        <v>173</v>
      </c>
      <c r="D27" s="348">
        <v>2.4</v>
      </c>
      <c r="E27" s="348">
        <v>0.6</v>
      </c>
      <c r="F27" s="333" t="s">
        <v>176</v>
      </c>
      <c r="G27" s="346" t="s">
        <v>172</v>
      </c>
      <c r="H27" s="331">
        <v>200621</v>
      </c>
      <c r="I27" s="331">
        <f t="shared" si="6"/>
        <v>200621</v>
      </c>
      <c r="J27" s="320"/>
      <c r="K27" s="265"/>
      <c r="L27" s="47"/>
      <c r="M27" s="350">
        <f t="shared" si="15"/>
        <v>1</v>
      </c>
      <c r="N27" s="360">
        <f t="shared" si="16"/>
        <v>2.48</v>
      </c>
      <c r="O27" s="351">
        <f t="shared" si="17"/>
        <v>0.6</v>
      </c>
      <c r="P27" s="261">
        <f t="shared" si="18"/>
        <v>1.488</v>
      </c>
      <c r="Q27" s="259">
        <f t="shared" si="19"/>
        <v>1.488</v>
      </c>
      <c r="R27" s="252">
        <f t="shared" si="20"/>
        <v>197620.76590018198</v>
      </c>
      <c r="S27" s="319">
        <f t="shared" si="21"/>
        <v>200620.76590018198</v>
      </c>
      <c r="T27" s="297">
        <f t="shared" si="5"/>
        <v>4.96</v>
      </c>
      <c r="U27" s="46"/>
      <c r="V27" s="9"/>
      <c r="W27" s="365">
        <f t="shared" si="14"/>
        <v>200620.76590018198</v>
      </c>
      <c r="Y27" s="4"/>
    </row>
    <row r="28" spans="2:26" ht="17.399999999999999" x14ac:dyDescent="0.3">
      <c r="B28" s="347">
        <v>1</v>
      </c>
      <c r="C28" s="347" t="s">
        <v>173</v>
      </c>
      <c r="D28" s="348">
        <v>1</v>
      </c>
      <c r="E28" s="348">
        <v>0.6</v>
      </c>
      <c r="F28" s="333" t="s">
        <v>176</v>
      </c>
      <c r="G28" s="346" t="s">
        <v>172</v>
      </c>
      <c r="H28" s="331">
        <v>89061</v>
      </c>
      <c r="I28" s="331">
        <f t="shared" si="6"/>
        <v>89061</v>
      </c>
      <c r="J28" s="320"/>
      <c r="K28" s="265"/>
      <c r="L28" s="47"/>
      <c r="M28" s="353">
        <f t="shared" si="15"/>
        <v>1</v>
      </c>
      <c r="N28" s="359">
        <f t="shared" si="16"/>
        <v>1.08</v>
      </c>
      <c r="O28" s="354">
        <f t="shared" si="17"/>
        <v>0.6</v>
      </c>
      <c r="P28" s="261">
        <f t="shared" si="18"/>
        <v>0.64800000000000002</v>
      </c>
      <c r="Q28" s="259">
        <f t="shared" si="19"/>
        <v>0.64800000000000002</v>
      </c>
      <c r="R28" s="252">
        <f t="shared" si="20"/>
        <v>86060.656117821185</v>
      </c>
      <c r="S28" s="319">
        <f t="shared" si="21"/>
        <v>89060.656117821185</v>
      </c>
      <c r="T28" s="297">
        <f t="shared" si="5"/>
        <v>2.16</v>
      </c>
      <c r="U28" s="46"/>
      <c r="V28" s="9"/>
      <c r="W28" s="365">
        <f t="shared" si="14"/>
        <v>89060.656117821185</v>
      </c>
      <c r="Y28" s="4"/>
    </row>
    <row r="29" spans="2:26" ht="17.399999999999999" x14ac:dyDescent="0.3">
      <c r="B29" s="330">
        <v>2</v>
      </c>
      <c r="C29" s="330" t="s">
        <v>173</v>
      </c>
      <c r="D29" s="333">
        <v>1</v>
      </c>
      <c r="E29" s="333">
        <v>0.6</v>
      </c>
      <c r="F29" s="333" t="s">
        <v>177</v>
      </c>
      <c r="G29" s="346" t="s">
        <v>172</v>
      </c>
      <c r="H29" s="331">
        <v>89061</v>
      </c>
      <c r="I29" s="331">
        <f t="shared" si="6"/>
        <v>178122</v>
      </c>
      <c r="J29" s="320"/>
      <c r="K29" s="265"/>
      <c r="L29" s="47"/>
      <c r="M29" s="353">
        <f t="shared" si="15"/>
        <v>2</v>
      </c>
      <c r="N29" s="359">
        <f t="shared" si="16"/>
        <v>1.08</v>
      </c>
      <c r="O29" s="354">
        <f t="shared" si="17"/>
        <v>0.6</v>
      </c>
      <c r="P29" s="261">
        <f t="shared" si="18"/>
        <v>0.64800000000000002</v>
      </c>
      <c r="Q29" s="259">
        <f t="shared" si="19"/>
        <v>1.296</v>
      </c>
      <c r="R29" s="252">
        <f t="shared" si="20"/>
        <v>86060.656117821185</v>
      </c>
      <c r="S29" s="319">
        <f t="shared" si="21"/>
        <v>89060.656117821185</v>
      </c>
      <c r="T29" s="297">
        <f t="shared" si="5"/>
        <v>4.32</v>
      </c>
      <c r="U29" s="46"/>
      <c r="V29" s="9"/>
      <c r="W29" s="365">
        <f t="shared" si="14"/>
        <v>178121.31223564237</v>
      </c>
      <c r="Y29" s="4"/>
    </row>
    <row r="30" spans="2:26" ht="17.399999999999999" x14ac:dyDescent="0.3">
      <c r="B30" s="330">
        <v>1</v>
      </c>
      <c r="C30" s="330" t="s">
        <v>173</v>
      </c>
      <c r="D30" s="333">
        <v>1.2</v>
      </c>
      <c r="E30" s="333">
        <v>0.6</v>
      </c>
      <c r="F30" s="333" t="s">
        <v>177</v>
      </c>
      <c r="G30" s="346" t="s">
        <v>172</v>
      </c>
      <c r="H30" s="331">
        <v>104998</v>
      </c>
      <c r="I30" s="331">
        <f t="shared" si="6"/>
        <v>104998</v>
      </c>
      <c r="J30" s="320"/>
      <c r="K30" s="265"/>
      <c r="L30" s="47"/>
      <c r="M30" s="353">
        <f t="shared" si="15"/>
        <v>1</v>
      </c>
      <c r="N30" s="359">
        <f t="shared" si="16"/>
        <v>1.28</v>
      </c>
      <c r="O30" s="354">
        <f t="shared" ref="O30:O56" si="22">E30+$O$19</f>
        <v>0.6</v>
      </c>
      <c r="P30" s="261">
        <f t="shared" ref="P30:P56" si="23">N30*O30</f>
        <v>0.76800000000000002</v>
      </c>
      <c r="Q30" s="259">
        <f t="shared" ref="Q30:Q56" si="24">P30*M30</f>
        <v>0.76800000000000002</v>
      </c>
      <c r="R30" s="252">
        <f t="shared" ref="R30:R56" si="25">R$20*P30</f>
        <v>101997.81465815844</v>
      </c>
      <c r="S30" s="319">
        <f t="shared" ref="S30:S56" si="26">R30+S$20</f>
        <v>104997.81465815844</v>
      </c>
      <c r="T30" s="297">
        <f t="shared" si="5"/>
        <v>2.56</v>
      </c>
      <c r="U30" s="46"/>
      <c r="V30" s="9"/>
      <c r="W30" s="365">
        <f t="shared" si="14"/>
        <v>104997.81465815844</v>
      </c>
      <c r="Y30" s="4"/>
    </row>
    <row r="31" spans="2:26" ht="17.399999999999999" x14ac:dyDescent="0.3">
      <c r="B31" s="330">
        <v>2</v>
      </c>
      <c r="C31" s="330" t="s">
        <v>173</v>
      </c>
      <c r="D31" s="333">
        <v>1.55</v>
      </c>
      <c r="E31" s="333">
        <v>0.6</v>
      </c>
      <c r="F31" s="333" t="s">
        <v>177</v>
      </c>
      <c r="G31" s="346" t="s">
        <v>172</v>
      </c>
      <c r="H31" s="331">
        <v>132888</v>
      </c>
      <c r="I31" s="331">
        <f t="shared" si="6"/>
        <v>265776</v>
      </c>
      <c r="J31" s="320"/>
      <c r="K31" s="265"/>
      <c r="L31" s="47"/>
      <c r="M31" s="356">
        <f t="shared" si="15"/>
        <v>2</v>
      </c>
      <c r="N31" s="360">
        <f t="shared" si="16"/>
        <v>1.6300000000000001</v>
      </c>
      <c r="O31" s="357">
        <f t="shared" si="22"/>
        <v>0.6</v>
      </c>
      <c r="P31" s="261">
        <f t="shared" si="23"/>
        <v>0.97799999999999998</v>
      </c>
      <c r="Q31" s="259">
        <f t="shared" si="24"/>
        <v>1.956</v>
      </c>
      <c r="R31" s="252">
        <f t="shared" si="25"/>
        <v>129887.84210374864</v>
      </c>
      <c r="S31" s="319">
        <f t="shared" si="26"/>
        <v>132887.84210374864</v>
      </c>
      <c r="T31" s="297">
        <f t="shared" si="5"/>
        <v>6.5200000000000005</v>
      </c>
      <c r="U31" s="46"/>
      <c r="V31" s="9"/>
      <c r="W31" s="365">
        <f t="shared" si="14"/>
        <v>265775.68420749728</v>
      </c>
      <c r="Y31" s="4"/>
    </row>
    <row r="32" spans="2:26" ht="17.399999999999999" x14ac:dyDescent="0.3">
      <c r="B32" s="330">
        <v>1</v>
      </c>
      <c r="C32" s="330" t="s">
        <v>173</v>
      </c>
      <c r="D32" s="333">
        <v>1.6</v>
      </c>
      <c r="E32" s="333">
        <v>0.6</v>
      </c>
      <c r="F32" s="333" t="s">
        <v>177</v>
      </c>
      <c r="G32" s="346" t="s">
        <v>172</v>
      </c>
      <c r="H32" s="331">
        <v>136872</v>
      </c>
      <c r="I32" s="331">
        <f t="shared" si="6"/>
        <v>136872</v>
      </c>
      <c r="J32" s="320"/>
      <c r="K32" s="265" t="s">
        <v>186</v>
      </c>
      <c r="L32" s="47"/>
      <c r="M32" s="356">
        <f t="shared" si="15"/>
        <v>1</v>
      </c>
      <c r="N32" s="360">
        <f t="shared" si="16"/>
        <v>1.6800000000000002</v>
      </c>
      <c r="O32" s="357">
        <f t="shared" si="22"/>
        <v>0.6</v>
      </c>
      <c r="P32" s="261">
        <f t="shared" si="23"/>
        <v>1.008</v>
      </c>
      <c r="Q32" s="259">
        <f t="shared" si="24"/>
        <v>1.008</v>
      </c>
      <c r="R32" s="252">
        <f t="shared" si="25"/>
        <v>133872.13173883295</v>
      </c>
      <c r="S32" s="319">
        <f t="shared" si="26"/>
        <v>136872.13173883295</v>
      </c>
      <c r="T32" s="297">
        <f t="shared" si="5"/>
        <v>3.3600000000000003</v>
      </c>
      <c r="U32" s="46"/>
      <c r="V32" s="9"/>
      <c r="W32" s="365">
        <f t="shared" si="14"/>
        <v>136872.13173883295</v>
      </c>
      <c r="Y32" s="4"/>
    </row>
    <row r="33" spans="2:25" ht="17.399999999999999" x14ac:dyDescent="0.3">
      <c r="B33" s="330">
        <v>1</v>
      </c>
      <c r="C33" s="330" t="s">
        <v>173</v>
      </c>
      <c r="D33" s="333">
        <v>2.5</v>
      </c>
      <c r="E33" s="333">
        <v>0.6</v>
      </c>
      <c r="F33" s="333" t="s">
        <v>177</v>
      </c>
      <c r="G33" s="346" t="s">
        <v>172</v>
      </c>
      <c r="H33" s="331">
        <v>208589</v>
      </c>
      <c r="I33" s="331">
        <f t="shared" si="6"/>
        <v>208589</v>
      </c>
      <c r="J33" s="320"/>
      <c r="K33" s="363">
        <v>6.25</v>
      </c>
      <c r="L33" s="47"/>
      <c r="M33" s="350">
        <f t="shared" si="15"/>
        <v>1</v>
      </c>
      <c r="N33" s="360">
        <f t="shared" si="16"/>
        <v>2.58</v>
      </c>
      <c r="O33" s="351">
        <f t="shared" si="22"/>
        <v>0.6</v>
      </c>
      <c r="P33" s="261">
        <f t="shared" si="23"/>
        <v>1.548</v>
      </c>
      <c r="Q33" s="259">
        <f t="shared" si="24"/>
        <v>1.548</v>
      </c>
      <c r="R33" s="252">
        <f t="shared" si="25"/>
        <v>205589.34517035063</v>
      </c>
      <c r="S33" s="319">
        <f t="shared" si="26"/>
        <v>208589.34517035063</v>
      </c>
      <c r="T33" s="297">
        <f t="shared" si="5"/>
        <v>5.16</v>
      </c>
      <c r="U33" s="46"/>
      <c r="V33" s="9"/>
      <c r="W33" s="365">
        <f t="shared" si="14"/>
        <v>208589.34517035063</v>
      </c>
      <c r="Y33" s="4"/>
    </row>
    <row r="34" spans="2:25" ht="17.399999999999999" x14ac:dyDescent="0.3">
      <c r="B34" s="330">
        <v>2</v>
      </c>
      <c r="C34" s="330" t="s">
        <v>173</v>
      </c>
      <c r="D34" s="333">
        <v>2.15</v>
      </c>
      <c r="E34" s="333">
        <v>0.6</v>
      </c>
      <c r="F34" s="333" t="s">
        <v>177</v>
      </c>
      <c r="G34" s="346" t="s">
        <v>172</v>
      </c>
      <c r="H34" s="331">
        <v>180699</v>
      </c>
      <c r="I34" s="331">
        <f t="shared" si="6"/>
        <v>361398</v>
      </c>
      <c r="J34" s="320"/>
      <c r="K34" s="362">
        <v>2</v>
      </c>
      <c r="L34" s="47"/>
      <c r="M34" s="350">
        <f t="shared" si="15"/>
        <v>2</v>
      </c>
      <c r="N34" s="360">
        <f t="shared" si="16"/>
        <v>2.23</v>
      </c>
      <c r="O34" s="351">
        <f t="shared" si="22"/>
        <v>0.6</v>
      </c>
      <c r="P34" s="261">
        <f t="shared" si="23"/>
        <v>1.3379999999999999</v>
      </c>
      <c r="Q34" s="259">
        <f t="shared" si="24"/>
        <v>2.6759999999999997</v>
      </c>
      <c r="R34" s="252">
        <f t="shared" si="25"/>
        <v>177699.31772476039</v>
      </c>
      <c r="S34" s="319">
        <f t="shared" si="26"/>
        <v>180699.31772476039</v>
      </c>
      <c r="T34" s="297">
        <f t="shared" si="5"/>
        <v>8.92</v>
      </c>
      <c r="U34" s="46"/>
      <c r="V34" s="9"/>
      <c r="W34" s="365">
        <f t="shared" si="14"/>
        <v>361398.63544952078</v>
      </c>
      <c r="Y34" s="4"/>
    </row>
    <row r="35" spans="2:25" ht="17.399999999999999" x14ac:dyDescent="0.3">
      <c r="B35" s="330">
        <v>2</v>
      </c>
      <c r="C35" s="330" t="s">
        <v>173</v>
      </c>
      <c r="D35" s="333">
        <v>1.68</v>
      </c>
      <c r="E35" s="333">
        <v>0.6</v>
      </c>
      <c r="F35" s="333" t="s">
        <v>180</v>
      </c>
      <c r="G35" s="346" t="s">
        <v>172</v>
      </c>
      <c r="H35" s="331">
        <v>143247</v>
      </c>
      <c r="I35" s="331">
        <f t="shared" si="6"/>
        <v>286494</v>
      </c>
      <c r="J35" s="320"/>
      <c r="K35" s="361">
        <v>17</v>
      </c>
      <c r="L35" s="47"/>
      <c r="M35" s="353">
        <f t="shared" si="15"/>
        <v>2</v>
      </c>
      <c r="N35" s="360">
        <f t="shared" si="16"/>
        <v>1.76</v>
      </c>
      <c r="O35" s="354">
        <f t="shared" si="22"/>
        <v>0.6</v>
      </c>
      <c r="P35" s="261">
        <f t="shared" si="23"/>
        <v>1.056</v>
      </c>
      <c r="Q35" s="259">
        <f t="shared" si="24"/>
        <v>2.1120000000000001</v>
      </c>
      <c r="R35" s="252">
        <f t="shared" si="25"/>
        <v>140246.99515496788</v>
      </c>
      <c r="S35" s="319">
        <f t="shared" si="26"/>
        <v>143246.99515496788</v>
      </c>
      <c r="T35" s="297">
        <f t="shared" si="5"/>
        <v>7.04</v>
      </c>
      <c r="U35" s="46"/>
      <c r="V35" s="9"/>
      <c r="W35" s="365">
        <f t="shared" si="14"/>
        <v>286493.99030993576</v>
      </c>
      <c r="Y35" s="4"/>
    </row>
    <row r="36" spans="2:25" ht="17.399999999999999" x14ac:dyDescent="0.3">
      <c r="B36" s="347">
        <v>2</v>
      </c>
      <c r="C36" s="347" t="s">
        <v>173</v>
      </c>
      <c r="D36" s="348">
        <v>1.98</v>
      </c>
      <c r="E36" s="348">
        <v>0.6</v>
      </c>
      <c r="F36" s="333" t="s">
        <v>180</v>
      </c>
      <c r="G36" s="346" t="s">
        <v>172</v>
      </c>
      <c r="H36" s="331">
        <v>167153</v>
      </c>
      <c r="I36" s="331">
        <f t="shared" si="6"/>
        <v>334306</v>
      </c>
      <c r="J36" s="320"/>
      <c r="K36" s="265">
        <f>SUM(K33:K35)</f>
        <v>25.25</v>
      </c>
      <c r="L36" s="47"/>
      <c r="M36" s="350">
        <f t="shared" si="15"/>
        <v>2</v>
      </c>
      <c r="N36" s="360">
        <f t="shared" si="16"/>
        <v>2.06</v>
      </c>
      <c r="O36" s="351">
        <f t="shared" si="22"/>
        <v>0.6</v>
      </c>
      <c r="P36" s="261">
        <f t="shared" si="23"/>
        <v>1.236</v>
      </c>
      <c r="Q36" s="259">
        <f t="shared" si="24"/>
        <v>2.472</v>
      </c>
      <c r="R36" s="252">
        <f t="shared" si="25"/>
        <v>164152.73296547376</v>
      </c>
      <c r="S36" s="319">
        <f t="shared" si="26"/>
        <v>167152.73296547376</v>
      </c>
      <c r="T36" s="297">
        <f t="shared" si="5"/>
        <v>8.24</v>
      </c>
      <c r="U36" s="46"/>
      <c r="V36" s="9"/>
      <c r="W36" s="365">
        <f t="shared" si="14"/>
        <v>334305.46593094751</v>
      </c>
      <c r="Y36" s="4"/>
    </row>
    <row r="37" spans="2:25" ht="17.399999999999999" x14ac:dyDescent="0.3">
      <c r="B37" s="347">
        <v>2</v>
      </c>
      <c r="C37" s="347" t="s">
        <v>173</v>
      </c>
      <c r="D37" s="348">
        <v>2.29</v>
      </c>
      <c r="E37" s="348">
        <v>0.6</v>
      </c>
      <c r="F37" s="333" t="s">
        <v>180</v>
      </c>
      <c r="G37" s="346" t="s">
        <v>172</v>
      </c>
      <c r="H37" s="331">
        <v>191855</v>
      </c>
      <c r="I37" s="331">
        <f t="shared" si="6"/>
        <v>383710</v>
      </c>
      <c r="J37" s="320"/>
      <c r="K37" s="265"/>
      <c r="L37" s="47"/>
      <c r="M37" s="350">
        <f t="shared" si="15"/>
        <v>2</v>
      </c>
      <c r="N37" s="360">
        <f t="shared" si="16"/>
        <v>2.37</v>
      </c>
      <c r="O37" s="351">
        <f t="shared" si="22"/>
        <v>0.6</v>
      </c>
      <c r="P37" s="261">
        <f t="shared" si="23"/>
        <v>1.4219999999999999</v>
      </c>
      <c r="Q37" s="259">
        <f t="shared" si="24"/>
        <v>2.8439999999999999</v>
      </c>
      <c r="R37" s="252">
        <f t="shared" si="25"/>
        <v>188855.32870299648</v>
      </c>
      <c r="S37" s="319">
        <f t="shared" si="26"/>
        <v>191855.32870299648</v>
      </c>
      <c r="T37" s="297">
        <f t="shared" si="5"/>
        <v>9.48</v>
      </c>
      <c r="U37" s="46"/>
      <c r="V37" s="9"/>
      <c r="W37" s="365">
        <f t="shared" si="14"/>
        <v>383710.65740599297</v>
      </c>
      <c r="Y37" s="4"/>
    </row>
    <row r="38" spans="2:25" ht="17.399999999999999" x14ac:dyDescent="0.3">
      <c r="B38" s="364">
        <v>4</v>
      </c>
      <c r="C38" s="330" t="s">
        <v>173</v>
      </c>
      <c r="D38" s="333">
        <v>1.6</v>
      </c>
      <c r="E38" s="333">
        <v>0.3</v>
      </c>
      <c r="F38" s="333" t="s">
        <v>181</v>
      </c>
      <c r="G38" s="346" t="s">
        <v>172</v>
      </c>
      <c r="H38" s="331">
        <v>69936</v>
      </c>
      <c r="I38" s="331">
        <f t="shared" si="6"/>
        <v>279744</v>
      </c>
      <c r="J38" s="320"/>
      <c r="K38" s="265"/>
      <c r="L38" s="47"/>
      <c r="M38" s="356">
        <f t="shared" si="15"/>
        <v>4</v>
      </c>
      <c r="N38" s="360">
        <f t="shared" si="16"/>
        <v>1.6800000000000002</v>
      </c>
      <c r="O38" s="357">
        <f t="shared" si="22"/>
        <v>0.3</v>
      </c>
      <c r="P38" s="261">
        <f t="shared" si="23"/>
        <v>0.504</v>
      </c>
      <c r="Q38" s="259">
        <f t="shared" si="24"/>
        <v>2.016</v>
      </c>
      <c r="R38" s="252">
        <f t="shared" si="25"/>
        <v>66936.065869416474</v>
      </c>
      <c r="S38" s="319">
        <f t="shared" si="26"/>
        <v>69936.065869416474</v>
      </c>
      <c r="T38" s="297">
        <f t="shared" si="5"/>
        <v>13.440000000000001</v>
      </c>
      <c r="U38" s="46"/>
      <c r="V38" s="9"/>
      <c r="W38" s="365">
        <f t="shared" si="14"/>
        <v>279744.2634776659</v>
      </c>
      <c r="Y38" s="4"/>
    </row>
    <row r="39" spans="2:25" ht="17.399999999999999" x14ac:dyDescent="0.3">
      <c r="B39" s="330">
        <v>2</v>
      </c>
      <c r="C39" s="330" t="s">
        <v>173</v>
      </c>
      <c r="D39" s="333">
        <v>1.65</v>
      </c>
      <c r="E39" s="333">
        <v>0.6</v>
      </c>
      <c r="F39" s="333" t="s">
        <v>181</v>
      </c>
      <c r="G39" s="346" t="s">
        <v>172</v>
      </c>
      <c r="H39" s="331">
        <v>140856</v>
      </c>
      <c r="I39" s="331">
        <f t="shared" si="6"/>
        <v>281712</v>
      </c>
      <c r="J39" s="320"/>
      <c r="K39" s="265" t="s">
        <v>84</v>
      </c>
      <c r="L39" s="47"/>
      <c r="M39" s="353">
        <f t="shared" si="15"/>
        <v>2</v>
      </c>
      <c r="N39" s="360">
        <f t="shared" si="16"/>
        <v>1.73</v>
      </c>
      <c r="O39" s="354">
        <f t="shared" si="22"/>
        <v>0.6</v>
      </c>
      <c r="P39" s="261">
        <f t="shared" si="23"/>
        <v>1.038</v>
      </c>
      <c r="Q39" s="259">
        <f t="shared" si="24"/>
        <v>2.0760000000000001</v>
      </c>
      <c r="R39" s="252">
        <f t="shared" si="25"/>
        <v>137856.42137391728</v>
      </c>
      <c r="S39" s="319">
        <f t="shared" si="26"/>
        <v>140856.42137391728</v>
      </c>
      <c r="T39" s="297">
        <f t="shared" si="5"/>
        <v>6.92</v>
      </c>
      <c r="U39" s="46"/>
      <c r="V39" s="9"/>
      <c r="W39" s="365">
        <f t="shared" si="14"/>
        <v>281712.84274783457</v>
      </c>
      <c r="Y39" s="4"/>
    </row>
    <row r="40" spans="2:25" ht="17.399999999999999" x14ac:dyDescent="0.3">
      <c r="B40" s="330">
        <v>1</v>
      </c>
      <c r="C40" s="330" t="s">
        <v>173</v>
      </c>
      <c r="D40" s="333">
        <v>2.25</v>
      </c>
      <c r="E40" s="333">
        <v>0.6</v>
      </c>
      <c r="F40" s="349" t="s">
        <v>178</v>
      </c>
      <c r="G40" s="346" t="s">
        <v>172</v>
      </c>
      <c r="H40" s="331">
        <v>188668</v>
      </c>
      <c r="I40" s="331">
        <f t="shared" si="6"/>
        <v>188668</v>
      </c>
      <c r="J40" s="320"/>
      <c r="K40" s="358">
        <v>8</v>
      </c>
      <c r="L40" s="47"/>
      <c r="M40" s="350">
        <f t="shared" si="15"/>
        <v>1</v>
      </c>
      <c r="N40" s="360">
        <f t="shared" si="16"/>
        <v>2.33</v>
      </c>
      <c r="O40" s="351">
        <f t="shared" si="22"/>
        <v>0.6</v>
      </c>
      <c r="P40" s="261">
        <f t="shared" si="23"/>
        <v>1.3979999999999999</v>
      </c>
      <c r="Q40" s="259">
        <f t="shared" si="24"/>
        <v>1.3979999999999999</v>
      </c>
      <c r="R40" s="252">
        <f t="shared" si="25"/>
        <v>185667.89699492903</v>
      </c>
      <c r="S40" s="319">
        <f t="shared" si="26"/>
        <v>188667.89699492903</v>
      </c>
      <c r="T40" s="297">
        <f t="shared" si="5"/>
        <v>4.66</v>
      </c>
      <c r="U40" s="46"/>
      <c r="V40" s="9"/>
      <c r="W40" s="365">
        <f t="shared" si="14"/>
        <v>188667.89699492903</v>
      </c>
      <c r="Y40" s="4"/>
    </row>
    <row r="41" spans="2:25" ht="17.399999999999999" x14ac:dyDescent="0.3">
      <c r="B41" s="330">
        <v>2</v>
      </c>
      <c r="C41" s="330" t="s">
        <v>173</v>
      </c>
      <c r="D41" s="333">
        <v>2.2000000000000002</v>
      </c>
      <c r="E41" s="333">
        <v>0.6</v>
      </c>
      <c r="F41" s="349" t="s">
        <v>178</v>
      </c>
      <c r="G41" s="346" t="s">
        <v>172</v>
      </c>
      <c r="H41" s="331">
        <v>184684</v>
      </c>
      <c r="I41" s="331">
        <f t="shared" si="6"/>
        <v>369368</v>
      </c>
      <c r="J41" s="320"/>
      <c r="K41" s="355">
        <v>22</v>
      </c>
      <c r="L41" s="47"/>
      <c r="M41" s="350">
        <f t="shared" si="15"/>
        <v>2</v>
      </c>
      <c r="N41" s="360">
        <f t="shared" si="16"/>
        <v>2.2800000000000002</v>
      </c>
      <c r="O41" s="351">
        <f t="shared" si="22"/>
        <v>0.6</v>
      </c>
      <c r="P41" s="261">
        <f t="shared" si="23"/>
        <v>1.3680000000000001</v>
      </c>
      <c r="Q41" s="259">
        <f t="shared" si="24"/>
        <v>2.7360000000000002</v>
      </c>
      <c r="R41" s="252">
        <f t="shared" si="25"/>
        <v>181683.60735984475</v>
      </c>
      <c r="S41" s="319">
        <f t="shared" si="26"/>
        <v>184683.60735984475</v>
      </c>
      <c r="T41" s="297">
        <f t="shared" si="5"/>
        <v>9.120000000000001</v>
      </c>
      <c r="U41" s="46"/>
      <c r="V41" s="9"/>
      <c r="W41" s="365">
        <f t="shared" si="14"/>
        <v>369367.21471968951</v>
      </c>
      <c r="Y41" s="4"/>
    </row>
    <row r="42" spans="2:25" ht="17.399999999999999" x14ac:dyDescent="0.3">
      <c r="B42" s="330">
        <v>2</v>
      </c>
      <c r="C42" s="330" t="s">
        <v>173</v>
      </c>
      <c r="D42" s="333">
        <v>2.5</v>
      </c>
      <c r="E42" s="333">
        <v>0.6</v>
      </c>
      <c r="F42" s="333" t="s">
        <v>182</v>
      </c>
      <c r="G42" s="346" t="s">
        <v>172</v>
      </c>
      <c r="H42" s="331">
        <v>208589</v>
      </c>
      <c r="I42" s="331">
        <f t="shared" si="6"/>
        <v>417178</v>
      </c>
      <c r="J42" s="320"/>
      <c r="K42" s="352">
        <v>24</v>
      </c>
      <c r="L42" s="47"/>
      <c r="M42" s="350">
        <f t="shared" si="15"/>
        <v>2</v>
      </c>
      <c r="N42" s="360">
        <f t="shared" si="16"/>
        <v>2.58</v>
      </c>
      <c r="O42" s="351">
        <f t="shared" si="22"/>
        <v>0.6</v>
      </c>
      <c r="P42" s="261">
        <f t="shared" si="23"/>
        <v>1.548</v>
      </c>
      <c r="Q42" s="259">
        <f t="shared" si="24"/>
        <v>3.0960000000000001</v>
      </c>
      <c r="R42" s="252">
        <f t="shared" si="25"/>
        <v>205589.34517035063</v>
      </c>
      <c r="S42" s="319">
        <f t="shared" si="26"/>
        <v>208589.34517035063</v>
      </c>
      <c r="T42" s="297">
        <f t="shared" si="5"/>
        <v>10.32</v>
      </c>
      <c r="U42" s="46"/>
      <c r="V42" s="9"/>
      <c r="W42" s="365">
        <f t="shared" si="14"/>
        <v>417178.69034070126</v>
      </c>
      <c r="Y42" s="4"/>
    </row>
    <row r="43" spans="2:25" ht="17.399999999999999" x14ac:dyDescent="0.3">
      <c r="B43" s="330">
        <v>1</v>
      </c>
      <c r="C43" s="330" t="s">
        <v>173</v>
      </c>
      <c r="D43" s="333">
        <v>2.5499999999999998</v>
      </c>
      <c r="E43" s="333">
        <v>0.6</v>
      </c>
      <c r="F43" s="333" t="s">
        <v>182</v>
      </c>
      <c r="G43" s="346" t="s">
        <v>172</v>
      </c>
      <c r="H43" s="331">
        <v>212574</v>
      </c>
      <c r="I43" s="331">
        <f t="shared" si="6"/>
        <v>212574</v>
      </c>
      <c r="J43" s="320"/>
      <c r="K43" s="265">
        <f>SUM(K40:K42)</f>
        <v>54</v>
      </c>
      <c r="L43" s="47"/>
      <c r="M43" s="350">
        <f t="shared" si="15"/>
        <v>1</v>
      </c>
      <c r="N43" s="360">
        <f t="shared" si="16"/>
        <v>2.63</v>
      </c>
      <c r="O43" s="351">
        <f t="shared" si="22"/>
        <v>0.6</v>
      </c>
      <c r="P43" s="261">
        <f t="shared" si="23"/>
        <v>1.5779999999999998</v>
      </c>
      <c r="Q43" s="259">
        <f t="shared" si="24"/>
        <v>1.5779999999999998</v>
      </c>
      <c r="R43" s="252">
        <f t="shared" si="25"/>
        <v>209573.63480543491</v>
      </c>
      <c r="S43" s="319">
        <f t="shared" si="26"/>
        <v>212573.63480543491</v>
      </c>
      <c r="T43" s="297">
        <f t="shared" si="5"/>
        <v>5.26</v>
      </c>
      <c r="U43" s="46"/>
      <c r="V43" s="9"/>
      <c r="W43" s="365">
        <f t="shared" si="14"/>
        <v>212573.63480543491</v>
      </c>
      <c r="Y43" s="4"/>
    </row>
    <row r="44" spans="2:25" ht="17.399999999999999" x14ac:dyDescent="0.3">
      <c r="B44" s="330">
        <v>1</v>
      </c>
      <c r="C44" s="330" t="s">
        <v>173</v>
      </c>
      <c r="D44" s="333">
        <v>2.6</v>
      </c>
      <c r="E44" s="333">
        <v>0.6</v>
      </c>
      <c r="F44" s="333" t="s">
        <v>182</v>
      </c>
      <c r="G44" s="346" t="s">
        <v>172</v>
      </c>
      <c r="H44" s="331">
        <v>216558</v>
      </c>
      <c r="I44" s="331">
        <f t="shared" si="6"/>
        <v>216558</v>
      </c>
      <c r="J44" s="320"/>
      <c r="K44" s="265"/>
      <c r="L44" s="47"/>
      <c r="M44" s="350">
        <f t="shared" si="15"/>
        <v>1</v>
      </c>
      <c r="N44" s="360">
        <f t="shared" si="16"/>
        <v>2.68</v>
      </c>
      <c r="O44" s="351">
        <f t="shared" si="22"/>
        <v>0.6</v>
      </c>
      <c r="P44" s="261">
        <f t="shared" si="23"/>
        <v>1.6080000000000001</v>
      </c>
      <c r="Q44" s="259">
        <f t="shared" si="24"/>
        <v>1.6080000000000001</v>
      </c>
      <c r="R44" s="252">
        <f t="shared" si="25"/>
        <v>213557.92444051924</v>
      </c>
      <c r="S44" s="319">
        <f t="shared" si="26"/>
        <v>216557.92444051924</v>
      </c>
      <c r="T44" s="297">
        <f t="shared" si="5"/>
        <v>5.36</v>
      </c>
      <c r="U44" s="46"/>
      <c r="V44" s="9"/>
      <c r="W44" s="365">
        <f t="shared" si="14"/>
        <v>216557.92444051924</v>
      </c>
      <c r="Y44" s="4"/>
    </row>
    <row r="45" spans="2:25" ht="17.399999999999999" x14ac:dyDescent="0.3">
      <c r="B45" s="330">
        <v>2</v>
      </c>
      <c r="C45" s="330" t="s">
        <v>173</v>
      </c>
      <c r="D45" s="333">
        <v>2.15</v>
      </c>
      <c r="E45" s="333">
        <v>0.6</v>
      </c>
      <c r="F45" s="333" t="s">
        <v>182</v>
      </c>
      <c r="G45" s="346" t="s">
        <v>172</v>
      </c>
      <c r="H45" s="331">
        <v>180699</v>
      </c>
      <c r="I45" s="331">
        <f t="shared" si="6"/>
        <v>361398</v>
      </c>
      <c r="J45" s="320"/>
      <c r="K45" s="265"/>
      <c r="L45" s="47"/>
      <c r="M45" s="350">
        <f t="shared" si="15"/>
        <v>2</v>
      </c>
      <c r="N45" s="360">
        <f t="shared" si="16"/>
        <v>2.23</v>
      </c>
      <c r="O45" s="351">
        <f t="shared" si="22"/>
        <v>0.6</v>
      </c>
      <c r="P45" s="261">
        <f t="shared" si="23"/>
        <v>1.3379999999999999</v>
      </c>
      <c r="Q45" s="259">
        <f t="shared" si="24"/>
        <v>2.6759999999999997</v>
      </c>
      <c r="R45" s="252">
        <f t="shared" si="25"/>
        <v>177699.31772476039</v>
      </c>
      <c r="S45" s="319">
        <f t="shared" si="26"/>
        <v>180699.31772476039</v>
      </c>
      <c r="T45" s="297">
        <f t="shared" si="5"/>
        <v>8.92</v>
      </c>
      <c r="U45" s="46"/>
      <c r="V45" s="9"/>
      <c r="W45" s="365">
        <f t="shared" si="14"/>
        <v>361398.63544952078</v>
      </c>
      <c r="Y45" s="4"/>
    </row>
    <row r="46" spans="2:25" ht="17.399999999999999" x14ac:dyDescent="0.3">
      <c r="B46" s="330">
        <v>1</v>
      </c>
      <c r="C46" s="330" t="s">
        <v>173</v>
      </c>
      <c r="D46" s="333">
        <v>1.5</v>
      </c>
      <c r="E46" s="333">
        <v>0.6</v>
      </c>
      <c r="F46" s="333" t="s">
        <v>182</v>
      </c>
      <c r="G46" s="346" t="s">
        <v>172</v>
      </c>
      <c r="H46" s="331">
        <v>128904</v>
      </c>
      <c r="I46" s="331">
        <f t="shared" si="6"/>
        <v>128904</v>
      </c>
      <c r="J46" s="320"/>
      <c r="K46" s="265"/>
      <c r="L46" s="47"/>
      <c r="M46" s="353">
        <f t="shared" si="15"/>
        <v>1</v>
      </c>
      <c r="N46" s="359">
        <f t="shared" si="16"/>
        <v>1.58</v>
      </c>
      <c r="O46" s="354">
        <f t="shared" si="22"/>
        <v>0.6</v>
      </c>
      <c r="P46" s="261">
        <f t="shared" si="23"/>
        <v>0.94799999999999995</v>
      </c>
      <c r="Q46" s="259">
        <f t="shared" si="24"/>
        <v>0.94799999999999995</v>
      </c>
      <c r="R46" s="252">
        <f t="shared" si="25"/>
        <v>125903.55246866432</v>
      </c>
      <c r="S46" s="319">
        <f t="shared" si="26"/>
        <v>128903.55246866432</v>
      </c>
      <c r="T46" s="297">
        <f t="shared" si="5"/>
        <v>3.16</v>
      </c>
      <c r="U46" s="46"/>
      <c r="V46" s="9"/>
      <c r="W46" s="365">
        <f t="shared" si="14"/>
        <v>128903.55246866432</v>
      </c>
      <c r="Y46" s="4"/>
    </row>
    <row r="47" spans="2:25" ht="17.399999999999999" x14ac:dyDescent="0.3">
      <c r="B47" s="330">
        <v>1</v>
      </c>
      <c r="C47" s="330" t="s">
        <v>173</v>
      </c>
      <c r="D47" s="333">
        <v>2.1</v>
      </c>
      <c r="E47" s="333">
        <v>0.6</v>
      </c>
      <c r="F47" s="333" t="s">
        <v>182</v>
      </c>
      <c r="G47" s="346" t="s">
        <v>172</v>
      </c>
      <c r="H47" s="331">
        <v>176715</v>
      </c>
      <c r="I47" s="331">
        <f t="shared" si="6"/>
        <v>176715</v>
      </c>
      <c r="J47" s="320"/>
      <c r="K47" s="265"/>
      <c r="L47" s="47"/>
      <c r="M47" s="350">
        <f t="shared" si="15"/>
        <v>1</v>
      </c>
      <c r="N47" s="360">
        <f t="shared" si="16"/>
        <v>2.1800000000000002</v>
      </c>
      <c r="O47" s="351">
        <f t="shared" si="22"/>
        <v>0.6</v>
      </c>
      <c r="P47" s="261">
        <f t="shared" si="23"/>
        <v>1.3080000000000001</v>
      </c>
      <c r="Q47" s="259">
        <f t="shared" si="24"/>
        <v>1.3080000000000001</v>
      </c>
      <c r="R47" s="252">
        <f t="shared" si="25"/>
        <v>173715.02808967611</v>
      </c>
      <c r="S47" s="319">
        <f t="shared" si="26"/>
        <v>176715.02808967611</v>
      </c>
      <c r="T47" s="297">
        <f t="shared" si="5"/>
        <v>4.3600000000000003</v>
      </c>
      <c r="U47" s="46"/>
      <c r="V47" s="9"/>
      <c r="W47" s="365">
        <f t="shared" si="14"/>
        <v>176715.02808967611</v>
      </c>
      <c r="Y47" s="4"/>
    </row>
    <row r="48" spans="2:25" ht="17.399999999999999" x14ac:dyDescent="0.3">
      <c r="B48" s="330">
        <v>1</v>
      </c>
      <c r="C48" s="330" t="s">
        <v>173</v>
      </c>
      <c r="D48" s="333">
        <v>2.4500000000000002</v>
      </c>
      <c r="E48" s="333">
        <v>0.6</v>
      </c>
      <c r="F48" s="333" t="s">
        <v>182</v>
      </c>
      <c r="G48" s="346" t="s">
        <v>172</v>
      </c>
      <c r="H48" s="331">
        <v>204605</v>
      </c>
      <c r="I48" s="331">
        <f t="shared" si="6"/>
        <v>204605</v>
      </c>
      <c r="J48" s="320"/>
      <c r="K48" s="265"/>
      <c r="L48" s="47"/>
      <c r="M48" s="350">
        <f t="shared" si="15"/>
        <v>1</v>
      </c>
      <c r="N48" s="360">
        <f t="shared" si="16"/>
        <v>2.5300000000000002</v>
      </c>
      <c r="O48" s="351">
        <f t="shared" si="22"/>
        <v>0.6</v>
      </c>
      <c r="P48" s="261">
        <f t="shared" si="23"/>
        <v>1.518</v>
      </c>
      <c r="Q48" s="259">
        <f t="shared" si="24"/>
        <v>1.518</v>
      </c>
      <c r="R48" s="252">
        <f t="shared" si="25"/>
        <v>201605.05553526629</v>
      </c>
      <c r="S48" s="319">
        <f t="shared" si="26"/>
        <v>204605.05553526629</v>
      </c>
      <c r="T48" s="297">
        <f t="shared" si="5"/>
        <v>5.0600000000000005</v>
      </c>
      <c r="U48" s="46"/>
      <c r="V48" s="9"/>
      <c r="W48" s="365">
        <f t="shared" si="14"/>
        <v>204605.05553526629</v>
      </c>
      <c r="Y48" s="4"/>
    </row>
    <row r="49" spans="2:25" ht="17.399999999999999" x14ac:dyDescent="0.3">
      <c r="B49" s="347">
        <v>1</v>
      </c>
      <c r="C49" s="347" t="s">
        <v>173</v>
      </c>
      <c r="D49" s="348">
        <v>1.75</v>
      </c>
      <c r="E49" s="348">
        <v>0.6</v>
      </c>
      <c r="F49" s="333" t="s">
        <v>183</v>
      </c>
      <c r="G49" s="346" t="s">
        <v>172</v>
      </c>
      <c r="H49" s="331">
        <v>148825</v>
      </c>
      <c r="I49" s="331">
        <f t="shared" si="6"/>
        <v>148825</v>
      </c>
      <c r="J49" s="320"/>
      <c r="K49" s="265"/>
      <c r="L49" s="47"/>
      <c r="M49" s="350">
        <f t="shared" si="15"/>
        <v>1</v>
      </c>
      <c r="N49" s="360">
        <f t="shared" si="16"/>
        <v>1.83</v>
      </c>
      <c r="O49" s="351">
        <f t="shared" si="22"/>
        <v>0.6</v>
      </c>
      <c r="P49" s="261">
        <f t="shared" si="23"/>
        <v>1.0980000000000001</v>
      </c>
      <c r="Q49" s="259">
        <f t="shared" si="24"/>
        <v>1.0980000000000001</v>
      </c>
      <c r="R49" s="252">
        <f t="shared" si="25"/>
        <v>145825.0006440859</v>
      </c>
      <c r="S49" s="319">
        <f t="shared" si="26"/>
        <v>148825.0006440859</v>
      </c>
      <c r="T49" s="297">
        <f t="shared" si="5"/>
        <v>3.66</v>
      </c>
      <c r="U49" s="46"/>
      <c r="V49" s="9"/>
      <c r="W49" s="365">
        <f t="shared" si="14"/>
        <v>148825.0006440859</v>
      </c>
      <c r="Y49" s="4"/>
    </row>
    <row r="50" spans="2:25" ht="17.399999999999999" x14ac:dyDescent="0.3">
      <c r="B50" s="347">
        <v>1</v>
      </c>
      <c r="C50" s="347" t="s">
        <v>173</v>
      </c>
      <c r="D50" s="348">
        <v>1.97</v>
      </c>
      <c r="E50" s="348">
        <v>0.6</v>
      </c>
      <c r="F50" s="333" t="s">
        <v>183</v>
      </c>
      <c r="G50" s="346" t="s">
        <v>172</v>
      </c>
      <c r="H50" s="331">
        <v>166356</v>
      </c>
      <c r="I50" s="331">
        <f t="shared" si="6"/>
        <v>166356</v>
      </c>
      <c r="J50" s="320"/>
      <c r="K50" s="265"/>
      <c r="L50" s="47"/>
      <c r="M50" s="350">
        <f t="shared" si="15"/>
        <v>1</v>
      </c>
      <c r="N50" s="360">
        <f t="shared" si="16"/>
        <v>2.0499999999999998</v>
      </c>
      <c r="O50" s="351">
        <f t="shared" si="22"/>
        <v>0.6</v>
      </c>
      <c r="P50" s="261">
        <f t="shared" si="23"/>
        <v>1.2299999999999998</v>
      </c>
      <c r="Q50" s="259">
        <f t="shared" si="24"/>
        <v>1.2299999999999998</v>
      </c>
      <c r="R50" s="252">
        <f t="shared" si="25"/>
        <v>163355.87503845684</v>
      </c>
      <c r="S50" s="319">
        <f t="shared" si="26"/>
        <v>166355.87503845684</v>
      </c>
      <c r="T50" s="297">
        <f t="shared" si="5"/>
        <v>4.0999999999999996</v>
      </c>
      <c r="U50" s="46"/>
      <c r="V50" s="9"/>
      <c r="W50" s="365">
        <f t="shared" si="14"/>
        <v>166355.87503845684</v>
      </c>
      <c r="Y50" s="4"/>
    </row>
    <row r="51" spans="2:25" ht="17.399999999999999" x14ac:dyDescent="0.3">
      <c r="B51" s="330">
        <v>1</v>
      </c>
      <c r="C51" s="330" t="s">
        <v>174</v>
      </c>
      <c r="D51" s="333">
        <v>1.2</v>
      </c>
      <c r="E51" s="333">
        <v>0.7</v>
      </c>
      <c r="F51" s="333" t="s">
        <v>179</v>
      </c>
      <c r="G51" s="346" t="s">
        <v>172</v>
      </c>
      <c r="H51" s="331">
        <v>121997</v>
      </c>
      <c r="I51" s="331">
        <f t="shared" si="6"/>
        <v>121997</v>
      </c>
      <c r="J51" s="320"/>
      <c r="K51" s="265"/>
      <c r="L51" s="47"/>
      <c r="M51" s="353">
        <f t="shared" si="15"/>
        <v>1</v>
      </c>
      <c r="N51" s="332">
        <f t="shared" si="16"/>
        <v>1.28</v>
      </c>
      <c r="O51" s="354">
        <f t="shared" si="22"/>
        <v>0.7</v>
      </c>
      <c r="P51" s="261">
        <f t="shared" si="23"/>
        <v>0.89599999999999991</v>
      </c>
      <c r="Q51" s="259">
        <f t="shared" si="24"/>
        <v>0.89599999999999991</v>
      </c>
      <c r="R51" s="252">
        <f t="shared" si="25"/>
        <v>118997.45043451818</v>
      </c>
      <c r="S51" s="319">
        <f t="shared" si="26"/>
        <v>121997.45043451818</v>
      </c>
      <c r="T51" s="297"/>
      <c r="U51" s="46"/>
      <c r="V51" s="9"/>
      <c r="W51" s="365">
        <f t="shared" si="14"/>
        <v>121997.45043451818</v>
      </c>
      <c r="Y51" s="4"/>
    </row>
    <row r="52" spans="2:25" ht="17.399999999999999" x14ac:dyDescent="0.3">
      <c r="B52" s="330">
        <v>1</v>
      </c>
      <c r="C52" s="330" t="s">
        <v>174</v>
      </c>
      <c r="D52" s="333">
        <v>1.5</v>
      </c>
      <c r="E52" s="333">
        <v>0.7</v>
      </c>
      <c r="F52" s="333" t="s">
        <v>179</v>
      </c>
      <c r="G52" s="346" t="s">
        <v>172</v>
      </c>
      <c r="H52" s="331">
        <v>149887</v>
      </c>
      <c r="I52" s="331">
        <f t="shared" si="6"/>
        <v>149887</v>
      </c>
      <c r="J52" s="320"/>
      <c r="K52" s="265"/>
      <c r="L52" s="47"/>
      <c r="M52" s="353">
        <f t="shared" si="15"/>
        <v>1</v>
      </c>
      <c r="N52" s="332">
        <f t="shared" si="16"/>
        <v>1.58</v>
      </c>
      <c r="O52" s="354">
        <f t="shared" si="22"/>
        <v>0.7</v>
      </c>
      <c r="P52" s="261">
        <f t="shared" si="23"/>
        <v>1.1059999999999999</v>
      </c>
      <c r="Q52" s="259">
        <f t="shared" si="24"/>
        <v>1.1059999999999999</v>
      </c>
      <c r="R52" s="252">
        <f t="shared" si="25"/>
        <v>146887.47788010837</v>
      </c>
      <c r="S52" s="319">
        <f t="shared" si="26"/>
        <v>149887.47788010837</v>
      </c>
      <c r="T52" s="297"/>
      <c r="U52" s="46"/>
      <c r="V52" s="9"/>
      <c r="W52" s="365">
        <f t="shared" si="14"/>
        <v>149887.47788010837</v>
      </c>
      <c r="Y52" s="4"/>
    </row>
    <row r="53" spans="2:25" ht="17.399999999999999" x14ac:dyDescent="0.3">
      <c r="B53" s="330">
        <v>1</v>
      </c>
      <c r="C53" s="330" t="s">
        <v>174</v>
      </c>
      <c r="D53" s="333">
        <v>2</v>
      </c>
      <c r="E53" s="333">
        <v>0.7</v>
      </c>
      <c r="F53" s="333" t="s">
        <v>179</v>
      </c>
      <c r="G53" s="346" t="s">
        <v>172</v>
      </c>
      <c r="H53" s="331">
        <v>196371</v>
      </c>
      <c r="I53" s="331">
        <f t="shared" si="6"/>
        <v>196371</v>
      </c>
      <c r="J53" s="320"/>
      <c r="K53" s="265"/>
      <c r="L53" s="47"/>
      <c r="M53" s="350">
        <f t="shared" si="15"/>
        <v>1</v>
      </c>
      <c r="N53" s="332">
        <f t="shared" si="16"/>
        <v>2.08</v>
      </c>
      <c r="O53" s="351">
        <f t="shared" si="22"/>
        <v>0.7</v>
      </c>
      <c r="P53" s="261">
        <f t="shared" si="23"/>
        <v>1.456</v>
      </c>
      <c r="Q53" s="259">
        <f t="shared" si="24"/>
        <v>1.456</v>
      </c>
      <c r="R53" s="252">
        <f t="shared" si="25"/>
        <v>193370.85695609206</v>
      </c>
      <c r="S53" s="319">
        <f t="shared" si="26"/>
        <v>196370.85695609206</v>
      </c>
      <c r="T53" s="297"/>
      <c r="U53" s="46"/>
      <c r="V53" s="9"/>
      <c r="W53" s="365">
        <f t="shared" si="14"/>
        <v>196370.85695609206</v>
      </c>
      <c r="Y53" s="4"/>
    </row>
    <row r="54" spans="2:25" ht="17.399999999999999" x14ac:dyDescent="0.3">
      <c r="B54" s="330">
        <v>1</v>
      </c>
      <c r="C54" s="330" t="s">
        <v>184</v>
      </c>
      <c r="D54" s="333">
        <v>1.2</v>
      </c>
      <c r="E54" s="333">
        <v>0.46</v>
      </c>
      <c r="F54" s="333" t="s">
        <v>179</v>
      </c>
      <c r="G54" s="346" t="s">
        <v>172</v>
      </c>
      <c r="H54" s="331">
        <v>181198</v>
      </c>
      <c r="I54" s="331">
        <f t="shared" si="6"/>
        <v>181198</v>
      </c>
      <c r="J54" s="320"/>
      <c r="K54" s="265"/>
      <c r="L54" s="47"/>
      <c r="M54" s="353">
        <f t="shared" si="15"/>
        <v>1</v>
      </c>
      <c r="N54" s="332">
        <f t="shared" si="16"/>
        <v>1.28</v>
      </c>
      <c r="O54" s="354">
        <f t="shared" si="22"/>
        <v>0.46</v>
      </c>
      <c r="P54" s="261">
        <f t="shared" si="23"/>
        <v>0.58879999999999999</v>
      </c>
      <c r="Q54" s="259">
        <f t="shared" si="24"/>
        <v>0.58879999999999999</v>
      </c>
      <c r="R54" s="252">
        <f t="shared" si="25"/>
        <v>78198.324571254809</v>
      </c>
      <c r="S54" s="319">
        <f t="shared" si="26"/>
        <v>81198.324571254809</v>
      </c>
      <c r="T54" s="297"/>
      <c r="U54" s="46"/>
      <c r="V54" s="9"/>
      <c r="W54" s="365">
        <f t="shared" si="14"/>
        <v>81198.324571254809</v>
      </c>
      <c r="Y54" s="4"/>
    </row>
    <row r="55" spans="2:25" ht="17.399999999999999" x14ac:dyDescent="0.3">
      <c r="B55" s="330">
        <v>1</v>
      </c>
      <c r="C55" s="330" t="s">
        <v>184</v>
      </c>
      <c r="D55" s="333">
        <v>1.5</v>
      </c>
      <c r="E55" s="333">
        <v>0.46</v>
      </c>
      <c r="F55" s="333" t="s">
        <v>179</v>
      </c>
      <c r="G55" s="346" t="s">
        <v>172</v>
      </c>
      <c r="H55" s="331">
        <v>199526</v>
      </c>
      <c r="I55" s="331">
        <f t="shared" si="6"/>
        <v>199526</v>
      </c>
      <c r="J55" s="320"/>
      <c r="K55" s="265"/>
      <c r="L55" s="47"/>
      <c r="M55" s="353">
        <f t="shared" si="15"/>
        <v>1</v>
      </c>
      <c r="N55" s="332">
        <f t="shared" si="16"/>
        <v>1.58</v>
      </c>
      <c r="O55" s="354">
        <f t="shared" si="22"/>
        <v>0.46</v>
      </c>
      <c r="P55" s="261">
        <f t="shared" si="23"/>
        <v>0.72680000000000011</v>
      </c>
      <c r="Q55" s="259">
        <f t="shared" si="24"/>
        <v>0.72680000000000011</v>
      </c>
      <c r="R55" s="252">
        <f t="shared" si="25"/>
        <v>96526.056892642664</v>
      </c>
      <c r="S55" s="319">
        <f t="shared" si="26"/>
        <v>99526.056892642664</v>
      </c>
      <c r="T55" s="297"/>
      <c r="U55" s="46"/>
      <c r="V55" s="9"/>
      <c r="W55" s="365">
        <f t="shared" si="14"/>
        <v>99526.056892642664</v>
      </c>
      <c r="Y55" s="4"/>
    </row>
    <row r="56" spans="2:25" ht="17.399999999999999" x14ac:dyDescent="0.3">
      <c r="B56" s="330">
        <v>1</v>
      </c>
      <c r="C56" s="330" t="s">
        <v>184</v>
      </c>
      <c r="D56" s="333">
        <v>2</v>
      </c>
      <c r="E56" s="333">
        <v>0.46</v>
      </c>
      <c r="F56" s="333" t="s">
        <v>179</v>
      </c>
      <c r="G56" s="346" t="s">
        <v>172</v>
      </c>
      <c r="H56" s="331">
        <v>230072</v>
      </c>
      <c r="I56" s="331">
        <f t="shared" si="6"/>
        <v>230072</v>
      </c>
      <c r="J56" s="320"/>
      <c r="K56" s="265"/>
      <c r="L56" s="47"/>
      <c r="M56" s="350">
        <f t="shared" si="15"/>
        <v>1</v>
      </c>
      <c r="N56" s="332">
        <f t="shared" si="16"/>
        <v>2.08</v>
      </c>
      <c r="O56" s="351">
        <f t="shared" si="22"/>
        <v>0.46</v>
      </c>
      <c r="P56" s="261">
        <f t="shared" si="23"/>
        <v>0.95680000000000009</v>
      </c>
      <c r="Q56" s="259">
        <f t="shared" si="24"/>
        <v>0.95680000000000009</v>
      </c>
      <c r="R56" s="252">
        <f t="shared" si="25"/>
        <v>127072.27742828908</v>
      </c>
      <c r="S56" s="319">
        <f t="shared" si="26"/>
        <v>130072.27742828908</v>
      </c>
      <c r="T56" s="297"/>
      <c r="U56" s="46"/>
      <c r="V56" s="9"/>
      <c r="W56" s="365">
        <f t="shared" si="14"/>
        <v>130072.27742828908</v>
      </c>
      <c r="Y56" s="4"/>
    </row>
    <row r="57" spans="2:25" ht="17.399999999999999" x14ac:dyDescent="0.3">
      <c r="B57" s="285"/>
      <c r="C57" s="285"/>
      <c r="D57" s="286"/>
      <c r="E57" s="286"/>
      <c r="F57" s="286"/>
      <c r="G57" s="285"/>
      <c r="H57" s="320"/>
      <c r="I57" s="320"/>
      <c r="J57" s="320"/>
      <c r="K57" s="265"/>
      <c r="L57" s="47"/>
      <c r="M57" s="47"/>
      <c r="N57" s="39"/>
      <c r="O57" s="39"/>
      <c r="P57" s="261"/>
      <c r="Q57" s="259"/>
      <c r="R57" s="252"/>
      <c r="S57" s="319"/>
      <c r="T57" s="297"/>
      <c r="U57" s="46"/>
      <c r="V57" s="9"/>
      <c r="W57" s="58">
        <f>SUM(W21:W56)</f>
        <v>9277639.776000008</v>
      </c>
      <c r="Y57" s="4"/>
    </row>
    <row r="58" spans="2:25" ht="18" thickBot="1" x14ac:dyDescent="0.35">
      <c r="B58" s="285"/>
      <c r="C58" s="285"/>
      <c r="D58" s="286"/>
      <c r="E58" s="286"/>
      <c r="F58" s="286"/>
      <c r="G58" s="285"/>
      <c r="H58" s="265"/>
      <c r="I58" s="321"/>
      <c r="J58" s="323"/>
      <c r="K58" s="233"/>
      <c r="L58" s="47"/>
      <c r="M58" s="47"/>
      <c r="N58" s="39"/>
      <c r="O58" s="39"/>
      <c r="P58" s="261"/>
      <c r="Q58" s="259"/>
      <c r="R58" s="252"/>
      <c r="S58" s="258"/>
      <c r="T58" s="297"/>
      <c r="U58" s="14"/>
      <c r="V58" s="9"/>
      <c r="Y58" s="4"/>
    </row>
    <row r="59" spans="2:25" ht="17.399999999999999" x14ac:dyDescent="0.3">
      <c r="B59" s="285"/>
      <c r="C59" s="285"/>
      <c r="D59" s="286"/>
      <c r="E59" s="286"/>
      <c r="F59" s="286"/>
      <c r="G59" s="285"/>
      <c r="H59" s="324" t="s">
        <v>28</v>
      </c>
      <c r="I59" s="325">
        <f>SUM(I21:I58)</f>
        <v>9577644</v>
      </c>
      <c r="J59" s="322"/>
      <c r="K59" s="265"/>
      <c r="L59" s="47">
        <v>2600000</v>
      </c>
      <c r="M59" s="47"/>
      <c r="N59" s="39"/>
      <c r="O59" s="39"/>
      <c r="P59" s="261"/>
      <c r="Q59" s="259"/>
      <c r="R59" s="252"/>
      <c r="S59" s="258"/>
      <c r="T59" s="297"/>
      <c r="U59" s="46">
        <f>SUM(U21:U58)</f>
        <v>2.4</v>
      </c>
      <c r="V59" s="9"/>
      <c r="Y59" s="4"/>
    </row>
    <row r="60" spans="2:25" ht="17.399999999999999" x14ac:dyDescent="0.3">
      <c r="B60" s="279"/>
      <c r="C60" s="282"/>
      <c r="D60" s="283"/>
      <c r="E60" s="283"/>
      <c r="F60" s="283"/>
      <c r="G60" s="284"/>
      <c r="H60" s="296" t="s">
        <v>50</v>
      </c>
      <c r="I60" s="294">
        <f>I59*19%</f>
        <v>1819752.36</v>
      </c>
      <c r="J60" s="322"/>
      <c r="K60" s="265"/>
      <c r="L60" s="47"/>
      <c r="M60" s="47"/>
      <c r="N60" s="39">
        <f>SUM(N21:N59)</f>
        <v>67.799999999999983</v>
      </c>
      <c r="O60" s="12"/>
      <c r="P60" s="12"/>
      <c r="Q60" s="253">
        <f>SUM(Q21:Q58)</f>
        <v>68.38839999999999</v>
      </c>
      <c r="R60" s="14"/>
      <c r="S60" s="12"/>
      <c r="T60" s="239"/>
      <c r="U60" s="46"/>
      <c r="V60" s="9"/>
      <c r="Y60" s="4"/>
    </row>
    <row r="61" spans="2:25" ht="18" thickBot="1" x14ac:dyDescent="0.35">
      <c r="B61" s="275"/>
      <c r="C61" s="281"/>
      <c r="D61" s="272"/>
      <c r="E61" s="272"/>
      <c r="F61" s="272"/>
      <c r="G61" s="273"/>
      <c r="H61" s="280" t="s">
        <v>6</v>
      </c>
      <c r="I61" s="295">
        <f>I59+I60</f>
        <v>11397396.359999999</v>
      </c>
      <c r="J61" s="322"/>
      <c r="K61" s="265"/>
      <c r="L61" s="47"/>
      <c r="M61" s="47"/>
      <c r="N61" s="39"/>
      <c r="O61" s="12"/>
      <c r="P61" s="12"/>
      <c r="Q61" s="253">
        <f>Q60</f>
        <v>68.38839999999999</v>
      </c>
      <c r="R61" s="14"/>
      <c r="S61" s="12"/>
      <c r="T61" s="239">
        <f>SUM(T21:T60)</f>
        <v>215.57999999999998</v>
      </c>
      <c r="U61" s="46"/>
      <c r="V61" s="9"/>
      <c r="Y61" s="4"/>
    </row>
    <row r="62" spans="2:25" ht="17.399999999999999" x14ac:dyDescent="0.3">
      <c r="B62" s="275"/>
      <c r="C62" s="271"/>
      <c r="D62" s="272"/>
      <c r="E62" s="272"/>
      <c r="F62" s="272"/>
      <c r="G62" s="273"/>
      <c r="K62" s="265"/>
      <c r="L62" s="47"/>
      <c r="M62" s="47"/>
      <c r="N62" s="14"/>
      <c r="O62" s="12"/>
      <c r="P62" s="12"/>
      <c r="Q62" s="39">
        <f>Q61*20%</f>
        <v>13.677679999999999</v>
      </c>
      <c r="R62" s="39" t="s">
        <v>129</v>
      </c>
      <c r="S62" s="42"/>
      <c r="T62" s="240">
        <f>T61+U59</f>
        <v>217.98</v>
      </c>
      <c r="U62" s="14"/>
      <c r="V62" s="9"/>
      <c r="Y62" s="4"/>
    </row>
    <row r="63" spans="2:25" ht="17.399999999999999" x14ac:dyDescent="0.35">
      <c r="B63" s="269"/>
      <c r="C63" s="230"/>
      <c r="D63" s="230"/>
      <c r="E63" s="233"/>
      <c r="F63" s="233"/>
      <c r="G63" s="234"/>
      <c r="H63" s="230"/>
      <c r="I63" s="274"/>
      <c r="J63" s="274"/>
      <c r="K63" s="265"/>
      <c r="L63" s="47"/>
      <c r="M63" s="47"/>
      <c r="N63" s="14"/>
      <c r="O63" s="12"/>
      <c r="P63" s="12"/>
      <c r="Q63" s="46">
        <f>Q61+Q62</f>
        <v>82.066079999999985</v>
      </c>
      <c r="R63" s="14"/>
      <c r="S63" s="14"/>
      <c r="T63" s="238">
        <f>T62*20%</f>
        <v>43.596000000000004</v>
      </c>
      <c r="U63" s="14"/>
      <c r="V63" s="9"/>
      <c r="Y63" s="4"/>
    </row>
    <row r="64" spans="2:25" ht="17.399999999999999" x14ac:dyDescent="0.35">
      <c r="B64" s="235"/>
      <c r="C64" s="236"/>
      <c r="D64" s="237"/>
      <c r="E64" s="235"/>
      <c r="F64" s="235"/>
      <c r="G64" s="230"/>
      <c r="H64" s="230"/>
      <c r="J64" s="274"/>
      <c r="K64" s="265"/>
      <c r="L64" s="47"/>
      <c r="M64" s="47"/>
      <c r="N64" s="14"/>
      <c r="O64" s="14"/>
      <c r="P64" s="14"/>
      <c r="Q64" s="14"/>
      <c r="R64" s="14"/>
      <c r="S64" s="14"/>
      <c r="T64" s="240">
        <f>T62+T63</f>
        <v>261.57600000000002</v>
      </c>
      <c r="U64" s="14"/>
      <c r="V64" s="302" t="s">
        <v>21</v>
      </c>
      <c r="W64" s="299" t="s">
        <v>150</v>
      </c>
      <c r="X64" s="303">
        <v>44971</v>
      </c>
      <c r="Y64" s="304"/>
    </row>
    <row r="65" spans="1:25" ht="17.399999999999999" x14ac:dyDescent="0.35">
      <c r="B65" s="230"/>
      <c r="C65" s="230"/>
      <c r="D65" s="230"/>
      <c r="E65" s="230"/>
      <c r="F65" s="230"/>
      <c r="G65" s="230"/>
      <c r="H65" s="230"/>
      <c r="K65" s="265"/>
      <c r="L65" s="47"/>
      <c r="M65" s="47"/>
      <c r="N65" s="39">
        <f>Q63*2</f>
        <v>164.13215999999997</v>
      </c>
      <c r="O65" s="12">
        <v>3500</v>
      </c>
      <c r="P65" s="12">
        <f t="shared" ref="P65:P67" si="27">N65*O65</f>
        <v>574462.55999999994</v>
      </c>
      <c r="Q65" s="14" t="s">
        <v>21</v>
      </c>
      <c r="R65" s="14"/>
      <c r="S65" s="14"/>
      <c r="T65" s="241"/>
      <c r="U65" s="14"/>
      <c r="V65" s="302" t="s">
        <v>151</v>
      </c>
      <c r="W65" s="299">
        <v>3625</v>
      </c>
      <c r="X65" s="59" t="s">
        <v>152</v>
      </c>
      <c r="Y65" s="304"/>
    </row>
    <row r="66" spans="1:25" ht="17.399999999999999" x14ac:dyDescent="0.35">
      <c r="A66" s="230"/>
      <c r="B66" s="230"/>
      <c r="C66" s="230"/>
      <c r="D66" s="230"/>
      <c r="E66" s="230"/>
      <c r="F66" s="230"/>
      <c r="G66" s="230"/>
      <c r="H66" s="230"/>
      <c r="I66" s="230"/>
      <c r="K66" s="265"/>
      <c r="L66" s="47"/>
      <c r="M66" s="47"/>
      <c r="N66" s="249">
        <v>26</v>
      </c>
      <c r="O66" s="12">
        <v>35108</v>
      </c>
      <c r="P66" s="12">
        <f t="shared" si="27"/>
        <v>912808</v>
      </c>
      <c r="Q66" s="39" t="s">
        <v>30</v>
      </c>
      <c r="R66" s="42"/>
      <c r="S66" s="14"/>
      <c r="T66" s="240"/>
      <c r="U66" s="14"/>
      <c r="V66" s="302"/>
      <c r="W66" s="59">
        <v>906.25</v>
      </c>
      <c r="X66" s="59" t="s">
        <v>153</v>
      </c>
      <c r="Y66" s="304"/>
    </row>
    <row r="67" spans="1:25" s="230" customFormat="1" ht="17.399999999999999" x14ac:dyDescent="0.35">
      <c r="B67" s="24" t="s">
        <v>149</v>
      </c>
      <c r="K67" s="262"/>
      <c r="L67" s="232"/>
      <c r="M67" s="250"/>
      <c r="N67" s="14">
        <v>54</v>
      </c>
      <c r="O67" s="250">
        <v>16974</v>
      </c>
      <c r="P67" s="12">
        <f t="shared" si="27"/>
        <v>916596</v>
      </c>
      <c r="Q67" s="39" t="s">
        <v>185</v>
      </c>
      <c r="R67" s="42"/>
      <c r="T67" s="240"/>
      <c r="U67" s="256"/>
      <c r="V67" s="59"/>
      <c r="W67" s="59">
        <f>W66*20%</f>
        <v>181.25</v>
      </c>
      <c r="X67" s="304" t="s">
        <v>154</v>
      </c>
      <c r="Y67" s="59"/>
    </row>
    <row r="68" spans="1:25" s="230" customFormat="1" ht="17.399999999999999" x14ac:dyDescent="0.35">
      <c r="B68" s="24" t="s">
        <v>142</v>
      </c>
      <c r="C68"/>
      <c r="D68"/>
      <c r="E68"/>
      <c r="F68"/>
      <c r="G68"/>
      <c r="K68" s="262"/>
      <c r="L68" s="232"/>
      <c r="M68" s="250"/>
      <c r="N68" s="14">
        <v>54</v>
      </c>
      <c r="O68" s="250">
        <v>28300</v>
      </c>
      <c r="P68" s="12">
        <f>N68*O68</f>
        <v>1528200</v>
      </c>
      <c r="Q68" s="14" t="s">
        <v>166</v>
      </c>
      <c r="T68" s="238"/>
      <c r="U68" s="256"/>
      <c r="V68" s="59"/>
      <c r="W68" s="59">
        <f>W66+W67</f>
        <v>1087.5</v>
      </c>
      <c r="X68" s="304" t="s">
        <v>155</v>
      </c>
      <c r="Y68" s="59"/>
    </row>
    <row r="69" spans="1:25" s="230" customFormat="1" ht="17.399999999999999" x14ac:dyDescent="0.35">
      <c r="B69" s="29" t="s">
        <v>124</v>
      </c>
      <c r="C69"/>
      <c r="D69"/>
      <c r="E69"/>
      <c r="F69"/>
      <c r="G69" s="229" t="s">
        <v>15</v>
      </c>
      <c r="J69" s="230" t="s">
        <v>167</v>
      </c>
      <c r="K69" s="262"/>
      <c r="L69" s="260"/>
      <c r="M69" s="250"/>
      <c r="N69" s="249"/>
      <c r="O69" s="250">
        <v>900</v>
      </c>
      <c r="P69" s="12">
        <f>N69*O69</f>
        <v>0</v>
      </c>
      <c r="Q69" s="14" t="s">
        <v>31</v>
      </c>
      <c r="R69" s="17"/>
      <c r="S69" s="230">
        <v>2.12</v>
      </c>
      <c r="T69" s="238"/>
      <c r="U69" s="238"/>
    </row>
    <row r="70" spans="1:25" s="230" customFormat="1" ht="17.399999999999999" x14ac:dyDescent="0.35">
      <c r="J70" s="230" t="s">
        <v>168</v>
      </c>
      <c r="K70" s="293"/>
      <c r="L70" s="260"/>
      <c r="M70" s="250"/>
      <c r="N70" s="266">
        <v>262</v>
      </c>
      <c r="O70" s="12">
        <v>1500</v>
      </c>
      <c r="P70" s="12">
        <f>N70*O70</f>
        <v>393000</v>
      </c>
      <c r="Q70" s="14" t="s">
        <v>22</v>
      </c>
      <c r="R70" s="14"/>
      <c r="S70">
        <v>2.44</v>
      </c>
      <c r="T70"/>
      <c r="U70" s="238"/>
      <c r="Y70" s="231"/>
    </row>
    <row r="71" spans="1:25" s="230" customFormat="1" ht="17.399999999999999" x14ac:dyDescent="0.35">
      <c r="L71" s="260"/>
      <c r="M71" s="250"/>
      <c r="N71" s="14"/>
      <c r="O71" s="12"/>
      <c r="P71" s="12">
        <f>SUM(P65:P70)</f>
        <v>4325066.5600000005</v>
      </c>
      <c r="Q71" s="39" t="s">
        <v>23</v>
      </c>
      <c r="R71" s="14"/>
      <c r="S71">
        <f>S69*S70</f>
        <v>5.1728000000000005</v>
      </c>
      <c r="T71"/>
      <c r="U71" s="238"/>
      <c r="Y71" s="231"/>
    </row>
    <row r="72" spans="1:25" s="230" customFormat="1" ht="17.399999999999999" x14ac:dyDescent="0.35">
      <c r="M72" s="250"/>
      <c r="N72" s="254" t="s">
        <v>32</v>
      </c>
      <c r="O72" s="12"/>
      <c r="P72" s="255">
        <f>P71*2.1</f>
        <v>9082639.7760000024</v>
      </c>
      <c r="Q72" s="14" t="s">
        <v>139</v>
      </c>
      <c r="R72" s="14"/>
      <c r="S72" s="40">
        <f>Q63/S71</f>
        <v>15.864924218991645</v>
      </c>
      <c r="T72"/>
      <c r="U72" s="257"/>
    </row>
    <row r="73" spans="1:25" s="230" customFormat="1" ht="17.399999999999999" x14ac:dyDescent="0.35">
      <c r="H73"/>
      <c r="I73" s="260"/>
      <c r="J73" s="260"/>
      <c r="K73" s="260"/>
      <c r="L73" s="230">
        <v>40000</v>
      </c>
      <c r="M73" s="250"/>
      <c r="N73" s="14"/>
      <c r="O73" s="12"/>
      <c r="P73" s="12">
        <f>P72/Q61</f>
        <v>132809.65450281047</v>
      </c>
      <c r="Q73" s="45" t="s">
        <v>24</v>
      </c>
      <c r="R73" s="14"/>
      <c r="S73" s="14"/>
      <c r="T73"/>
      <c r="U73" s="238"/>
      <c r="V73" s="59" t="s">
        <v>156</v>
      </c>
      <c r="W73" s="299">
        <v>43650</v>
      </c>
    </row>
    <row r="74" spans="1:25" s="230" customFormat="1" ht="17.399999999999999" x14ac:dyDescent="0.35">
      <c r="H74"/>
      <c r="L74" s="230">
        <f>L73/1.19</f>
        <v>33613.445378151264</v>
      </c>
      <c r="M74" s="250"/>
      <c r="N74" s="13"/>
      <c r="O74" s="14"/>
      <c r="P74" s="17">
        <f>P72/P71</f>
        <v>2.1</v>
      </c>
      <c r="Q74" s="15"/>
      <c r="R74" s="14"/>
      <c r="S74"/>
      <c r="T74"/>
      <c r="U74" s="238"/>
      <c r="V74" s="59" t="s">
        <v>158</v>
      </c>
      <c r="W74" s="300" t="s">
        <v>157</v>
      </c>
      <c r="X74" s="59">
        <v>2.4</v>
      </c>
    </row>
    <row r="75" spans="1:25" s="230" customFormat="1" ht="17.399999999999999" x14ac:dyDescent="0.35">
      <c r="H75" s="23"/>
      <c r="M75" s="12"/>
      <c r="R75"/>
      <c r="U75" s="238"/>
      <c r="V75" s="59" t="s">
        <v>159</v>
      </c>
      <c r="W75" s="301">
        <v>395.37</v>
      </c>
    </row>
    <row r="76" spans="1:25" s="230" customFormat="1" ht="17.399999999999999" x14ac:dyDescent="0.35">
      <c r="B76"/>
      <c r="C76" s="228"/>
      <c r="D76" s="22"/>
      <c r="E76" s="22"/>
      <c r="F76" s="22"/>
      <c r="G76" s="21"/>
      <c r="H76" s="23"/>
      <c r="M76" s="12"/>
      <c r="U76" s="238"/>
      <c r="V76" s="59" t="s">
        <v>154</v>
      </c>
      <c r="W76" s="59">
        <v>474.45</v>
      </c>
    </row>
    <row r="77" spans="1:25" ht="14.4" customHeight="1" x14ac:dyDescent="0.3">
      <c r="M77" s="12"/>
      <c r="V77" s="59"/>
      <c r="W77" s="59"/>
    </row>
    <row r="78" spans="1:25" x14ac:dyDescent="0.3">
      <c r="M78" s="250"/>
    </row>
    <row r="79" spans="1:25" x14ac:dyDescent="0.3">
      <c r="M79" s="250"/>
      <c r="U79" s="270"/>
    </row>
    <row r="80" spans="1:25" x14ac:dyDescent="0.3">
      <c r="M80" s="250"/>
    </row>
    <row r="81" spans="16:21" ht="15" customHeight="1" x14ac:dyDescent="0.3"/>
    <row r="83" spans="16:21" x14ac:dyDescent="0.3">
      <c r="P83">
        <v>40935</v>
      </c>
      <c r="Q83" t="s">
        <v>16</v>
      </c>
      <c r="R83" t="s">
        <v>26</v>
      </c>
    </row>
    <row r="85" spans="16:21" x14ac:dyDescent="0.3">
      <c r="P85" s="54"/>
      <c r="Q85" s="54"/>
    </row>
    <row r="86" spans="16:21" x14ac:dyDescent="0.3">
      <c r="T86" s="18"/>
      <c r="U86" s="18"/>
    </row>
    <row r="87" spans="16:21" x14ac:dyDescent="0.3">
      <c r="T87" s="18"/>
      <c r="U87" s="18"/>
    </row>
    <row r="88" spans="16:21" x14ac:dyDescent="0.3">
      <c r="T88" s="18"/>
      <c r="U88" s="18"/>
    </row>
    <row r="89" spans="16:21" x14ac:dyDescent="0.3">
      <c r="T89" s="18"/>
      <c r="U89" s="18"/>
    </row>
    <row r="90" spans="16:21" x14ac:dyDescent="0.3">
      <c r="T90" s="18"/>
      <c r="U90" s="18"/>
    </row>
    <row r="91" spans="16:21" x14ac:dyDescent="0.3">
      <c r="T91" s="18"/>
      <c r="U91" s="18"/>
    </row>
    <row r="92" spans="16:21" x14ac:dyDescent="0.3">
      <c r="T92" s="18"/>
      <c r="U92" s="18"/>
    </row>
    <row r="93" spans="16:21" x14ac:dyDescent="0.3">
      <c r="T93" s="18"/>
      <c r="U93" s="18"/>
    </row>
    <row r="94" spans="16:21" x14ac:dyDescent="0.3">
      <c r="T94" s="18"/>
      <c r="U94" s="18"/>
    </row>
    <row r="97" spans="3:16" x14ac:dyDescent="0.3">
      <c r="P97" s="43"/>
    </row>
    <row r="98" spans="3:16" x14ac:dyDescent="0.3">
      <c r="P98" s="43"/>
    </row>
    <row r="99" spans="3:16" x14ac:dyDescent="0.3">
      <c r="P99" s="6"/>
    </row>
    <row r="100" spans="3:16" x14ac:dyDescent="0.3">
      <c r="P100" s="6"/>
    </row>
    <row r="108" spans="3:16" x14ac:dyDescent="0.3">
      <c r="C108" t="s">
        <v>146</v>
      </c>
    </row>
    <row r="109" spans="3:16" x14ac:dyDescent="0.3">
      <c r="C109" t="s">
        <v>145</v>
      </c>
    </row>
    <row r="112" spans="3:16" x14ac:dyDescent="0.3">
      <c r="C112" t="s">
        <v>145</v>
      </c>
    </row>
    <row r="189" spans="3:3" x14ac:dyDescent="0.3">
      <c r="C189" t="s">
        <v>145</v>
      </c>
    </row>
    <row r="190" spans="3:3" x14ac:dyDescent="0.3">
      <c r="C190" t="s">
        <v>147</v>
      </c>
    </row>
    <row r="191" spans="3:3" x14ac:dyDescent="0.3">
      <c r="C191" t="s">
        <v>148</v>
      </c>
    </row>
    <row r="616" spans="3:3" x14ac:dyDescent="0.3">
      <c r="C616" t="s">
        <v>145</v>
      </c>
    </row>
  </sheetData>
  <mergeCells count="2">
    <mergeCell ref="G17:I17"/>
    <mergeCell ref="B19:I19"/>
  </mergeCells>
  <phoneticPr fontId="34" type="noConversion"/>
  <hyperlinks>
    <hyperlink ref="G6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5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'2229'!H10</f>
        <v>45757</v>
      </c>
    </row>
    <row r="6" spans="2:31" ht="16.2" thickBot="1" x14ac:dyDescent="0.35">
      <c r="B6" s="140" t="s">
        <v>2</v>
      </c>
      <c r="C6" s="139" t="str">
        <f>'2229'!C10</f>
        <v>SISTEMA MUEBLES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97</v>
      </c>
      <c r="I7" s="341"/>
      <c r="J7" s="341"/>
      <c r="K7" s="342"/>
      <c r="N7" s="75"/>
      <c r="O7" s="339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11391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39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-927006.32103345415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'2229'!I59</f>
        <v>9577644</v>
      </c>
      <c r="E11" s="132">
        <f>D11*0.19</f>
        <v>1819752.36</v>
      </c>
      <c r="F11" s="131">
        <f>E11+D11</f>
        <v>11397396.359999999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-821016.32103345415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2433700.6507874397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-839016.32103345415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7143943.3492125608</v>
      </c>
      <c r="E13" s="221">
        <f>(D11/D12)-1</f>
        <v>2.935424020575863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-848016.32103345415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-887016.32103345415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4015606.0737992753</v>
      </c>
      <c r="F15" s="216">
        <f>E15-D12</f>
        <v>1581905.4230118357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-887016.32103345415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-847016.32103345415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'2229'!P67</f>
        <v>916596</v>
      </c>
      <c r="E18" s="123">
        <f>D18*0.19</f>
        <v>174153.24</v>
      </c>
      <c r="F18" s="120">
        <f>SUM(D18:E18)</f>
        <v>1090749.24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'2229'!P66</f>
        <v>912808</v>
      </c>
      <c r="E19" s="123">
        <f>D19*0.19</f>
        <v>173433.52</v>
      </c>
      <c r="F19" s="120">
        <f>SUM(D19:E19)</f>
        <v>1086241.52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'2229'!P65</f>
        <v>574462.55999999994</v>
      </c>
      <c r="E20" s="121">
        <f>D20*0.19</f>
        <v>109147.88639999999</v>
      </c>
      <c r="F20" s="120">
        <f>SUM(D20:E20)</f>
        <v>683610.4463999999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2403866.56</v>
      </c>
      <c r="E21" s="116">
        <f>SUM(E18:E20)</f>
        <v>456734.64639999997</v>
      </c>
      <c r="F21" s="115">
        <f>SUM(F18:F20)</f>
        <v>2860601.2063999996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1363017.7136000001</v>
      </c>
    </row>
    <row r="41" spans="2:16" ht="15" thickBot="1" x14ac:dyDescent="0.35">
      <c r="H41" s="343" t="s">
        <v>59</v>
      </c>
      <c r="I41" s="344"/>
      <c r="J41" s="344"/>
      <c r="K41" s="344"/>
      <c r="L41" s="344"/>
      <c r="M41" s="345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9577644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2403866.56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7143943.3492125608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7143943.3492125608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2025-04-10T23:23:01Z</cp:lastPrinted>
  <dcterms:created xsi:type="dcterms:W3CDTF">2013-03-18T13:35:42Z</dcterms:created>
  <dcterms:modified xsi:type="dcterms:W3CDTF">2025-04-10T23:26:15Z</dcterms:modified>
</cp:coreProperties>
</file>