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4 ABRIL 2025\"/>
    </mc:Choice>
  </mc:AlternateContent>
  <xr:revisionPtr revIDLastSave="0" documentId="13_ncr:1_{2AE5E7BD-1F46-4012-B853-C9907209A7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L21" i="1"/>
  <c r="N21" i="1"/>
  <c r="M21" i="1" l="1"/>
  <c r="M26" i="1" s="1"/>
  <c r="S21" i="1" l="1"/>
  <c r="S26" i="1" s="1"/>
  <c r="T21" i="1"/>
  <c r="T25" i="1" s="1"/>
  <c r="O21" i="1"/>
  <c r="P21" i="1" s="1"/>
  <c r="P26" i="1" s="1"/>
  <c r="K40" i="1"/>
  <c r="V33" i="1" l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O39" i="1" l="1"/>
  <c r="D20" i="3"/>
  <c r="E20" i="3" s="1"/>
  <c r="E21" i="3" s="1"/>
  <c r="Q20" i="1" l="1"/>
  <c r="D21" i="3"/>
  <c r="M43" i="3" s="1"/>
  <c r="D12" i="3" s="1"/>
  <c r="F20" i="3"/>
  <c r="F21" i="3" s="1"/>
  <c r="O40" i="1" l="1"/>
  <c r="E15" i="3"/>
  <c r="Q21" i="1" l="1"/>
  <c r="F15" i="3"/>
  <c r="R21" i="1" l="1"/>
  <c r="H21" i="1" l="1"/>
  <c r="H25" i="1" s="1"/>
  <c r="H26" i="1" l="1"/>
  <c r="D11" i="3" l="1"/>
  <c r="X9" i="3" s="1"/>
  <c r="X15" i="3" s="1"/>
  <c r="H27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<sst xmlns="http://schemas.openxmlformats.org/spreadsheetml/2006/main" count="230" uniqueCount="175">
  <si>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</si>
  <si>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</si>
  <si>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</si>
  <si>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</si>
  <si>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</si>
  <si>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</si>
  <si>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</si>
  <si>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</si>
  <si>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</si>
  <si>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</si>
  <si>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</si>
  <si>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</si>
  <si>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</si>
  <si>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</si>
  <si>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</si>
  <si>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</si>
  <si>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</si>
  <si>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</si>
  <si>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</si>
  <si>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</si>
  <si>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</si>
  <si>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</si>
  <si>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</si>
  <si>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</si>
  <si>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</si>
  <si>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</si>
  <si>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</si>
  <si>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</si>
  <si>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</si>
  <si>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</si>
  <si>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</si>
  <si>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</si>
  <si>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</si>
  <si>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</si>
  <si>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</si>
  <si>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</si>
  <si>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</si>
  <si>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</si>
  <si>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</si>
  <si>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</si>
  <si>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</si>
  <si>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</si>
  <si>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</si>
  <si>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</si>
  <si>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</si>
  <si>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</si>
  <si>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</si>
  <si>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</si>
  <si>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</si>
  <si>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</si>
  <si>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</si>
  <si>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</si>
  <si>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</si>
  <si>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</si>
  <si>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</si>
  <si>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</si>
  <si>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</si>
  <si>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</si>
  <si>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</si>
  <si>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</si>
  <si>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</si>
  <si>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</si>
  <si>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</si>
  <si>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</si>
  <si>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</si>
  <si>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</si>
  <si>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</si>
  <si>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</si>
  <si>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</si>
  <si>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</si>
  <si>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</si>
  <si>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</si>
  <si>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</si>
  <si>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</si>
  <si>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</si>
  <si>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</si>
  <si>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</si>
  <si>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</si>
  <si>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</si>
  <si>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</si>
  <si>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</si>
  <si>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</si>
  <si>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</si>
  <si>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</si>
  <si>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</si>
  <si>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</si>
  <si>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</si>
  <si>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</si>
  <si>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</si>
  <si>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</si>
  <si>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</si>
  <si>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</si>
  <si>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</si>
  <si>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</si>
  <si>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</si>
  <si>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</si>
  <si>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</si>
  <si>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</si>
  <si>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</si>
  <si>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</si>
  <si>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</si>
  <si>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</si>
  <si>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</si>
  <si>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</si>
  <si>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</si>
  <si>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</si>
  <si>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</si>
  <si>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</si>
  <si>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</si>
  <si>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</si>
  <si>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</si>
  <si>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</si>
  <si>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</si>
  <si>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</si>
  <si>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</si>
  <si>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</si>
  <si>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</si>
  <si>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</si>
  <si>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</si>
  <si>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</si>
  <si>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</si>
  <si>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</si>
  <si>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</si>
  <si>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</si>
  <si>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</si>
  <si>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</si>
  <si>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</si>
  <si>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</si>
  <si>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</si>
  <si>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</si>
  <si>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</si>
  <si>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</si>
  <si>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</si>
  <si>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</si>
  <si>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</si>
  <si>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</si>
  <si>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</si>
  <si>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</si>
  <si>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</si>
  <si>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</si>
  <si>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</si>
  <si>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</si>
  <si>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</si>
  <si>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</si>
  <si>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</si>
  <si>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</si>
  <si>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</si>
  <si>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</si>
  <si>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</si>
  <si>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</si>
  <si>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</si>
  <si>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</si>
  <si>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</si>
  <si>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</si>
  <si>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</si>
  <si>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</si>
  <si>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</si>
  <si>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</si>
  <si>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</si>
  <si>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</si>
  <si>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</si>
  <si>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</si>
  <si>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</si>
  <si>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</si>
  <si>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</si>
  <si>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</si>
  <si>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</si>
  <si>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CUB CON RESPALDO Y FRENTE 90°</t>
  </si>
  <si>
    <t>5 DIAS HABILES</t>
  </si>
  <si>
    <t>CLASSIC 3111 BR F6</t>
  </si>
  <si>
    <t>DESPACHO</t>
  </si>
  <si>
    <t>GABRIEL FERNANDEZ</t>
  </si>
  <si>
    <t>5698928 3707</t>
  </si>
  <si>
    <t>SI</t>
  </si>
  <si>
    <t>N° 11398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</si>
</sst>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 CUBIERTAS</a:t>
          </a:r>
          <a:r>
            <a:rPr lang="es-CL" sz="1200" b="1" baseline="0"/>
            <a:t>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7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2.6640625" customWidth="1"/>
    <col min="4" max="4" width="11.109375" customWidth="1"/>
    <col min="5" max="5" width="10.5546875" customWidth="1"/>
    <col min="6" max="6" width="27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174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171</v>
      </c>
      <c r="D10" s="243"/>
      <c r="E10" s="243"/>
      <c r="F10" s="244" t="s">
        <v>0</v>
      </c>
      <c r="G10" s="276">
        <v>45763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168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145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172</v>
      </c>
      <c r="D15" s="310"/>
      <c r="F15" t="s">
        <v>134</v>
      </c>
      <c r="G15" s="308" t="s">
        <v>173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1:25" ht="15" thickBot="1" x14ac:dyDescent="0.35">
      <c r="B17" s="311" t="s">
        <v>13</v>
      </c>
      <c r="C17" s="312" t="s">
        <v>165</v>
      </c>
      <c r="D17" s="313"/>
      <c r="E17" s="119"/>
      <c r="F17" s="333" t="s">
        <v>164</v>
      </c>
      <c r="G17" s="333"/>
      <c r="H17" s="334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O39</f>
        <v>97293.571428571449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1</v>
      </c>
      <c r="C21" s="330" t="s">
        <v>167</v>
      </c>
      <c r="D21" s="331">
        <v>3</v>
      </c>
      <c r="E21" s="331">
        <v>0.6</v>
      </c>
      <c r="F21" s="330" t="s">
        <v>169</v>
      </c>
      <c r="G21" s="332">
        <v>103206</v>
      </c>
      <c r="H21" s="332">
        <f>G21*B21</f>
        <v>103206</v>
      </c>
      <c r="I21" s="320"/>
      <c r="J21" s="265"/>
      <c r="K21" s="47"/>
      <c r="L21" s="47">
        <f>B21</f>
        <v>1</v>
      </c>
      <c r="M21" s="39">
        <f>D21+M$19</f>
        <v>3.08</v>
      </c>
      <c r="N21" s="39">
        <f>E21+$N$19</f>
        <v>0.6</v>
      </c>
      <c r="O21" s="261">
        <f t="shared" ref="O21" si="1">M21*N21</f>
        <v>1.8479999999999999</v>
      </c>
      <c r="P21" s="259">
        <f t="shared" ref="P21" si="2">O21*L21</f>
        <v>1.8479999999999999</v>
      </c>
      <c r="Q21" s="252">
        <f t="shared" ref="Q21" si="3">Q$20*O21</f>
        <v>179798.52000000002</v>
      </c>
      <c r="R21" s="319">
        <f t="shared" ref="R21" si="4">Q21+R$20</f>
        <v>182798.52000000002</v>
      </c>
      <c r="S21" s="297">
        <f>M21*L21</f>
        <v>3.08</v>
      </c>
      <c r="T21" s="46">
        <f>N21*2*L21*2</f>
        <v>2.4</v>
      </c>
      <c r="U21" s="9"/>
      <c r="X21" s="4"/>
    </row>
    <row r="22" spans="1:25" ht="17.399999999999999" x14ac:dyDescent="0.3">
      <c r="B22" s="330">
        <v>1</v>
      </c>
      <c r="C22" s="330" t="s">
        <v>170</v>
      </c>
      <c r="D22" s="331"/>
      <c r="E22" s="331"/>
      <c r="F22" s="330"/>
      <c r="G22" s="332">
        <v>10000</v>
      </c>
      <c r="H22" s="332">
        <f>G22*B22</f>
        <v>10000</v>
      </c>
      <c r="I22" s="320"/>
      <c r="J22" s="265"/>
      <c r="K22" s="47"/>
      <c r="L22" s="47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20"/>
      <c r="H23" s="320"/>
      <c r="I23" s="320"/>
      <c r="J23" s="265"/>
      <c r="K23" s="47"/>
      <c r="L23" s="47"/>
      <c r="M23" s="39"/>
      <c r="N23" s="39"/>
      <c r="O23" s="261"/>
      <c r="P23" s="259"/>
      <c r="Q23" s="252"/>
      <c r="R23" s="319"/>
      <c r="S23" s="297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21"/>
      <c r="I24" s="323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4" t="s">
        <v>28</v>
      </c>
      <c r="H25" s="325">
        <f>SUM(H21:H24)</f>
        <v>113206</v>
      </c>
      <c r="I25" s="322"/>
      <c r="J25" s="265"/>
      <c r="K25" s="47">
        <v>2600000</v>
      </c>
      <c r="L25" s="47"/>
      <c r="M25" s="39"/>
      <c r="N25" s="39"/>
      <c r="O25" s="261"/>
      <c r="P25" s="259"/>
      <c r="Q25" s="252"/>
      <c r="R25" s="258"/>
      <c r="S25" s="297"/>
      <c r="T25" s="46">
        <f>SUM(T21:T24)</f>
        <v>2.4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51</v>
      </c>
      <c r="H26" s="294">
        <f>H25*19%</f>
        <v>21509.14</v>
      </c>
      <c r="I26" s="322"/>
      <c r="J26" s="265"/>
      <c r="K26" s="47"/>
      <c r="L26" s="47"/>
      <c r="M26" s="39">
        <f>SUM(M21:M21)</f>
        <v>3.08</v>
      </c>
      <c r="N26" s="12"/>
      <c r="O26" s="12"/>
      <c r="P26" s="253">
        <f>SUM(P21:P24)</f>
        <v>1.8479999999999999</v>
      </c>
      <c r="Q26" s="14"/>
      <c r="R26" s="12"/>
      <c r="S26" s="239">
        <f>SUM(S21:S25)</f>
        <v>3.08</v>
      </c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134715.14000000001</v>
      </c>
      <c r="I27" s="322"/>
      <c r="J27" s="265"/>
      <c r="K27" s="47"/>
      <c r="L27" s="47"/>
      <c r="M27" s="39"/>
      <c r="N27" s="12"/>
      <c r="O27" s="12"/>
      <c r="P27" s="253">
        <f>P26</f>
        <v>1.8479999999999999</v>
      </c>
      <c r="Q27" s="14"/>
      <c r="R27" s="12"/>
      <c r="S27" s="239"/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0.36959999999999998</v>
      </c>
      <c r="Q28" s="39" t="s">
        <v>130</v>
      </c>
      <c r="R28" s="42"/>
      <c r="S28" s="240"/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2.2176</v>
      </c>
      <c r="Q29" s="14"/>
      <c r="R29" s="14"/>
      <c r="S29" s="238"/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/>
      <c r="T30" s="14"/>
      <c r="U30" s="302" t="s">
        <v>21</v>
      </c>
      <c r="V30" s="299" t="s">
        <v>151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2.2176</v>
      </c>
      <c r="N31" s="12">
        <v>3500</v>
      </c>
      <c r="O31" s="12">
        <f t="shared" ref="O31:O36" si="5">M31*N31</f>
        <v>7761.6</v>
      </c>
      <c r="P31" s="14" t="s">
        <v>21</v>
      </c>
      <c r="Q31" s="14"/>
      <c r="R31" s="14"/>
      <c r="S31" s="241"/>
      <c r="T31" s="14"/>
      <c r="U31" s="302" t="s">
        <v>152</v>
      </c>
      <c r="V31" s="299">
        <v>3625</v>
      </c>
      <c r="W31" s="59" t="s">
        <v>153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/>
      <c r="L32" s="47"/>
      <c r="M32" s="249">
        <v>1</v>
      </c>
      <c r="N32" s="12">
        <v>25000</v>
      </c>
      <c r="O32" s="12">
        <f t="shared" si="5"/>
        <v>25000</v>
      </c>
      <c r="P32" s="39" t="s">
        <v>31</v>
      </c>
      <c r="Q32" s="42"/>
      <c r="R32" s="14"/>
      <c r="S32" s="240"/>
      <c r="T32" s="14"/>
      <c r="U32" s="302"/>
      <c r="V32" s="59">
        <v>906.25</v>
      </c>
      <c r="W32" s="59" t="s">
        <v>154</v>
      </c>
      <c r="X32" s="304"/>
    </row>
    <row r="33" spans="2:24" s="230" customFormat="1" ht="17.399999999999999" x14ac:dyDescent="0.35">
      <c r="B33" s="24" t="s">
        <v>150</v>
      </c>
      <c r="J33" s="262"/>
      <c r="K33" s="232"/>
      <c r="L33" s="250"/>
      <c r="M33" s="14"/>
      <c r="N33" s="250">
        <v>61840</v>
      </c>
      <c r="O33" s="12">
        <f t="shared" si="5"/>
        <v>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4" t="s">
        <v>155</v>
      </c>
      <c r="X33" s="59"/>
    </row>
    <row r="34" spans="2:24" s="230" customFormat="1" ht="17.399999999999999" x14ac:dyDescent="0.35">
      <c r="B34" s="24" t="s">
        <v>166</v>
      </c>
      <c r="C34"/>
      <c r="D34"/>
      <c r="E34"/>
      <c r="F34"/>
      <c r="J34" s="262"/>
      <c r="K34" s="232"/>
      <c r="L34" s="250"/>
      <c r="M34" s="14">
        <v>2</v>
      </c>
      <c r="N34" s="250">
        <v>22000</v>
      </c>
      <c r="O34" s="12">
        <f t="shared" si="5"/>
        <v>44000</v>
      </c>
      <c r="P34" s="14" t="s">
        <v>141</v>
      </c>
      <c r="Q34" s="17"/>
      <c r="S34" s="238"/>
      <c r="T34" s="256"/>
      <c r="U34" s="59"/>
      <c r="V34" s="59">
        <f>V32+V33</f>
        <v>1087.5</v>
      </c>
      <c r="W34" s="304" t="s">
        <v>156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K35" s="260"/>
      <c r="L35" s="250"/>
      <c r="M35" s="249"/>
      <c r="N35" s="250">
        <v>900</v>
      </c>
      <c r="O35" s="12">
        <f t="shared" si="5"/>
        <v>0</v>
      </c>
      <c r="P35" s="14" t="s">
        <v>32</v>
      </c>
      <c r="Q35" s="14"/>
      <c r="R35" s="230">
        <v>1.52</v>
      </c>
      <c r="S35" s="238"/>
      <c r="T35" s="238"/>
    </row>
    <row r="36" spans="2:24" s="230" customFormat="1" ht="17.399999999999999" x14ac:dyDescent="0.35">
      <c r="J36" s="293"/>
      <c r="K36" s="260"/>
      <c r="L36" s="250"/>
      <c r="M36" s="266">
        <v>3.31</v>
      </c>
      <c r="N36" s="12">
        <v>1500</v>
      </c>
      <c r="O36" s="12">
        <f t="shared" si="5"/>
        <v>4965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K37" s="260"/>
      <c r="L37" s="250"/>
      <c r="M37" s="14"/>
      <c r="N37" s="12"/>
      <c r="O37" s="12">
        <f>SUM(O31:O36)</f>
        <v>81726.600000000006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2:24" s="230" customFormat="1" ht="17.399999999999999" x14ac:dyDescent="0.35">
      <c r="L38" s="250"/>
      <c r="M38" s="254" t="s">
        <v>33</v>
      </c>
      <c r="N38" s="12"/>
      <c r="O38" s="255">
        <f>O37*2.2</f>
        <v>179798.52000000002</v>
      </c>
      <c r="P38" s="14" t="s">
        <v>140</v>
      </c>
      <c r="Q38" s="14"/>
      <c r="R38" s="40">
        <f>P29/R37</f>
        <v>0.59792924935289038</v>
      </c>
      <c r="S38"/>
      <c r="T38" s="257"/>
    </row>
    <row r="39" spans="2:24" s="230" customFormat="1" ht="17.399999999999999" x14ac:dyDescent="0.35">
      <c r="G39"/>
      <c r="H39" s="260"/>
      <c r="I39" s="260"/>
      <c r="J39" s="260"/>
      <c r="K39" s="230">
        <v>31030</v>
      </c>
      <c r="L39" s="250"/>
      <c r="M39" s="14"/>
      <c r="N39" s="12"/>
      <c r="O39" s="12">
        <f>O38/P27</f>
        <v>97293.571428571449</v>
      </c>
      <c r="P39" s="45" t="s">
        <v>24</v>
      </c>
      <c r="Q39" s="14"/>
      <c r="R39" s="14"/>
      <c r="S39"/>
      <c r="T39" s="238"/>
      <c r="U39" s="59" t="s">
        <v>157</v>
      </c>
      <c r="V39" s="299">
        <v>43650</v>
      </c>
    </row>
    <row r="40" spans="2:24" s="230" customFormat="1" ht="17.399999999999999" x14ac:dyDescent="0.35">
      <c r="G40"/>
      <c r="K40" s="230">
        <f>K39/1.19</f>
        <v>26075.63025210084</v>
      </c>
      <c r="L40" s="250"/>
      <c r="M40" s="13"/>
      <c r="N40" s="14"/>
      <c r="O40" s="17">
        <f>O38/O37</f>
        <v>2.2000000000000002</v>
      </c>
      <c r="P40" s="15"/>
      <c r="Q40"/>
      <c r="R40"/>
      <c r="S40"/>
      <c r="T40" s="238"/>
      <c r="U40" s="59" t="s">
        <v>159</v>
      </c>
      <c r="V40" s="300" t="s">
        <v>158</v>
      </c>
      <c r="W40" s="59">
        <v>2.4</v>
      </c>
    </row>
    <row r="41" spans="2:24" s="230" customFormat="1" ht="17.399999999999999" x14ac:dyDescent="0.35">
      <c r="G41" s="23"/>
      <c r="L41" s="12"/>
      <c r="T41" s="238"/>
      <c r="U41" s="59" t="s">
        <v>160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155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147</v>
      </c>
    </row>
    <row r="75" spans="3:15" x14ac:dyDescent="0.3">
      <c r="C75" t="s">
        <v>146</v>
      </c>
    </row>
    <row r="78" spans="3:15" x14ac:dyDescent="0.3">
      <c r="C78" t="s">
        <v>146</v>
      </c>
    </row>
    <row r="155" spans="3:3" x14ac:dyDescent="0.3">
      <c r="C155" t="s">
        <v>146</v>
      </c>
    </row>
    <row r="156" spans="3:3" x14ac:dyDescent="0.3">
      <c r="C156" t="s">
        <v>148</v>
      </c>
    </row>
    <row r="157" spans="3:3" x14ac:dyDescent="0.3">
      <c r="C157" t="s">
        <v>149</v>
      </c>
    </row>
    <row r="582" spans="3:3" x14ac:dyDescent="0.3">
      <c r="C582" t="s">
        <v>146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45763</v>
      </c>
    </row>
    <row r="6" spans="2:31" ht="16.2" thickBot="1" x14ac:dyDescent="0.35">
      <c r="B6" s="140" t="s">
        <v>2</v>
      </c>
      <c r="C6" s="139" t="str">
        <f>'2229'!C10</f>
        <v>GABRIEL FERNANDEZ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11398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-1653.8517001207729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113206</v>
      </c>
      <c r="E11" s="132">
        <f>D11*0.19</f>
        <v>21509.14</v>
      </c>
      <c r="F11" s="131">
        <f>E11+D11</f>
        <v>134715.14000000001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104336.14829987922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62595.690787439613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86336.14829987922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50610.309212560387</v>
      </c>
      <c r="E13" s="221">
        <f>(D11/D12)-1</f>
        <v>0.80852704995973612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77336.14829987922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38336.148299879227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103282.88979927536</v>
      </c>
      <c r="F15" s="216">
        <f>E15-D12</f>
        <v>40687.19901183575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38336.148299879227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78336.14829987922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7761.6</v>
      </c>
      <c r="E20" s="121">
        <f>D20*0.19</f>
        <v>1474.7040000000002</v>
      </c>
      <c r="F20" s="120">
        <f>SUM(D20:E20)</f>
        <v>9236.3040000000001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32761.599999999999</v>
      </c>
      <c r="E21" s="116">
        <f>SUM(E18:E20)</f>
        <v>6224.7039999999997</v>
      </c>
      <c r="F21" s="115">
        <f>SUM(F18:F20)</f>
        <v>38986.304000000004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15284.436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113206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32761.599999999999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50610.309212560387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50610.309212560387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2025-03-04T21:04:33Z</cp:lastPrinted>
  <dcterms:created xsi:type="dcterms:W3CDTF">2013-03-18T13:35:42Z</dcterms:created>
  <dcterms:modified xsi:type="dcterms:W3CDTF">2025-04-16T16:06:43Z</dcterms:modified>
</cp:coreProperties>
</file>