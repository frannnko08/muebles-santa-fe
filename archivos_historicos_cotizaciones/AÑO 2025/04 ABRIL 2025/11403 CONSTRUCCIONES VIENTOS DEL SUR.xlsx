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50D07BB2-5835-427D-84C7-DF46041661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I21" i="1"/>
  <c r="M21" i="1"/>
  <c r="N21" i="1"/>
  <c r="I22" i="1"/>
  <c r="O21" i="1" l="1"/>
  <c r="P21" i="1" s="1"/>
  <c r="M24" i="1" l="1"/>
  <c r="P25" i="1"/>
  <c r="V35" i="1"/>
  <c r="V36" i="1" s="1"/>
  <c r="S26" i="1" l="1"/>
  <c r="O34" i="1"/>
  <c r="P26" i="1" l="1"/>
  <c r="P27" i="1" s="1"/>
  <c r="P31" i="1" s="1"/>
  <c r="M33" i="1" s="1"/>
  <c r="N20" i="1"/>
  <c r="L20" i="1"/>
  <c r="O35" i="1" l="1"/>
  <c r="R39" i="1"/>
  <c r="O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R40" i="1"/>
  <c r="O39" i="1" l="1"/>
  <c r="D20" i="3"/>
  <c r="E20" i="3" s="1"/>
  <c r="E21" i="3" s="1"/>
  <c r="O42" i="1" l="1"/>
  <c r="D21" i="3"/>
  <c r="M43" i="3" s="1"/>
  <c r="D12" i="3" s="1"/>
  <c r="F20" i="3"/>
  <c r="F21" i="3" s="1"/>
  <c r="O41" i="1" l="1"/>
  <c r="Q20" i="1" s="1"/>
  <c r="Q21" i="1" s="1"/>
  <c r="R21" i="1" s="1"/>
  <c r="E15" i="3"/>
  <c r="F15" i="3" l="1"/>
  <c r="I24" i="1" l="1"/>
  <c r="I25" i="1" s="1"/>
  <c r="D11" i="3" l="1"/>
  <c r="X9" i="3" s="1"/>
  <c r="X15" i="3" s="1"/>
  <c r="I26" i="1"/>
  <c r="E11" i="3" l="1"/>
  <c r="D40" i="3" s="1"/>
  <c r="X11" i="3"/>
  <c r="X16" i="3"/>
  <c r="X13" i="3"/>
  <c r="E13" i="3"/>
  <c r="M42" i="3"/>
  <c r="M46" i="3" s="1"/>
  <c r="M49" i="3" s="1"/>
  <c r="D13" i="3"/>
  <c r="X12" i="3"/>
  <c r="X14" i="3"/>
  <c r="F11" i="3"/>
</calcChain>
</file>

<file path=xl/sharedStrings.xml><?xml version="1.0" encoding="utf-8"?>
<sst xmlns="http://schemas.openxmlformats.org/spreadsheetml/2006/main" count="243" uniqueCount="187">
  <si>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</si>
  <si>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</si>
  <si>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</si>
  <si>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</si>
  <si>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</si>
  <si>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</si>
  <si>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</si>
  <si>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</si>
  <si>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</si>
  <si>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</si>
  <si>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</si>
  <si>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</si>
  <si>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</si>
  <si>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</si>
  <si>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</si>
  <si>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</si>
  <si>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</si>
  <si>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</si>
  <si>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</si>
  <si>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</si>
  <si>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</si>
  <si>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</si>
  <si>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</si>
  <si>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</si>
  <si>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</si>
  <si>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</si>
  <si>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</si>
  <si>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</si>
  <si>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</si>
  <si>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</si>
  <si>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</si>
  <si>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</si>
  <si>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</si>
  <si>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</si>
  <si>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</si>
  <si>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</si>
  <si>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</si>
  <si>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</si>
  <si>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</si>
  <si>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</si>
  <si>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</si>
  <si>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</si>
  <si>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</si>
  <si>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</si>
  <si>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</si>
  <si>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</si>
  <si>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</si>
  <si>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</si>
  <si>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</si>
  <si>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</si>
  <si>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</si>
  <si>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</si>
  <si>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</si>
  <si>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</si>
  <si>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</si>
  <si>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</si>
  <si>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</si>
  <si>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</si>
  <si>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</si>
  <si>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</si>
  <si>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</si>
  <si>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</si>
  <si>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</si>
  <si>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</si>
  <si>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</si>
  <si>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</si>
  <si>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</si>
  <si>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</si>
  <si>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</si>
  <si>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</si>
  <si>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</si>
  <si>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</si>
  <si>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</si>
  <si>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</si>
  <si>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</si>
  <si>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</si>
  <si>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</si>
  <si>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</si>
  <si>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</si>
  <si>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</si>
  <si>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</si>
  <si>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</si>
  <si>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</si>
  <si>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</si>
  <si>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</si>
  <si>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</si>
  <si>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</si>
  <si>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</si>
  <si>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</si>
  <si>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</si>
  <si>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</si>
  <si>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</si>
  <si>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</si>
  <si>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</si>
  <si>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</si>
  <si>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</si>
  <si>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</si>
  <si>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</si>
  <si>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</si>
  <si>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</si>
  <si>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</si>
  <si>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</si>
  <si>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</si>
  <si>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</si>
  <si>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</si>
  <si>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</si>
  <si>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</si>
  <si>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</si>
  <si>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</si>
  <si>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</si>
  <si>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</si>
  <si>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</si>
  <si>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</si>
  <si>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</si>
  <si>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</si>
  <si>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</si>
  <si>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</si>
  <si>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</si>
  <si>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</si>
  <si>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</si>
  <si>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</si>
  <si>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</si>
  <si>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</si>
  <si>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</si>
  <si>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</si>
  <si>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</si>
  <si>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</si>
  <si>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</si>
  <si>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</si>
  <si>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</si>
  <si>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</si>
  <si>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</si>
  <si>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</si>
  <si>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</si>
  <si>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</si>
  <si>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</si>
  <si>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</si>
  <si>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</si>
  <si>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</si>
  <si>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</si>
  <si>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</si>
  <si>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</si>
  <si>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</si>
  <si>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</si>
  <si>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</si>
  <si>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</si>
  <si>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</si>
  <si>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</si>
  <si>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</si>
  <si>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</si>
  <si>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</si>
  <si>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</si>
  <si>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</si>
  <si>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</si>
  <si>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</si>
  <si>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</si>
  <si>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</si>
  <si>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</si>
  <si>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</si>
  <si>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</si>
  <si>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</si>
  <si>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</si>
  <si>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</si>
  <si>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</si>
  <si>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ESKELETOR</t>
  </si>
  <si>
    <t>SANTIAGO</t>
  </si>
  <si>
    <t>DURACION COTIZACION: 5 DIAS                            FRANCO DONOSO</t>
  </si>
  <si>
    <t>BLANCO POLAR</t>
  </si>
  <si>
    <t>77.396.090-9</t>
  </si>
  <si>
    <t>+569 37274807</t>
  </si>
  <si>
    <t>RICARDO VIDAL</t>
  </si>
  <si>
    <t>ABONO 40% SALDO C/ENTREGA</t>
  </si>
  <si>
    <t>SI</t>
  </si>
  <si>
    <t>PJE. JULIO MONTT 65698 LA CISTERNA</t>
  </si>
  <si>
    <t>CONSTRUCCIONES VIENTOS DEL SUR LTDA.</t>
  </si>
  <si>
    <t>CONSTRUCCION</t>
  </si>
  <si>
    <t>CVS.LTDA@HOTMAIL.COM</t>
  </si>
  <si>
    <t>M04</t>
  </si>
  <si>
    <t>N° 11403</t>
  </si>
  <si>
    <t>SERVICIO INSTALACION</t>
  </si>
  <si>
    <t>ITEM 2</t>
  </si>
  <si>
    <t>ITEM 1</t>
  </si>
  <si>
    <t>SE  DEBE ABONAR EL 40% DEL VALOR DE LAS CUBIERTAS MAS IVA, EL SALDO RESTANTE SE CANCELA ANTES DE LA INSTALACION</t>
  </si>
  <si>
    <t xml:space="preserve">CONDICIONES GENERALES: </t>
  </si>
  <si>
    <t>SE DEBE ABONAR EL 50% DE LA INSTALACION ANTES DE IR A TERRENO, SALDO SE PAGA AL CONTADO UNA VEZ INSTALADO</t>
  </si>
  <si>
    <t>7 DIAS HABILES</t>
  </si>
  <si>
    <t>ENCHAPE RECTO 1 CARA 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</si>
</sst>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8" borderId="0" xfId="0" quotePrefix="1" applyFill="1"/>
    <xf numFmtId="167" fontId="0" fillId="21" borderId="0" xfId="0" applyNumberFormat="1" applyFill="1"/>
    <xf numFmtId="166" fontId="3" fillId="21" borderId="0" xfId="0" applyNumberFormat="1" applyFont="1" applyFill="1"/>
    <xf numFmtId="0" fontId="37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righ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31</xdr:row>
      <xdr:rowOff>26670</xdr:rowOff>
    </xdr:from>
    <xdr:to>
      <xdr:col>8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33</xdr:row>
      <xdr:rowOff>154305</xdr:rowOff>
    </xdr:from>
    <xdr:to>
      <xdr:col>8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6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6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 ENCHAPADA CON TAPACANTO PVC DE 2MM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S.LTDA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4"/>
  <sheetViews>
    <sheetView tabSelected="1" topLeftCell="A9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4.33203125" customWidth="1"/>
    <col min="4" max="4" width="11.109375" customWidth="1"/>
    <col min="5" max="6" width="10.5546875" customWidth="1"/>
    <col min="7" max="7" width="27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2" t="s">
        <v>143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139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144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125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1" t="s">
        <v>127</v>
      </c>
      <c r="C8" s="302"/>
      <c r="D8" s="324" t="s">
        <v>178</v>
      </c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18" t="s">
        <v>163</v>
      </c>
      <c r="C10" s="279" t="s">
        <v>174</v>
      </c>
      <c r="D10" s="243"/>
      <c r="E10" s="243"/>
      <c r="F10" s="243"/>
      <c r="G10" s="244" t="s">
        <v>0</v>
      </c>
      <c r="H10" s="277">
        <v>45771</v>
      </c>
      <c r="I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311" t="s">
        <v>168</v>
      </c>
      <c r="G11" t="s">
        <v>124</v>
      </c>
      <c r="H11" s="289" t="s">
        <v>185</v>
      </c>
      <c r="I11" s="290"/>
      <c r="Q11" s="19"/>
      <c r="R11" s="25" t="s">
        <v>19</v>
      </c>
      <c r="S11" s="19"/>
    </row>
    <row r="12" spans="2:24" ht="16.8" x14ac:dyDescent="0.4">
      <c r="B12" s="246" t="s">
        <v>146</v>
      </c>
      <c r="C12" s="322" t="s">
        <v>175</v>
      </c>
      <c r="D12" s="247"/>
      <c r="E12" s="247"/>
      <c r="F12" s="247"/>
      <c r="G12" s="247" t="s">
        <v>128</v>
      </c>
      <c r="H12" s="278" t="s">
        <v>136</v>
      </c>
      <c r="I12" s="248"/>
      <c r="Q12" s="19"/>
      <c r="R12" s="25"/>
      <c r="S12" s="19"/>
    </row>
    <row r="13" spans="2:24" x14ac:dyDescent="0.3">
      <c r="B13" s="246" t="s">
        <v>147</v>
      </c>
      <c r="C13" s="328" t="s">
        <v>170</v>
      </c>
      <c r="D13" s="247"/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8" t="s">
        <v>140</v>
      </c>
      <c r="C14" s="306" t="s">
        <v>176</v>
      </c>
      <c r="G14" s="29" t="s">
        <v>137</v>
      </c>
      <c r="H14" s="291" t="s">
        <v>172</v>
      </c>
      <c r="I14" s="290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23" t="s">
        <v>169</v>
      </c>
      <c r="D15" s="295"/>
      <c r="E15" s="247"/>
      <c r="F15" s="247"/>
      <c r="G15" s="247" t="s">
        <v>135</v>
      </c>
      <c r="H15" s="296" t="s">
        <v>172</v>
      </c>
      <c r="I15" s="248"/>
      <c r="L15" s="18" t="s">
        <v>164</v>
      </c>
    </row>
    <row r="16" spans="2:24" ht="16.8" x14ac:dyDescent="0.4">
      <c r="B16" s="292" t="s">
        <v>3</v>
      </c>
      <c r="C16" s="311" t="s">
        <v>173</v>
      </c>
      <c r="G16" s="293" t="s">
        <v>130</v>
      </c>
      <c r="H16" s="294" t="s">
        <v>171</v>
      </c>
      <c r="I16" s="290"/>
    </row>
    <row r="17" spans="2:25" ht="15" thickBot="1" x14ac:dyDescent="0.35">
      <c r="B17" s="297" t="s">
        <v>13</v>
      </c>
      <c r="C17" s="298" t="s">
        <v>165</v>
      </c>
      <c r="D17" s="299"/>
      <c r="E17" s="300"/>
      <c r="F17" s="300"/>
      <c r="G17" s="333" t="s">
        <v>166</v>
      </c>
      <c r="H17" s="333"/>
      <c r="I17" s="334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35" t="s">
        <v>148</v>
      </c>
      <c r="C19" s="336"/>
      <c r="D19" s="336"/>
      <c r="E19" s="336"/>
      <c r="F19" s="336"/>
      <c r="G19" s="336"/>
      <c r="H19" s="336"/>
      <c r="I19" s="337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21</v>
      </c>
      <c r="R19" s="37" t="s">
        <v>134</v>
      </c>
      <c r="S19" s="10" t="s">
        <v>138</v>
      </c>
      <c r="U19" s="9"/>
      <c r="V19" s="9"/>
      <c r="X19" s="6"/>
      <c r="Y19" s="6"/>
    </row>
    <row r="20" spans="2:25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96</v>
      </c>
      <c r="G20" s="320" t="s">
        <v>8</v>
      </c>
      <c r="H20" s="320" t="s">
        <v>5</v>
      </c>
      <c r="I20" s="321" t="s">
        <v>6</v>
      </c>
      <c r="J20" s="265"/>
      <c r="K20" s="47"/>
      <c r="L20" s="268" t="str">
        <f>B20</f>
        <v>UNIDAD</v>
      </c>
      <c r="M20" s="267" t="s">
        <v>132</v>
      </c>
      <c r="N20" s="39" t="str">
        <f t="shared" ref="N20" si="0">E20</f>
        <v>ANCHO</v>
      </c>
      <c r="O20" s="261" t="s">
        <v>133</v>
      </c>
      <c r="P20" s="259" t="s">
        <v>17</v>
      </c>
      <c r="Q20" s="252">
        <f>O41</f>
        <v>134313.5798816568</v>
      </c>
      <c r="R20" s="258">
        <v>10000</v>
      </c>
      <c r="S20" s="38"/>
      <c r="T20" s="14" t="s">
        <v>129</v>
      </c>
      <c r="U20" s="9"/>
      <c r="X20" s="4"/>
    </row>
    <row r="21" spans="2:25" ht="17.399999999999999" x14ac:dyDescent="0.3">
      <c r="B21" s="325">
        <v>5</v>
      </c>
      <c r="C21" s="331" t="s">
        <v>186</v>
      </c>
      <c r="D21" s="326">
        <v>0.5</v>
      </c>
      <c r="E21" s="326">
        <v>0.5</v>
      </c>
      <c r="F21" s="326" t="s">
        <v>177</v>
      </c>
      <c r="G21" s="325" t="s">
        <v>167</v>
      </c>
      <c r="H21" s="327">
        <v>66318</v>
      </c>
      <c r="I21" s="327">
        <f t="shared" ref="I21:I22" si="1">H21*B21</f>
        <v>331590</v>
      </c>
      <c r="J21" s="265"/>
      <c r="K21" s="47"/>
      <c r="L21" s="329">
        <v>5</v>
      </c>
      <c r="M21" s="330">
        <f t="shared" ref="M21" si="2">D21+M$19</f>
        <v>0.52</v>
      </c>
      <c r="N21" s="330">
        <f t="shared" ref="N21" si="3">E21+N$19</f>
        <v>0.52</v>
      </c>
      <c r="O21" s="261">
        <f t="shared" ref="O21" si="4">M21*N21</f>
        <v>0.27040000000000003</v>
      </c>
      <c r="P21" s="259">
        <f t="shared" ref="P21" si="5">O21*L21</f>
        <v>1.3520000000000001</v>
      </c>
      <c r="Q21" s="252">
        <f>Q$20*O21</f>
        <v>36318.392</v>
      </c>
      <c r="R21" s="258">
        <f t="shared" ref="R21" si="6">Q21+R$20</f>
        <v>46318.392</v>
      </c>
      <c r="S21" s="308"/>
      <c r="T21" s="46"/>
      <c r="U21" s="9"/>
      <c r="X21" s="4"/>
    </row>
    <row r="22" spans="2:25" ht="17.399999999999999" x14ac:dyDescent="0.3">
      <c r="B22" s="325">
        <v>1</v>
      </c>
      <c r="C22" s="331" t="s">
        <v>179</v>
      </c>
      <c r="D22" s="326"/>
      <c r="E22" s="326"/>
      <c r="F22" s="326"/>
      <c r="G22" s="325"/>
      <c r="H22" s="327">
        <v>200000</v>
      </c>
      <c r="I22" s="327">
        <f t="shared" si="1"/>
        <v>200000</v>
      </c>
      <c r="J22" s="265"/>
      <c r="K22" s="47"/>
      <c r="L22" s="329"/>
      <c r="M22" s="330"/>
      <c r="N22" s="330"/>
      <c r="O22" s="261"/>
      <c r="P22" s="259"/>
      <c r="Q22" s="252"/>
      <c r="R22" s="258"/>
      <c r="S22" s="308"/>
      <c r="T22" s="46"/>
      <c r="U22" s="9"/>
      <c r="X22" s="4"/>
    </row>
    <row r="23" spans="2:25" ht="18" thickBot="1" x14ac:dyDescent="0.35">
      <c r="B23" s="286"/>
      <c r="C23" s="286"/>
      <c r="D23" s="287"/>
      <c r="E23" s="287"/>
      <c r="F23" s="287"/>
      <c r="G23" s="286"/>
      <c r="H23" s="265"/>
      <c r="I23" s="233"/>
      <c r="J23" s="233"/>
      <c r="K23" s="47"/>
      <c r="L23" s="47"/>
      <c r="M23" s="39"/>
      <c r="N23" s="39"/>
      <c r="O23" s="261"/>
      <c r="P23" s="259"/>
      <c r="Q23" s="252"/>
      <c r="R23" s="258"/>
      <c r="S23" s="308"/>
      <c r="T23" s="14"/>
      <c r="U23" s="9"/>
      <c r="X23" s="4"/>
    </row>
    <row r="24" spans="2:25" ht="17.399999999999999" x14ac:dyDescent="0.3">
      <c r="B24" s="286"/>
      <c r="C24" s="286"/>
      <c r="D24" s="287"/>
      <c r="E24" s="287"/>
      <c r="F24" s="287"/>
      <c r="G24" s="286"/>
      <c r="H24" s="309" t="s">
        <v>29</v>
      </c>
      <c r="I24" s="310">
        <f>SUM(I21:I23)</f>
        <v>531590</v>
      </c>
      <c r="J24" s="265"/>
      <c r="K24" s="47"/>
      <c r="L24" s="47"/>
      <c r="M24" s="39">
        <f>SUM(M21:M23)</f>
        <v>0.52</v>
      </c>
      <c r="N24" s="39"/>
      <c r="O24" s="261"/>
      <c r="P24" s="259"/>
      <c r="Q24" s="252"/>
      <c r="R24" s="258"/>
      <c r="S24" s="308"/>
      <c r="T24" s="14"/>
      <c r="U24" s="9"/>
      <c r="X24" s="4"/>
    </row>
    <row r="25" spans="2:25" ht="17.399999999999999" x14ac:dyDescent="0.3">
      <c r="B25" s="280"/>
      <c r="C25" s="283"/>
      <c r="D25" s="284"/>
      <c r="E25" s="284"/>
      <c r="F25" s="284"/>
      <c r="G25" s="285"/>
      <c r="H25" s="307" t="s">
        <v>52</v>
      </c>
      <c r="I25" s="304">
        <f>I24*19%</f>
        <v>101002.1</v>
      </c>
      <c r="J25" s="265"/>
      <c r="K25" s="47"/>
      <c r="L25" s="47"/>
      <c r="M25" s="39"/>
      <c r="N25" s="12"/>
      <c r="O25" s="12"/>
      <c r="P25" s="253">
        <f>SUM(P21:P21)</f>
        <v>1.3520000000000001</v>
      </c>
      <c r="Q25" s="14"/>
      <c r="R25" s="12"/>
      <c r="S25" s="239"/>
      <c r="T25" s="14"/>
      <c r="U25" s="9"/>
      <c r="X25" s="4"/>
    </row>
    <row r="26" spans="2:25" ht="18" thickBot="1" x14ac:dyDescent="0.35">
      <c r="B26" s="276"/>
      <c r="C26" s="282"/>
      <c r="D26" s="272"/>
      <c r="E26" s="272"/>
      <c r="F26" s="272"/>
      <c r="G26" s="273"/>
      <c r="H26" s="281" t="s">
        <v>6</v>
      </c>
      <c r="I26" s="305">
        <f>I24+I25</f>
        <v>632592.1</v>
      </c>
      <c r="J26" s="265"/>
      <c r="K26" s="47"/>
      <c r="L26" s="47"/>
      <c r="M26" s="39"/>
      <c r="N26" s="12"/>
      <c r="O26" s="12"/>
      <c r="P26" s="253">
        <f>P25</f>
        <v>1.3520000000000001</v>
      </c>
      <c r="Q26" s="14"/>
      <c r="R26" s="12"/>
      <c r="S26" s="239">
        <f>SUM(S21:S25)</f>
        <v>0</v>
      </c>
      <c r="T26" s="14"/>
      <c r="U26" s="9"/>
      <c r="X26" s="4"/>
    </row>
    <row r="27" spans="2:25" ht="17.399999999999999" x14ac:dyDescent="0.3">
      <c r="B27" s="276"/>
      <c r="C27" s="271"/>
      <c r="D27" s="272"/>
      <c r="E27" s="272"/>
      <c r="F27" s="272"/>
      <c r="G27" s="273"/>
      <c r="J27" s="265"/>
      <c r="K27" s="47"/>
      <c r="L27" s="47"/>
      <c r="M27" s="14"/>
      <c r="N27" s="12"/>
      <c r="O27" s="12"/>
      <c r="P27" s="39">
        <f>P26*20%</f>
        <v>0.27040000000000003</v>
      </c>
      <c r="Q27" s="39" t="s">
        <v>131</v>
      </c>
      <c r="R27" s="42"/>
      <c r="S27" s="240"/>
      <c r="T27" s="14"/>
      <c r="U27" s="9"/>
      <c r="X27" s="4"/>
    </row>
    <row r="28" spans="2:25" ht="17.399999999999999" x14ac:dyDescent="0.3">
      <c r="B28" s="276" t="s">
        <v>183</v>
      </c>
      <c r="C28" s="271"/>
      <c r="D28" s="272"/>
      <c r="E28" s="272"/>
      <c r="F28" s="272"/>
      <c r="G28" s="273"/>
      <c r="J28" s="265"/>
      <c r="K28" s="47"/>
      <c r="L28" s="47"/>
      <c r="M28" s="14"/>
      <c r="N28" s="12"/>
      <c r="O28" s="12"/>
      <c r="P28" s="39"/>
      <c r="Q28" s="39"/>
      <c r="R28" s="42"/>
      <c r="S28" s="240"/>
      <c r="T28" s="14"/>
      <c r="U28" s="9"/>
      <c r="X28" s="4"/>
    </row>
    <row r="29" spans="2:25" ht="17.399999999999999" x14ac:dyDescent="0.3">
      <c r="B29" s="332" t="s">
        <v>181</v>
      </c>
      <c r="C29" s="276" t="s">
        <v>182</v>
      </c>
      <c r="D29" s="272"/>
      <c r="E29" s="272"/>
      <c r="F29" s="272"/>
      <c r="G29" s="273"/>
      <c r="J29" s="265"/>
      <c r="K29" s="47"/>
      <c r="L29" s="47"/>
      <c r="M29" s="14"/>
      <c r="N29" s="12"/>
      <c r="O29" s="12"/>
      <c r="P29" s="39"/>
      <c r="Q29" s="39"/>
      <c r="R29" s="42"/>
      <c r="S29" s="240"/>
      <c r="T29" s="14"/>
      <c r="U29" s="9"/>
      <c r="X29" s="4"/>
    </row>
    <row r="30" spans="2:25" ht="17.399999999999999" x14ac:dyDescent="0.3">
      <c r="B30" s="271" t="s">
        <v>180</v>
      </c>
      <c r="C30" s="276" t="s">
        <v>184</v>
      </c>
      <c r="D30" s="272"/>
      <c r="E30" s="272"/>
      <c r="F30" s="272"/>
      <c r="G30" s="273"/>
      <c r="J30" s="265"/>
      <c r="K30" s="47"/>
      <c r="L30" s="47"/>
      <c r="M30" s="14"/>
      <c r="N30" s="12"/>
      <c r="O30" s="12"/>
      <c r="P30" s="39"/>
      <c r="Q30" s="39"/>
      <c r="R30" s="42"/>
      <c r="S30" s="240"/>
      <c r="T30" s="14"/>
      <c r="U30" s="9"/>
      <c r="X30" s="4"/>
    </row>
    <row r="31" spans="2:25" ht="17.399999999999999" x14ac:dyDescent="0.3">
      <c r="B31" s="271"/>
      <c r="C31" s="271"/>
      <c r="D31" s="272"/>
      <c r="E31" s="272"/>
      <c r="F31" s="272"/>
      <c r="G31" s="273"/>
      <c r="H31" s="274"/>
      <c r="I31" s="275"/>
      <c r="J31" s="265"/>
      <c r="K31" s="47"/>
      <c r="L31" s="47"/>
      <c r="M31" s="14"/>
      <c r="N31" s="12"/>
      <c r="O31" s="12"/>
      <c r="P31" s="46">
        <f>P26+P27</f>
        <v>1.6224000000000001</v>
      </c>
      <c r="Q31" s="14"/>
      <c r="R31" s="14"/>
      <c r="S31" s="238">
        <v>40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3"/>
      <c r="G32" s="234"/>
      <c r="H32" s="230"/>
      <c r="I32" s="275"/>
      <c r="J32" s="265"/>
      <c r="K32" s="47"/>
      <c r="L32" s="47"/>
      <c r="M32" s="14"/>
      <c r="N32" s="14"/>
      <c r="O32" s="14"/>
      <c r="P32" s="14"/>
      <c r="Q32" s="14"/>
      <c r="R32" s="14"/>
      <c r="S32" s="238"/>
      <c r="T32" s="14"/>
      <c r="U32" s="315" t="s">
        <v>22</v>
      </c>
      <c r="V32" s="312" t="s">
        <v>153</v>
      </c>
      <c r="W32" s="316">
        <v>44971</v>
      </c>
      <c r="X32" s="317"/>
    </row>
    <row r="33" spans="2:24" ht="17.399999999999999" x14ac:dyDescent="0.35">
      <c r="B33" s="235"/>
      <c r="C33" s="236"/>
      <c r="D33" s="237"/>
      <c r="E33" s="235"/>
      <c r="F33" s="235"/>
      <c r="G33" s="230"/>
      <c r="H33" s="230"/>
      <c r="J33" s="265"/>
      <c r="K33" s="47"/>
      <c r="L33" s="47"/>
      <c r="M33" s="39">
        <f>P31*2</f>
        <v>3.2448000000000001</v>
      </c>
      <c r="N33" s="12">
        <v>3500</v>
      </c>
      <c r="O33" s="12">
        <f t="shared" ref="O33:O38" si="7">M33*N33</f>
        <v>11356.800000000001</v>
      </c>
      <c r="P33" s="14" t="s">
        <v>22</v>
      </c>
      <c r="Q33" s="14"/>
      <c r="R33" s="14"/>
      <c r="S33" s="241"/>
      <c r="T33" s="14"/>
      <c r="U33" s="315" t="s">
        <v>154</v>
      </c>
      <c r="V33" s="312">
        <v>3625</v>
      </c>
      <c r="W33" s="59" t="s">
        <v>155</v>
      </c>
      <c r="X33" s="317"/>
    </row>
    <row r="34" spans="2:24" ht="17.399999999999999" x14ac:dyDescent="0.35"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0.5</v>
      </c>
      <c r="N34" s="12">
        <v>40000</v>
      </c>
      <c r="O34" s="12">
        <f t="shared" si="7"/>
        <v>20000</v>
      </c>
      <c r="P34" s="39" t="s">
        <v>32</v>
      </c>
      <c r="Q34" s="42"/>
      <c r="R34" s="14"/>
      <c r="S34" s="240"/>
      <c r="T34" s="14"/>
      <c r="U34" s="315"/>
      <c r="V34" s="59">
        <v>906.25</v>
      </c>
      <c r="W34" s="59" t="s">
        <v>156</v>
      </c>
      <c r="X34" s="317"/>
    </row>
    <row r="35" spans="2:24" s="230" customFormat="1" ht="17.399999999999999" x14ac:dyDescent="0.35">
      <c r="J35" s="262"/>
      <c r="K35" s="232"/>
      <c r="L35" s="250"/>
      <c r="M35" s="14"/>
      <c r="N35" s="250">
        <v>44673</v>
      </c>
      <c r="O35" s="12">
        <f t="shared" si="7"/>
        <v>0</v>
      </c>
      <c r="P35" s="39" t="s">
        <v>31</v>
      </c>
      <c r="Q35" s="42"/>
      <c r="S35" s="240"/>
      <c r="T35" s="256"/>
      <c r="U35" s="59"/>
      <c r="V35" s="59">
        <f>V34*20%</f>
        <v>181.25</v>
      </c>
      <c r="W35" s="317" t="s">
        <v>157</v>
      </c>
      <c r="X35" s="59"/>
    </row>
    <row r="36" spans="2:24" s="230" customFormat="1" ht="17.399999999999999" x14ac:dyDescent="0.35">
      <c r="B36" s="24" t="s">
        <v>152</v>
      </c>
      <c r="J36" s="262"/>
      <c r="K36" s="232"/>
      <c r="L36" s="250"/>
      <c r="M36" s="14">
        <v>1</v>
      </c>
      <c r="N36" s="250">
        <v>51185</v>
      </c>
      <c r="O36" s="12">
        <f t="shared" si="7"/>
        <v>51185</v>
      </c>
      <c r="P36" s="14" t="s">
        <v>142</v>
      </c>
      <c r="Q36" s="17"/>
      <c r="S36" s="238"/>
      <c r="T36" s="256"/>
      <c r="U36" s="59"/>
      <c r="V36" s="59">
        <f>V34+V35</f>
        <v>1087.5</v>
      </c>
      <c r="W36" s="317" t="s">
        <v>158</v>
      </c>
      <c r="X36" s="59"/>
    </row>
    <row r="37" spans="2:24" s="230" customFormat="1" ht="17.399999999999999" x14ac:dyDescent="0.35">
      <c r="B37" s="24" t="s">
        <v>145</v>
      </c>
      <c r="C37"/>
      <c r="D37"/>
      <c r="E37"/>
      <c r="F37"/>
      <c r="G37"/>
      <c r="J37" s="262"/>
      <c r="L37" s="250"/>
      <c r="M37" s="249"/>
      <c r="N37" s="250">
        <v>300</v>
      </c>
      <c r="O37" s="12">
        <f t="shared" si="7"/>
        <v>0</v>
      </c>
      <c r="P37" s="14" t="s">
        <v>33</v>
      </c>
      <c r="Q37" s="14"/>
      <c r="R37" s="230">
        <v>1.52</v>
      </c>
      <c r="S37" s="238"/>
      <c r="T37" s="238"/>
    </row>
    <row r="38" spans="2:24" s="230" customFormat="1" ht="17.399999999999999" x14ac:dyDescent="0.35">
      <c r="B38" s="29" t="s">
        <v>126</v>
      </c>
      <c r="C38"/>
      <c r="D38"/>
      <c r="E38"/>
      <c r="F38"/>
      <c r="G38" s="229" t="s">
        <v>16</v>
      </c>
      <c r="J38" s="303"/>
      <c r="L38" s="250"/>
      <c r="M38" s="266"/>
      <c r="N38" s="12">
        <v>1500</v>
      </c>
      <c r="O38" s="12">
        <f t="shared" si="7"/>
        <v>0</v>
      </c>
      <c r="P38" s="14" t="s">
        <v>23</v>
      </c>
      <c r="Q38" s="14"/>
      <c r="R38">
        <v>2.44</v>
      </c>
      <c r="S38"/>
      <c r="T38" s="238"/>
      <c r="X38" s="231"/>
    </row>
    <row r="39" spans="2:24" s="230" customFormat="1" ht="17.399999999999999" x14ac:dyDescent="0.35">
      <c r="L39" s="250"/>
      <c r="M39" s="14"/>
      <c r="N39" s="12"/>
      <c r="O39" s="12">
        <f>SUM(O33:O38)</f>
        <v>82541.8</v>
      </c>
      <c r="P39" s="39" t="s">
        <v>24</v>
      </c>
      <c r="Q39" s="14"/>
      <c r="R39">
        <f>R37*R38</f>
        <v>3.7088000000000001</v>
      </c>
      <c r="S39"/>
      <c r="T39" s="238"/>
      <c r="X39" s="231"/>
    </row>
    <row r="40" spans="2:24" s="230" customFormat="1" ht="17.399999999999999" x14ac:dyDescent="0.35">
      <c r="L40" s="250"/>
      <c r="M40" s="254" t="s">
        <v>34</v>
      </c>
      <c r="N40" s="12"/>
      <c r="O40" s="255">
        <f>O39*2.2</f>
        <v>181591.96000000002</v>
      </c>
      <c r="P40" s="14" t="s">
        <v>141</v>
      </c>
      <c r="Q40" s="14"/>
      <c r="R40" s="40">
        <f>P31/R39</f>
        <v>0.43744607420189818</v>
      </c>
      <c r="S40"/>
      <c r="T40" s="257"/>
    </row>
    <row r="41" spans="2:24" s="230" customFormat="1" ht="17.399999999999999" x14ac:dyDescent="0.35">
      <c r="H41"/>
      <c r="I41" s="260"/>
      <c r="J41" s="260"/>
      <c r="L41" s="250"/>
      <c r="M41" s="14"/>
      <c r="N41" s="12"/>
      <c r="O41" s="12">
        <f>O40/P26</f>
        <v>134313.5798816568</v>
      </c>
      <c r="P41" s="45" t="s">
        <v>25</v>
      </c>
      <c r="Q41" s="14"/>
      <c r="R41" s="14"/>
      <c r="S41"/>
      <c r="T41" s="238"/>
      <c r="U41" s="59" t="s">
        <v>159</v>
      </c>
      <c r="V41" s="312">
        <v>43650</v>
      </c>
    </row>
    <row r="42" spans="2:24" s="230" customFormat="1" ht="17.399999999999999" x14ac:dyDescent="0.35">
      <c r="H42"/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161</v>
      </c>
      <c r="V42" s="313" t="s">
        <v>160</v>
      </c>
      <c r="W42" s="59">
        <v>2.4</v>
      </c>
    </row>
    <row r="43" spans="2:24" s="230" customFormat="1" ht="17.399999999999999" x14ac:dyDescent="0.35">
      <c r="H43" s="23"/>
      <c r="L43" s="12"/>
      <c r="T43" s="238"/>
      <c r="U43" s="59" t="s">
        <v>162</v>
      </c>
      <c r="V43" s="314">
        <v>395.37</v>
      </c>
    </row>
    <row r="44" spans="2:24" s="230" customFormat="1" ht="17.399999999999999" x14ac:dyDescent="0.35">
      <c r="B44"/>
      <c r="C44" s="228"/>
      <c r="D44" s="22"/>
      <c r="E44" s="22"/>
      <c r="F44" s="22"/>
      <c r="G44" s="21"/>
      <c r="H44" s="23"/>
      <c r="L44" s="12"/>
      <c r="T44" s="238"/>
      <c r="U44" s="59" t="s">
        <v>157</v>
      </c>
      <c r="V44" s="59">
        <v>474.45</v>
      </c>
    </row>
    <row r="45" spans="2:24" ht="14.4" customHeight="1" x14ac:dyDescent="0.3">
      <c r="L45" s="12"/>
      <c r="U45" s="59"/>
      <c r="V45" s="59"/>
    </row>
    <row r="46" spans="2:24" x14ac:dyDescent="0.3">
      <c r="L46" s="250"/>
    </row>
    <row r="47" spans="2:24" x14ac:dyDescent="0.3">
      <c r="L47" s="250"/>
      <c r="T47" s="270"/>
    </row>
    <row r="48" spans="2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17</v>
      </c>
      <c r="Q51" t="s">
        <v>27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149</v>
      </c>
    </row>
    <row r="77" spans="3:15" x14ac:dyDescent="0.3">
      <c r="C77" t="s">
        <v>148</v>
      </c>
    </row>
    <row r="80" spans="3:15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G17:I17"/>
    <mergeCell ref="B19:I19"/>
  </mergeCells>
  <phoneticPr fontId="34" type="noConversion"/>
  <hyperlinks>
    <hyperlink ref="G38" r:id="rId1" xr:uid="{00000000-0004-0000-0000-000000000000}"/>
    <hyperlink ref="C14" r:id="rId2" xr:uid="{009BCE2F-3410-407B-88F1-5CFA6CFC7755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45771</v>
      </c>
    </row>
    <row r="6" spans="2:31" ht="16.2" thickBot="1" x14ac:dyDescent="0.35">
      <c r="B6" s="140" t="s">
        <v>2</v>
      </c>
      <c r="C6" s="139" t="str">
        <f>'2229'!C10</f>
        <v>CONSTRUCCIONES VIENTOS DEL SUR LTDA.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11403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-71770.83836678743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'2229'!I24</f>
        <v>531590</v>
      </c>
      <c r="E11" s="132">
        <f>D11*0.19</f>
        <v>101002.1</v>
      </c>
      <c r="F11" s="131">
        <f>E11+D11</f>
        <v>632592.1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34219.16163321257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61190.890787439617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16219.16163321257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470399.1092125604</v>
      </c>
      <c r="E13" s="221">
        <f>(D11/D12)-1</f>
        <v>7.687404173385838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7219.1616332125705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-31780.83836678743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100964.96979927536</v>
      </c>
      <c r="F15" s="216">
        <f>E15-D12</f>
        <v>39774.079011835747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-31780.83836678743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8219.1616332125705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'2229'!O34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'2229'!O33</f>
        <v>11356.800000000001</v>
      </c>
      <c r="E20" s="121">
        <f>D20*0.19</f>
        <v>2157.7920000000004</v>
      </c>
      <c r="F20" s="120">
        <f>SUM(D20:E20)</f>
        <v>13514.592000000001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31356.800000000003</v>
      </c>
      <c r="E21" s="116">
        <f>SUM(E18:E20)</f>
        <v>5957.7920000000004</v>
      </c>
      <c r="F21" s="115">
        <f>SUM(F18:F20)</f>
        <v>37314.592000000004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95044.308000000005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531590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31356.800000000003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470399.1092125604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470399.1092125604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2025-04-24T16:00:24Z</cp:lastPrinted>
  <dcterms:created xsi:type="dcterms:W3CDTF">2013-03-18T13:35:42Z</dcterms:created>
  <dcterms:modified xsi:type="dcterms:W3CDTF">2025-04-24T16:27:55Z</dcterms:modified>
</cp:coreProperties>
</file>