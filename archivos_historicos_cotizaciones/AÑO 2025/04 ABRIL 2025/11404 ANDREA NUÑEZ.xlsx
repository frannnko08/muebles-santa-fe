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4 ABRIL 2025\"/>
    </mc:Choice>
  </mc:AlternateContent>
  <xr:revisionPtr revIDLastSave="0" documentId="13_ncr:1_{EB2E7E5C-ABF8-4B1B-9CD1-FDC73B6F8D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21" i="1"/>
  <c r="M21" i="1" l="1"/>
  <c r="M26" i="1" s="1"/>
  <c r="S21" i="1" l="1"/>
  <c r="S26" i="1" s="1"/>
  <c r="T21" i="1"/>
  <c r="T25" i="1" s="1"/>
  <c r="O21" i="1"/>
  <c r="P21" i="1" s="1"/>
  <c r="P26" i="1" s="1"/>
  <c r="K40" i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6" i="1" l="1"/>
  <c r="D11" i="3" l="1"/>
  <c r="X9" i="3" s="1"/>
  <c r="X15" i="3" s="1"/>
  <c r="H27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<sst xmlns="http://schemas.openxmlformats.org/spreadsheetml/2006/main" count="230" uniqueCount="174">
  <si>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</si>
  <si>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</si>
  <si>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</si>
  <si>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</si>
  <si>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</si>
  <si>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</si>
  <si>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</si>
  <si>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</si>
  <si>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</si>
  <si>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</si>
  <si>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</si>
  <si>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</si>
  <si>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</si>
  <si>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</si>
  <si>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</si>
  <si>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</si>
  <si>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</si>
  <si>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</si>
  <si>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</si>
  <si>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</si>
  <si>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</si>
  <si>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</si>
  <si>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</si>
  <si>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</si>
  <si>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</si>
  <si>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</si>
  <si>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</si>
  <si>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</si>
  <si>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</si>
  <si>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</si>
  <si>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</si>
  <si>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</si>
  <si>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</si>
  <si>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</si>
  <si>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</si>
  <si>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</si>
  <si>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</si>
  <si>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</si>
  <si>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</si>
  <si>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</si>
  <si>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</si>
  <si>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</si>
  <si>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</si>
  <si>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</si>
  <si>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</si>
  <si>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</si>
  <si>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</si>
  <si>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</si>
  <si>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</si>
  <si>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</si>
  <si>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</si>
  <si>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</si>
  <si>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</si>
  <si>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</si>
  <si>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</si>
  <si>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</si>
  <si>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</si>
  <si>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</si>
  <si>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</si>
  <si>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</si>
  <si>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</si>
  <si>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</si>
  <si>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</si>
  <si>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</si>
  <si>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</si>
  <si>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</si>
  <si>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</si>
  <si>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</si>
  <si>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</si>
  <si>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</si>
  <si>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</si>
  <si>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</si>
  <si>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</si>
  <si>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</si>
  <si>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</si>
  <si>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</si>
  <si>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</si>
  <si>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</si>
  <si>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</si>
  <si>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</si>
  <si>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</si>
  <si>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</si>
  <si>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</si>
  <si>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</si>
  <si>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</si>
  <si>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</si>
  <si>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</si>
  <si>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</si>
  <si>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</si>
  <si>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</si>
  <si>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</si>
  <si>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</si>
  <si>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</si>
  <si>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</si>
  <si>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</si>
  <si>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</si>
  <si>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</si>
  <si>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</si>
  <si>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</si>
  <si>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</si>
  <si>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</si>
  <si>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</si>
  <si>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</si>
  <si>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</si>
  <si>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</si>
  <si>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</si>
  <si>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</si>
  <si>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</si>
  <si>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</si>
  <si>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</si>
  <si>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</si>
  <si>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</si>
  <si>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</si>
  <si>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</si>
  <si>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</si>
  <si>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</si>
  <si>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</si>
  <si>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</si>
  <si>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</si>
  <si>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</si>
  <si>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</si>
  <si>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</si>
  <si>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</si>
  <si>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</si>
  <si>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</si>
  <si>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</si>
  <si>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</si>
  <si>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</si>
  <si>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</si>
  <si>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</si>
  <si>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</si>
  <si>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</si>
  <si>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</si>
  <si>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</si>
  <si>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</si>
  <si>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</si>
  <si>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</si>
  <si>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</si>
  <si>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</si>
  <si>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</si>
  <si>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</si>
  <si>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</si>
  <si>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</si>
  <si>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</si>
  <si>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</si>
  <si>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</si>
  <si>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</si>
  <si>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</si>
  <si>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</si>
  <si>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</si>
  <si>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</si>
  <si>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</si>
  <si>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</si>
  <si>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</si>
  <si>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</si>
  <si>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</si>
  <si>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</si>
  <si>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</si>
  <si>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</si>
  <si>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</si>
  <si>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</si>
  <si>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</si>
  <si>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</si>
  <si>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</si>
  <si>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</si>
  <si>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</si>
  <si>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</si>
  <si>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5 DIAS HABILES</t>
  </si>
  <si>
    <t>PUERTA POSTFORMADA R6</t>
  </si>
  <si>
    <t>ROVERE FIUMO 1462 MT</t>
  </si>
  <si>
    <t>BETA HORINZONTAL</t>
  </si>
  <si>
    <t>ANDREA NUÑEZ</t>
  </si>
  <si>
    <t>56961914275</t>
  </si>
  <si>
    <t>N° 11404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</si>
</sst>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2" fillId="16" borderId="0" xfId="0" applyFont="1" applyFill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PUERTAS CORTADAS</a:t>
          </a:r>
          <a:r>
            <a:rPr lang="es-CL" sz="1200" b="1" baseline="0"/>
            <a:t> A LA MEDIDA Y ENCHAPADAS CON TAPACANTO MISMA LAMINA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MELAMIL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3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0.109375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171</v>
      </c>
      <c r="D10" s="243"/>
      <c r="E10" s="243"/>
      <c r="F10" s="244" t="s">
        <v>0</v>
      </c>
      <c r="G10" s="276">
        <v>45771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172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131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103070.63994828705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168</v>
      </c>
      <c r="D21" s="331">
        <v>0.7</v>
      </c>
      <c r="E21" s="331">
        <v>0.59499999999999997</v>
      </c>
      <c r="F21" s="330" t="s">
        <v>169</v>
      </c>
      <c r="G21" s="332">
        <v>47835</v>
      </c>
      <c r="H21" s="332">
        <f>G21*B21</f>
        <v>47835</v>
      </c>
      <c r="I21" s="320"/>
      <c r="J21" s="265"/>
      <c r="K21" s="47"/>
      <c r="L21" s="47">
        <f>B21</f>
        <v>1</v>
      </c>
      <c r="M21" s="39">
        <f>D21+M$19</f>
        <v>0.77999999999999992</v>
      </c>
      <c r="N21" s="39">
        <f>E21+$N$19</f>
        <v>0.59499999999999997</v>
      </c>
      <c r="O21" s="261">
        <f t="shared" ref="O21" si="1">M21*N21</f>
        <v>0.4640999999999999</v>
      </c>
      <c r="P21" s="259">
        <f t="shared" ref="P21" si="2">O21*L21</f>
        <v>0.4640999999999999</v>
      </c>
      <c r="Q21" s="252">
        <f t="shared" ref="Q21" si="3">Q$20*O21</f>
        <v>47835.08400000001</v>
      </c>
      <c r="R21" s="319">
        <f t="shared" ref="R21" si="4">Q21+R$20</f>
        <v>50835.08400000001</v>
      </c>
      <c r="S21" s="297">
        <f>M21*L21</f>
        <v>0.77999999999999992</v>
      </c>
      <c r="T21" s="46">
        <f>N21*2*L21*2</f>
        <v>2.38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7.399999999999999" x14ac:dyDescent="0.3">
      <c r="B23" s="285"/>
      <c r="C23" s="333" t="s">
        <v>170</v>
      </c>
      <c r="D23" s="286"/>
      <c r="E23" s="286"/>
      <c r="F23" s="285"/>
      <c r="G23" s="320"/>
      <c r="H23" s="320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47835</v>
      </c>
      <c r="I25" s="322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2.38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9088.65</v>
      </c>
      <c r="I26" s="322"/>
      <c r="J26" s="265"/>
      <c r="K26" s="47"/>
      <c r="L26" s="47"/>
      <c r="M26" s="39">
        <f>SUM(M21:M21)</f>
        <v>0.77999999999999992</v>
      </c>
      <c r="N26" s="12"/>
      <c r="O26" s="12"/>
      <c r="P26" s="253">
        <f>SUM(P21:P24)</f>
        <v>0.4640999999999999</v>
      </c>
      <c r="Q26" s="14"/>
      <c r="R26" s="12"/>
      <c r="S26" s="239">
        <f>SUM(S21:S25)</f>
        <v>0.77999999999999992</v>
      </c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56923.65</v>
      </c>
      <c r="I27" s="322"/>
      <c r="J27" s="265"/>
      <c r="K27" s="47"/>
      <c r="L27" s="47"/>
      <c r="M27" s="39"/>
      <c r="N27" s="12"/>
      <c r="O27" s="12"/>
      <c r="P27" s="253">
        <f>P26</f>
        <v>0.4640999999999999</v>
      </c>
      <c r="Q27" s="14"/>
      <c r="R27" s="12"/>
      <c r="S27" s="239"/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9.2819999999999986E-2</v>
      </c>
      <c r="Q28" s="39" t="s">
        <v>130</v>
      </c>
      <c r="R28" s="42"/>
      <c r="S28" s="240"/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0.55691999999999986</v>
      </c>
      <c r="Q29" s="14"/>
      <c r="R29" s="14"/>
      <c r="S29" s="238"/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/>
      <c r="T30" s="14"/>
      <c r="U30" s="302" t="s">
        <v>21</v>
      </c>
      <c r="V30" s="299" t="s">
        <v>151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0.55691999999999986</v>
      </c>
      <c r="N31" s="12">
        <v>3500</v>
      </c>
      <c r="O31" s="12">
        <f t="shared" ref="O31:O36" si="5">M31*N31</f>
        <v>1949.2199999999996</v>
      </c>
      <c r="P31" s="14" t="s">
        <v>21</v>
      </c>
      <c r="Q31" s="14"/>
      <c r="R31" s="14"/>
      <c r="S31" s="241"/>
      <c r="T31" s="14"/>
      <c r="U31" s="302" t="s">
        <v>152</v>
      </c>
      <c r="V31" s="299">
        <v>3625</v>
      </c>
      <c r="W31" s="59" t="s">
        <v>153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0.15</v>
      </c>
      <c r="N32" s="12">
        <v>45000</v>
      </c>
      <c r="O32" s="12">
        <f t="shared" si="5"/>
        <v>6750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154</v>
      </c>
      <c r="X32" s="304"/>
    </row>
    <row r="33" spans="2:24" s="230" customFormat="1" ht="17.399999999999999" x14ac:dyDescent="0.35">
      <c r="B33" s="24" t="s">
        <v>150</v>
      </c>
      <c r="J33" s="262"/>
      <c r="K33" s="232"/>
      <c r="L33" s="250"/>
      <c r="M33" s="14"/>
      <c r="N33" s="250">
        <v>65682</v>
      </c>
      <c r="O33" s="12">
        <f t="shared" si="5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155</v>
      </c>
      <c r="X33" s="59"/>
    </row>
    <row r="34" spans="2:24" s="230" customFormat="1" ht="17.399999999999999" x14ac:dyDescent="0.35">
      <c r="B34" s="24" t="s">
        <v>166</v>
      </c>
      <c r="C34"/>
      <c r="D34"/>
      <c r="E34"/>
      <c r="F34"/>
      <c r="J34" s="262"/>
      <c r="K34" s="232"/>
      <c r="L34" s="250"/>
      <c r="M34" s="14">
        <v>0.25</v>
      </c>
      <c r="N34" s="250">
        <v>52176</v>
      </c>
      <c r="O34" s="12">
        <f t="shared" si="5"/>
        <v>13044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156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5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/>
      <c r="N36" s="12">
        <v>1500</v>
      </c>
      <c r="O36" s="12">
        <f t="shared" si="5"/>
        <v>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21743.22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O37*2.2</f>
        <v>47835.08400000001</v>
      </c>
      <c r="P38" s="14" t="s">
        <v>140</v>
      </c>
      <c r="Q38" s="14"/>
      <c r="R38" s="40">
        <f>P29/R37</f>
        <v>0.15016177739430539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62090</v>
      </c>
      <c r="L39" s="250"/>
      <c r="M39" s="14"/>
      <c r="N39" s="12"/>
      <c r="O39" s="12">
        <f>O38/P27</f>
        <v>103070.63994828705</v>
      </c>
      <c r="P39" s="45" t="s">
        <v>24</v>
      </c>
      <c r="Q39" s="14"/>
      <c r="R39" s="14"/>
      <c r="S39"/>
      <c r="T39" s="238"/>
      <c r="U39" s="59" t="s">
        <v>157</v>
      </c>
      <c r="V39" s="299">
        <v>43650</v>
      </c>
    </row>
    <row r="40" spans="2:24" s="230" customFormat="1" ht="17.399999999999999" x14ac:dyDescent="0.35">
      <c r="G40"/>
      <c r="K40" s="230">
        <f>K39/1.19</f>
        <v>52176.470588235294</v>
      </c>
      <c r="L40" s="250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159</v>
      </c>
      <c r="V40" s="300" t="s">
        <v>158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160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155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147</v>
      </c>
    </row>
    <row r="75" spans="3:15" x14ac:dyDescent="0.3">
      <c r="C75" t="s">
        <v>146</v>
      </c>
    </row>
    <row r="78" spans="3:15" x14ac:dyDescent="0.3">
      <c r="C78" t="s">
        <v>146</v>
      </c>
    </row>
    <row r="155" spans="3:3" x14ac:dyDescent="0.3">
      <c r="C155" t="s">
        <v>146</v>
      </c>
    </row>
    <row r="156" spans="3:3" x14ac:dyDescent="0.3">
      <c r="C156" t="s">
        <v>148</v>
      </c>
    </row>
    <row r="157" spans="3:3" x14ac:dyDescent="0.3">
      <c r="C157" t="s">
        <v>149</v>
      </c>
    </row>
    <row r="582" spans="3:3" x14ac:dyDescent="0.3">
      <c r="C582" t="s">
        <v>146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45771</v>
      </c>
    </row>
    <row r="6" spans="2:31" ht="16.2" thickBot="1" x14ac:dyDescent="0.35">
      <c r="B6" s="140" t="s">
        <v>2</v>
      </c>
      <c r="C6" s="139" t="str">
        <f>'2229'!C10</f>
        <v>ANDREA NUÑEZ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11404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2624.1604665458931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47835</v>
      </c>
      <c r="E11" s="132">
        <f>D11*0.19</f>
        <v>9088.65</v>
      </c>
      <c r="F11" s="131">
        <f>E11+D11</f>
        <v>56923.65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108614.16046654589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38533.310787439616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90614.160466545887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9301.6892125603845</v>
      </c>
      <c r="E13" s="221">
        <f>(D11/D12)-1</f>
        <v>0.24139345990462835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81614.160466545887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42614.160466545894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63579.962799275359</v>
      </c>
      <c r="F15" s="216">
        <f>E15-D12</f>
        <v>25046.652011835744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42614.160466545894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82614.160466545887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6750</v>
      </c>
      <c r="E19" s="123">
        <f>D19*0.19</f>
        <v>1282.5</v>
      </c>
      <c r="F19" s="120">
        <f>SUM(D19:E19)</f>
        <v>8032.5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1949.2199999999996</v>
      </c>
      <c r="E20" s="121">
        <f>D20*0.19</f>
        <v>370.35179999999991</v>
      </c>
      <c r="F20" s="120">
        <f>SUM(D20:E20)</f>
        <v>2319.5717999999997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8699.2199999999993</v>
      </c>
      <c r="E21" s="116">
        <f>SUM(E18:E20)</f>
        <v>1652.8517999999999</v>
      </c>
      <c r="F21" s="115">
        <f>SUM(F18:F20)</f>
        <v>10352.0718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7435.7981999999993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47835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8699.2199999999993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9301.6892125603845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9301.6892125603845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2025-03-17T13:30:01Z</cp:lastPrinted>
  <dcterms:created xsi:type="dcterms:W3CDTF">2013-03-18T13:35:42Z</dcterms:created>
  <dcterms:modified xsi:type="dcterms:W3CDTF">2025-04-24T13:20:44Z</dcterms:modified>
</cp:coreProperties>
</file>