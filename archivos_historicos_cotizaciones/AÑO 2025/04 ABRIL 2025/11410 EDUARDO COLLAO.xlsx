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8C9B2E28-1327-4A7B-BF8D-088832F58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1" i="1"/>
  <c r="N21" i="1"/>
  <c r="M21" i="1" l="1"/>
  <c r="M24" i="1" s="1"/>
  <c r="S21" i="1" l="1"/>
  <c r="S24" i="1" s="1"/>
  <c r="T21" i="1"/>
  <c r="T23" i="1" s="1"/>
  <c r="O21" i="1"/>
  <c r="P21" i="1" s="1"/>
  <c r="P24" i="1" s="1"/>
  <c r="K38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<sst xmlns="http://schemas.openxmlformats.org/spreadsheetml/2006/main" count="229" uniqueCount="174">
  <si>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</si>
  <si>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</si>
  <si>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</si>
  <si>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</si>
  <si>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</si>
  <si>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</si>
  <si>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</si>
  <si>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</si>
  <si>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</si>
  <si>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</si>
  <si>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</si>
  <si>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</si>
  <si>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</si>
  <si>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</si>
  <si>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</si>
  <si>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</si>
  <si>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</si>
  <si>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</si>
  <si>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</si>
  <si>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</si>
  <si>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</si>
  <si>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</si>
  <si>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</si>
  <si>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</si>
  <si>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</si>
  <si>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</si>
  <si>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</si>
  <si>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</si>
  <si>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</si>
  <si>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</si>
  <si>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</si>
  <si>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</si>
  <si>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</si>
  <si>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</si>
  <si>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</si>
  <si>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</si>
  <si>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</si>
  <si>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</si>
  <si>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</si>
  <si>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</si>
  <si>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</si>
  <si>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</si>
  <si>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</si>
  <si>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</si>
  <si>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</si>
  <si>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</si>
  <si>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</si>
  <si>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</si>
  <si>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</si>
  <si>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</si>
  <si>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</si>
  <si>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</si>
  <si>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</si>
  <si>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</si>
  <si>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</si>
  <si>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</si>
  <si>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</si>
  <si>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</si>
  <si>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</si>
  <si>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</si>
  <si>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</si>
  <si>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</si>
  <si>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</si>
  <si>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</si>
  <si>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</si>
  <si>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</si>
  <si>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</si>
  <si>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</si>
  <si>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</si>
  <si>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</si>
  <si>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</si>
  <si>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</si>
  <si>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</si>
  <si>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</si>
  <si>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</si>
  <si>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</si>
  <si>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</si>
  <si>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</si>
  <si>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</si>
  <si>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</si>
  <si>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</si>
  <si>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</si>
  <si>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</si>
  <si>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</si>
  <si>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</si>
  <si>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</si>
  <si>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</si>
  <si>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</si>
  <si>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</si>
  <si>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</si>
  <si>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</si>
  <si>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</si>
  <si>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</si>
  <si>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</si>
  <si>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</si>
  <si>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</si>
  <si>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</si>
  <si>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</si>
  <si>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</si>
  <si>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</si>
  <si>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</si>
  <si>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</si>
  <si>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</si>
  <si>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</si>
  <si>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</si>
  <si>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</si>
  <si>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</si>
  <si>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</si>
  <si>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</si>
  <si>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</si>
  <si>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</si>
  <si>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</si>
  <si>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</si>
  <si>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</si>
  <si>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</si>
  <si>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</si>
  <si>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</si>
  <si>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</si>
  <si>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</si>
  <si>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</si>
  <si>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</si>
  <si>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</si>
  <si>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</si>
  <si>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</si>
  <si>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</si>
  <si>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</si>
  <si>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</si>
  <si>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</si>
  <si>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</si>
  <si>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</si>
  <si>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</si>
  <si>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</si>
  <si>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</si>
  <si>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</si>
  <si>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</si>
  <si>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</si>
  <si>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</si>
  <si>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</si>
  <si>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</si>
  <si>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</si>
  <si>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</si>
  <si>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</si>
  <si>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</si>
  <si>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</si>
  <si>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</si>
  <si>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</si>
  <si>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</si>
  <si>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</si>
  <si>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</si>
  <si>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</si>
  <si>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</si>
  <si>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</si>
  <si>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</si>
  <si>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</si>
  <si>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</si>
  <si>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</si>
  <si>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</si>
  <si>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</si>
  <si>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</si>
  <si>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</si>
  <si>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</si>
  <si>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</si>
  <si>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</si>
  <si>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</si>
  <si>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</si>
  <si>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</si>
  <si>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</si>
  <si>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SI</t>
  </si>
  <si>
    <t>N° 11410</t>
  </si>
  <si>
    <t xml:space="preserve">EDUARDO COLLAO </t>
  </si>
  <si>
    <t>76.738.950-7</t>
  </si>
  <si>
    <t>56988078074</t>
  </si>
  <si>
    <t>EBANOM2109 M7</t>
  </si>
  <si>
    <t>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</si>
</sst>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10CMS SOBRE LA BASE  Y FRENTE 4,8CMS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A12" sqref="A12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169</v>
      </c>
      <c r="D10" s="243"/>
      <c r="E10" s="243"/>
      <c r="F10" s="244" t="s">
        <v>0</v>
      </c>
      <c r="G10" s="276">
        <v>45772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122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167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O37</f>
        <v>82944.94908832584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166</v>
      </c>
      <c r="D21" s="331">
        <v>1.98</v>
      </c>
      <c r="E21" s="331">
        <v>0.61499999999999999</v>
      </c>
      <c r="F21" s="330" t="s">
        <v>172</v>
      </c>
      <c r="G21" s="332">
        <v>105083</v>
      </c>
      <c r="H21" s="332">
        <f>G21*B21</f>
        <v>105083</v>
      </c>
      <c r="I21" s="320"/>
      <c r="J21" s="265">
        <v>210000</v>
      </c>
      <c r="K21" s="47"/>
      <c r="L21" s="47">
        <f>B21</f>
        <v>1</v>
      </c>
      <c r="M21" s="39">
        <f>D21+M$19</f>
        <v>2.06</v>
      </c>
      <c r="N21" s="39">
        <f>E21+$N$19</f>
        <v>0.61499999999999999</v>
      </c>
      <c r="O21" s="261">
        <f t="shared" ref="O21" si="1">M21*N21</f>
        <v>1.2668999999999999</v>
      </c>
      <c r="P21" s="259">
        <f t="shared" ref="P21" si="2">O21*L21</f>
        <v>1.2668999999999999</v>
      </c>
      <c r="Q21" s="252">
        <f t="shared" ref="Q21" si="3">Q$20*O21</f>
        <v>105082.95600000001</v>
      </c>
      <c r="R21" s="319">
        <f t="shared" ref="R21" si="4">Q21+R$20</f>
        <v>108082.95600000001</v>
      </c>
      <c r="S21" s="297">
        <f>M21*L21</f>
        <v>2.06</v>
      </c>
      <c r="T21" s="46">
        <f>N21*2*L21*2</f>
        <v>2.46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27</v>
      </c>
      <c r="H23" s="325">
        <f>SUM(H21:H22)</f>
        <v>105083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2.46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50</v>
      </c>
      <c r="H24" s="294">
        <f>H23*19%</f>
        <v>19965.77</v>
      </c>
      <c r="I24" s="322"/>
      <c r="J24" s="265"/>
      <c r="K24" s="47"/>
      <c r="L24" s="47"/>
      <c r="M24" s="39">
        <f>SUM(M21:M21)</f>
        <v>2.06</v>
      </c>
      <c r="N24" s="12"/>
      <c r="O24" s="12"/>
      <c r="P24" s="253">
        <f>SUM(P21:P22)</f>
        <v>1.2668999999999999</v>
      </c>
      <c r="Q24" s="14"/>
      <c r="R24" s="12"/>
      <c r="S24" s="239">
        <f>SUM(S21:S23)</f>
        <v>2.06</v>
      </c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125048.77</v>
      </c>
      <c r="I25" s="322"/>
      <c r="J25" s="265"/>
      <c r="K25" s="47"/>
      <c r="L25" s="47"/>
      <c r="M25" s="39"/>
      <c r="N25" s="12"/>
      <c r="O25" s="12"/>
      <c r="P25" s="253">
        <f>P24</f>
        <v>1.2668999999999999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0.25337999999999999</v>
      </c>
      <c r="Q26" s="39" t="s">
        <v>129</v>
      </c>
      <c r="R26" s="42"/>
      <c r="S26" s="240"/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1.5202799999999999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302" t="s">
        <v>21</v>
      </c>
      <c r="V28" s="299" t="s">
        <v>150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1.5202799999999999</v>
      </c>
      <c r="N29" s="12">
        <v>3500</v>
      </c>
      <c r="O29" s="12">
        <f t="shared" ref="O29:O34" si="5">M29*N29</f>
        <v>5320.98</v>
      </c>
      <c r="P29" s="14" t="s">
        <v>21</v>
      </c>
      <c r="Q29" s="14"/>
      <c r="R29" s="14"/>
      <c r="S29" s="241"/>
      <c r="T29" s="14"/>
      <c r="U29" s="302" t="s">
        <v>151</v>
      </c>
      <c r="V29" s="299">
        <v>3625</v>
      </c>
      <c r="W29" s="59" t="s">
        <v>152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0.5</v>
      </c>
      <c r="N30" s="12">
        <v>25000</v>
      </c>
      <c r="O30" s="12">
        <f t="shared" si="5"/>
        <v>12500</v>
      </c>
      <c r="P30" s="39" t="s">
        <v>30</v>
      </c>
      <c r="Q30" s="42"/>
      <c r="R30" s="14"/>
      <c r="S30" s="240"/>
      <c r="T30" s="14"/>
      <c r="U30" s="302"/>
      <c r="V30" s="59">
        <v>906.25</v>
      </c>
      <c r="W30" s="59" t="s">
        <v>153</v>
      </c>
      <c r="X30" s="304"/>
    </row>
    <row r="31" spans="1:25" s="230" customFormat="1" ht="17.399999999999999" x14ac:dyDescent="0.35">
      <c r="B31" s="24" t="s">
        <v>149</v>
      </c>
      <c r="J31" s="262"/>
      <c r="K31" s="232"/>
      <c r="L31" s="250"/>
      <c r="M31" s="14"/>
      <c r="N31" s="250">
        <v>69000</v>
      </c>
      <c r="O31" s="12">
        <f t="shared" si="5"/>
        <v>0</v>
      </c>
      <c r="P31" s="39" t="s">
        <v>29</v>
      </c>
      <c r="Q31" s="42"/>
      <c r="S31" s="240"/>
      <c r="T31" s="256"/>
      <c r="U31" s="59"/>
      <c r="V31" s="59">
        <f>V30*20%</f>
        <v>181.25</v>
      </c>
      <c r="W31" s="304" t="s">
        <v>154</v>
      </c>
      <c r="X31" s="59"/>
    </row>
    <row r="32" spans="1:25" s="230" customFormat="1" ht="17.399999999999999" x14ac:dyDescent="0.35">
      <c r="B32" s="24" t="s">
        <v>165</v>
      </c>
      <c r="C32"/>
      <c r="D32"/>
      <c r="E32"/>
      <c r="F32"/>
      <c r="J32" s="262"/>
      <c r="K32" s="232"/>
      <c r="L32" s="250"/>
      <c r="M32" s="14">
        <v>1</v>
      </c>
      <c r="N32" s="250">
        <v>25000</v>
      </c>
      <c r="O32" s="12">
        <f t="shared" si="5"/>
        <v>25000</v>
      </c>
      <c r="P32" s="14" t="s">
        <v>140</v>
      </c>
      <c r="Q32" s="17"/>
      <c r="S32" s="238"/>
      <c r="T32" s="256"/>
      <c r="U32" s="59"/>
      <c r="V32" s="59">
        <f>V30+V31</f>
        <v>1087.5</v>
      </c>
      <c r="W32" s="304" t="s">
        <v>155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2"/>
      <c r="K33" s="260"/>
      <c r="L33" s="250"/>
      <c r="M33" s="249">
        <v>2.06</v>
      </c>
      <c r="N33" s="250">
        <v>900</v>
      </c>
      <c r="O33" s="12">
        <f t="shared" si="5"/>
        <v>1854</v>
      </c>
      <c r="P33" s="14" t="s">
        <v>31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>
        <v>2.06</v>
      </c>
      <c r="N34" s="12">
        <v>1500</v>
      </c>
      <c r="O34" s="12">
        <f t="shared" si="5"/>
        <v>3090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47764.979999999996</v>
      </c>
      <c r="P35" s="39">
        <v>0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32</v>
      </c>
      <c r="N36" s="12"/>
      <c r="O36" s="255">
        <f>O35*2.2</f>
        <v>105082.95600000001</v>
      </c>
      <c r="P36" s="14" t="s">
        <v>139</v>
      </c>
      <c r="Q36" s="14"/>
      <c r="R36" s="40">
        <f>P27/R35</f>
        <v>0.40991156169111298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31030</v>
      </c>
      <c r="L37" s="250"/>
      <c r="M37" s="14"/>
      <c r="N37" s="12"/>
      <c r="O37" s="12">
        <f>O36/P25</f>
        <v>82944.94908832584</v>
      </c>
      <c r="P37" s="45" t="s">
        <v>23</v>
      </c>
      <c r="Q37" s="14"/>
      <c r="R37" s="14"/>
      <c r="S37"/>
      <c r="T37" s="238"/>
      <c r="U37" s="59" t="s">
        <v>156</v>
      </c>
      <c r="V37" s="299">
        <v>43650</v>
      </c>
    </row>
    <row r="38" spans="2:24" s="230" customFormat="1" ht="17.399999999999999" x14ac:dyDescent="0.35">
      <c r="G38"/>
      <c r="K38" s="230">
        <f>K37/1.19</f>
        <v>26075.63025210084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158</v>
      </c>
      <c r="V38" s="300" t="s">
        <v>157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159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154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25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146</v>
      </c>
    </row>
    <row r="73" spans="3:3" x14ac:dyDescent="0.3">
      <c r="C73" t="s">
        <v>145</v>
      </c>
    </row>
    <row r="76" spans="3:3" x14ac:dyDescent="0.3">
      <c r="C76" t="s">
        <v>145</v>
      </c>
    </row>
    <row r="153" spans="3:3" x14ac:dyDescent="0.3">
      <c r="C153" t="s">
        <v>145</v>
      </c>
    </row>
    <row r="154" spans="3:3" x14ac:dyDescent="0.3">
      <c r="C154" t="s">
        <v>147</v>
      </c>
    </row>
    <row r="155" spans="3:3" x14ac:dyDescent="0.3">
      <c r="C155" t="s">
        <v>148</v>
      </c>
    </row>
    <row r="580" spans="3:3" x14ac:dyDescent="0.3">
      <c r="C580" t="s">
        <v>145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45772</v>
      </c>
    </row>
    <row r="6" spans="2:31" ht="16.2" thickBot="1" x14ac:dyDescent="0.35">
      <c r="B6" s="140" t="s">
        <v>2</v>
      </c>
      <c r="C6" s="139" t="str">
        <f>'2229'!C10</f>
        <v xml:space="preserve">EDUARDO COLLAO 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-4408.68886678744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105083</v>
      </c>
      <c r="E11" s="132">
        <f>D11*0.19</f>
        <v>19965.77</v>
      </c>
      <c r="F11" s="131">
        <f>E11+D11</f>
        <v>125048.77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101581.31113321256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47655.070787439618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83581.311133212555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57427.929212560382</v>
      </c>
      <c r="E13" s="221">
        <f>(D11/D12)-1</f>
        <v>1.2050748905339277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74581.311133212555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35581.311133212563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78630.866799275362</v>
      </c>
      <c r="F15" s="216">
        <f>E15-D12</f>
        <v>30975.796011835744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35581.311133212563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75581.311133212555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5320.98</v>
      </c>
      <c r="E20" s="121">
        <f>D20*0.19</f>
        <v>1010.9861999999999</v>
      </c>
      <c r="F20" s="120">
        <f>SUM(D20:E20)</f>
        <v>6331.9661999999998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17820.98</v>
      </c>
      <c r="E21" s="116">
        <f>SUM(E18:E20)</f>
        <v>3385.9861999999998</v>
      </c>
      <c r="F21" s="115">
        <f>SUM(F18:F20)</f>
        <v>21206.966199999999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16579.783800000001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105083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17820.98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57427.929212560382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57427.929212560382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2025-04-25T17:11:23Z</cp:lastPrinted>
  <dcterms:created xsi:type="dcterms:W3CDTF">2013-03-18T13:35:42Z</dcterms:created>
  <dcterms:modified xsi:type="dcterms:W3CDTF">2025-04-25T20:09:28Z</dcterms:modified>
</cp:coreProperties>
</file>