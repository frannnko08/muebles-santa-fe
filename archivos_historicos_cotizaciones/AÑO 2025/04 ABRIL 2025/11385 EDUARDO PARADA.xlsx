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824219DF-FFFC-4954-B9EE-1A292C5FDC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H22" i="1"/>
  <c r="L21" i="1"/>
  <c r="N21" i="1"/>
  <c r="O22" i="1" l="1"/>
  <c r="P22" i="1" s="1"/>
  <c r="M21" i="1"/>
  <c r="M25" i="1" s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Q22" i="1" s="1"/>
  <c r="R22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<sst xmlns="http://schemas.openxmlformats.org/spreadsheetml/2006/main" count="231" uniqueCount="173">
  <si>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</si>
  <si>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</si>
  <si>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</si>
  <si>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</si>
  <si>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</si>
  <si>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</si>
  <si>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</si>
  <si>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</si>
  <si>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</si>
  <si>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</si>
  <si>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</si>
  <si>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</si>
  <si>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</si>
  <si>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</si>
  <si>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</si>
  <si>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</si>
  <si>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</si>
  <si>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</si>
  <si>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</si>
  <si>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</si>
  <si>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</si>
  <si>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</si>
  <si>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</si>
  <si>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</si>
  <si>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</si>
  <si>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</si>
  <si>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</si>
  <si>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</si>
  <si>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</si>
  <si>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</si>
  <si>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</si>
  <si>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</si>
  <si>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</si>
  <si>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</si>
  <si>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</si>
  <si>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</si>
  <si>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</si>
  <si>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</si>
  <si>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</si>
  <si>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</si>
  <si>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</si>
  <si>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</si>
  <si>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</si>
  <si>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</si>
  <si>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</si>
  <si>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</si>
  <si>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</si>
  <si>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</si>
  <si>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</si>
  <si>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</si>
  <si>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</si>
  <si>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</si>
  <si>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</si>
  <si>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</si>
  <si>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</si>
  <si>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</si>
  <si>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</si>
  <si>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</si>
  <si>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</si>
  <si>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</si>
  <si>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</si>
  <si>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</si>
  <si>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</si>
  <si>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</si>
  <si>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</si>
  <si>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</si>
  <si>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</si>
  <si>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</si>
  <si>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</si>
  <si>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</si>
  <si>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</si>
  <si>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</si>
  <si>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</si>
  <si>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</si>
  <si>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</si>
  <si>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</si>
  <si>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</si>
  <si>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</si>
  <si>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</si>
  <si>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</si>
  <si>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</si>
  <si>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</si>
  <si>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</si>
  <si>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</si>
  <si>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</si>
  <si>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</si>
  <si>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</si>
  <si>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</si>
  <si>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</si>
  <si>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</si>
  <si>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</si>
  <si>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</si>
  <si>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</si>
  <si>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</si>
  <si>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</si>
  <si>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</si>
  <si>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</si>
  <si>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</si>
  <si>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</si>
  <si>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</si>
  <si>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</si>
  <si>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</si>
  <si>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</si>
  <si>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</si>
  <si>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</si>
  <si>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</si>
  <si>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</si>
  <si>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</si>
  <si>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</si>
  <si>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</si>
  <si>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</si>
  <si>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</si>
  <si>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</si>
  <si>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</si>
  <si>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</si>
  <si>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</si>
  <si>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</si>
  <si>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</si>
  <si>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</si>
  <si>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</si>
  <si>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</si>
  <si>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</si>
  <si>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</si>
  <si>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</si>
  <si>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</si>
  <si>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</si>
  <si>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</si>
  <si>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</si>
  <si>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</si>
  <si>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</si>
  <si>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</si>
  <si>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</si>
  <si>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</si>
  <si>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</si>
  <si>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</si>
  <si>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</si>
  <si>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</si>
  <si>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</si>
  <si>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</si>
  <si>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</si>
  <si>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</si>
  <si>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</si>
  <si>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</si>
  <si>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</si>
  <si>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</si>
  <si>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</si>
  <si>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</si>
  <si>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</si>
  <si>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</si>
  <si>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</si>
  <si>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</si>
  <si>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</si>
  <si>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</si>
  <si>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</si>
  <si>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</si>
  <si>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</si>
  <si>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</si>
  <si>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</si>
  <si>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</si>
  <si>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</si>
  <si>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</si>
  <si>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</si>
  <si>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</si>
  <si>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</si>
  <si>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</si>
  <si>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7 DIAS HABILES</t>
  </si>
  <si>
    <t>SANTIAGO</t>
  </si>
  <si>
    <t>RUT : 77.054.606-0 CORREO: FRANCODONOSO@TOPMOBILI.CL</t>
  </si>
  <si>
    <t>EDUARDO PARADA</t>
  </si>
  <si>
    <t>56979368390</t>
  </si>
  <si>
    <t>CUB C/R FRENTE 90°</t>
  </si>
  <si>
    <t>BLANCO CARRARA 40477 MT</t>
  </si>
  <si>
    <t>N° 11385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</si>
</sst>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Fill="1" applyBorder="1" applyAlignment="1">
      <alignment horizontal="center" vertical="center"/>
    </xf>
    <xf numFmtId="166" fontId="32" fillId="0" borderId="1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7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0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168</v>
      </c>
      <c r="D10" s="243"/>
      <c r="E10" s="243"/>
      <c r="F10" s="244" t="s">
        <v>0</v>
      </c>
      <c r="G10" s="276">
        <v>45754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165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120397.57575757576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45">
        <v>1</v>
      </c>
      <c r="C21" s="345" t="s">
        <v>170</v>
      </c>
      <c r="D21" s="346">
        <v>2</v>
      </c>
      <c r="E21" s="346">
        <v>0.55000000000000004</v>
      </c>
      <c r="F21" s="345" t="s">
        <v>171</v>
      </c>
      <c r="G21" s="332">
        <v>140735</v>
      </c>
      <c r="H21" s="332">
        <f>G21*B21</f>
        <v>140735</v>
      </c>
      <c r="I21" s="320"/>
      <c r="J21" s="265"/>
      <c r="K21" s="47"/>
      <c r="L21" s="47">
        <f>B21</f>
        <v>1</v>
      </c>
      <c r="M21" s="39">
        <f>D21+M$19</f>
        <v>2.08</v>
      </c>
      <c r="N21" s="39">
        <f>E21+$N$19</f>
        <v>0.55000000000000004</v>
      </c>
      <c r="O21" s="261">
        <f t="shared" ref="O21" si="1">M21*N21</f>
        <v>1.1440000000000001</v>
      </c>
      <c r="P21" s="259">
        <f t="shared" ref="P21" si="2">O21*L21</f>
        <v>1.1440000000000001</v>
      </c>
      <c r="Q21" s="252">
        <f t="shared" ref="Q21" si="3">Q$20*O21</f>
        <v>137734.82666666669</v>
      </c>
      <c r="R21" s="319">
        <f t="shared" ref="R21" si="4">Q21+R$20</f>
        <v>140734.82666666669</v>
      </c>
      <c r="S21" s="297">
        <f>M21*L21</f>
        <v>2.08</v>
      </c>
      <c r="T21" s="46">
        <f>N21*2*L21*2</f>
        <v>2.2000000000000002</v>
      </c>
      <c r="U21" s="9"/>
      <c r="X21" s="4"/>
    </row>
    <row r="22" spans="1:25" ht="17.399999999999999" x14ac:dyDescent="0.3">
      <c r="B22" s="330">
        <v>1</v>
      </c>
      <c r="C22" s="345" t="s">
        <v>170</v>
      </c>
      <c r="D22" s="331">
        <v>1.8</v>
      </c>
      <c r="E22" s="331">
        <v>0.55000000000000004</v>
      </c>
      <c r="F22" s="345" t="s">
        <v>171</v>
      </c>
      <c r="G22" s="332">
        <v>127491</v>
      </c>
      <c r="H22" s="332">
        <f>G22*B22</f>
        <v>127491</v>
      </c>
      <c r="I22" s="320"/>
      <c r="J22" s="265"/>
      <c r="K22" s="47"/>
      <c r="L22" s="47">
        <f>B22</f>
        <v>1</v>
      </c>
      <c r="M22" s="39">
        <f>D22+M$19</f>
        <v>1.8800000000000001</v>
      </c>
      <c r="N22" s="39">
        <f>E22+$N$19</f>
        <v>0.55000000000000004</v>
      </c>
      <c r="O22" s="261">
        <f t="shared" ref="O22" si="5">M22*N22</f>
        <v>1.0340000000000003</v>
      </c>
      <c r="P22" s="259">
        <f t="shared" ref="P22" si="6">O22*L22</f>
        <v>1.0340000000000003</v>
      </c>
      <c r="Q22" s="252">
        <f t="shared" ref="Q22" si="7">Q$20*O22</f>
        <v>124491.09333333337</v>
      </c>
      <c r="R22" s="319">
        <f t="shared" ref="R22" si="8">Q22+R$20</f>
        <v>127491.09333333337</v>
      </c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268226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2.2000000000000002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50962.94</v>
      </c>
      <c r="I25" s="322"/>
      <c r="J25" s="265"/>
      <c r="K25" s="47"/>
      <c r="L25" s="47"/>
      <c r="M25" s="39">
        <f>SUM(M21:M22)</f>
        <v>3.96</v>
      </c>
      <c r="N25" s="12"/>
      <c r="O25" s="12"/>
      <c r="P25" s="253">
        <f>SUM(P21:P23)</f>
        <v>2.1780000000000004</v>
      </c>
      <c r="Q25" s="14"/>
      <c r="R25" s="12"/>
      <c r="S25" s="239">
        <f>SUM(S21:S24)</f>
        <v>2.08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319188.94</v>
      </c>
      <c r="I26" s="322"/>
      <c r="J26" s="265"/>
      <c r="K26" s="47"/>
      <c r="L26" s="47"/>
      <c r="M26" s="39"/>
      <c r="N26" s="12"/>
      <c r="O26" s="12"/>
      <c r="P26" s="253">
        <f>P25</f>
        <v>2.1780000000000004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0.4356000000000001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2.6136000000000004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2.6136000000000004</v>
      </c>
      <c r="N30" s="12">
        <v>3500</v>
      </c>
      <c r="O30" s="12">
        <f t="shared" ref="O30:O35" si="9">M30*N30</f>
        <v>9147.6000000000022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0.8</v>
      </c>
      <c r="N31" s="12">
        <v>25000</v>
      </c>
      <c r="O31" s="12">
        <f t="shared" si="9"/>
        <v>20000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61840</v>
      </c>
      <c r="O32" s="12">
        <f t="shared" si="9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167</v>
      </c>
      <c r="C33"/>
      <c r="D33"/>
      <c r="E33"/>
      <c r="F33"/>
      <c r="J33" s="262"/>
      <c r="K33" s="232"/>
      <c r="L33" s="250"/>
      <c r="M33" s="14">
        <v>2</v>
      </c>
      <c r="N33" s="250">
        <v>42053</v>
      </c>
      <c r="O33" s="12">
        <f t="shared" si="9"/>
        <v>84106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9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3.96</v>
      </c>
      <c r="N35" s="12">
        <v>1500</v>
      </c>
      <c r="O35" s="12">
        <f t="shared" si="9"/>
        <v>5940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119193.60000000001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262225.92000000004</v>
      </c>
      <c r="P37" s="14" t="s">
        <v>140</v>
      </c>
      <c r="Q37" s="14"/>
      <c r="R37" s="40">
        <f>P28/R36</f>
        <v>0.70470232959447809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31030</v>
      </c>
      <c r="L38" s="250"/>
      <c r="M38" s="14"/>
      <c r="N38" s="12"/>
      <c r="O38" s="12">
        <f>O37/P26</f>
        <v>120397.57575757576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K39" s="230">
        <f>K38/1.19</f>
        <v>26075.63025210084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45754</v>
      </c>
    </row>
    <row r="6" spans="2:31" ht="16.2" thickBot="1" x14ac:dyDescent="0.35">
      <c r="B6" s="140" t="s">
        <v>2</v>
      </c>
      <c r="C6" s="139" t="str">
        <f>'2229'!C10</f>
        <v>EDUARDO PARADA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11385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-28484.368366787443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268226</v>
      </c>
      <c r="E11" s="132">
        <f>D11*0.19</f>
        <v>50962.94</v>
      </c>
      <c r="F11" s="131">
        <f>E11+D11</f>
        <v>319188.94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77505.631633212557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58981.690787439613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59505.631633212557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209244.30921256039</v>
      </c>
      <c r="E13" s="221">
        <f>(D11/D12)-1</f>
        <v>3.5476146312360344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50505.631633212557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11505.631633212557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97319.789799275357</v>
      </c>
      <c r="F15" s="216">
        <f>E15-D12</f>
        <v>38338.099011835744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11505.631633212557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51505.631633212557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9147.6000000000022</v>
      </c>
      <c r="E20" s="121">
        <f>D20*0.19</f>
        <v>1738.0440000000003</v>
      </c>
      <c r="F20" s="120">
        <f>SUM(D20:E20)</f>
        <v>10885.644000000002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29147.600000000002</v>
      </c>
      <c r="E21" s="116">
        <f>SUM(E18:E20)</f>
        <v>5538.0439999999999</v>
      </c>
      <c r="F21" s="115">
        <f>SUM(F18:F20)</f>
        <v>34685.644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45424.896000000001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268226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29147.600000000002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209244.30921256039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209244.30921256039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2025-03-04T21:04:33Z</cp:lastPrinted>
  <dcterms:created xsi:type="dcterms:W3CDTF">2013-03-18T13:35:42Z</dcterms:created>
  <dcterms:modified xsi:type="dcterms:W3CDTF">2025-04-07T19:31:03Z</dcterms:modified>
</cp:coreProperties>
</file>