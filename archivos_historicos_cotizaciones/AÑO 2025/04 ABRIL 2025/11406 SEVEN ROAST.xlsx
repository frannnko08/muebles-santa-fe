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5B734806-2989-4121-BB1C-BB447FAB95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1" l="1"/>
  <c r="H22" i="1"/>
  <c r="H23" i="1"/>
  <c r="L22" i="1" l="1"/>
  <c r="M22" i="1"/>
  <c r="N22" i="1"/>
  <c r="O22" i="1"/>
  <c r="P22" i="1" s="1"/>
  <c r="L23" i="1"/>
  <c r="M23" i="1"/>
  <c r="O23" i="1" s="1"/>
  <c r="P23" i="1" s="1"/>
  <c r="N23" i="1"/>
  <c r="L21" i="1"/>
  <c r="N21" i="1"/>
  <c r="M21" i="1" l="1"/>
  <c r="M27" i="1" s="1"/>
  <c r="S21" i="1" l="1"/>
  <c r="S27" i="1" s="1"/>
  <c r="T21" i="1"/>
  <c r="T26" i="1" s="1"/>
  <c r="O21" i="1"/>
  <c r="P21" i="1" s="1"/>
  <c r="P27" i="1" s="1"/>
  <c r="K41" i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40" i="1" l="1"/>
  <c r="D20" i="3"/>
  <c r="E20" i="3" s="1"/>
  <c r="E21" i="3" s="1"/>
  <c r="Q20" i="1" l="1"/>
  <c r="D21" i="3"/>
  <c r="M43" i="3" s="1"/>
  <c r="D12" i="3" s="1"/>
  <c r="F20" i="3"/>
  <c r="F21" i="3" s="1"/>
  <c r="Q23" i="1" l="1"/>
  <c r="R23" i="1" s="1"/>
  <c r="Q22" i="1"/>
  <c r="R22" i="1" s="1"/>
  <c r="O41" i="1"/>
  <c r="E15" i="3"/>
  <c r="Q21" i="1" l="1"/>
  <c r="F15" i="3"/>
  <c r="R21" i="1" l="1"/>
  <c r="H21" i="1" l="1"/>
  <c r="H26" i="1" s="1"/>
  <c r="H27" i="1" l="1"/>
  <c r="D11" i="3" l="1"/>
  <c r="X9" i="3" s="1"/>
  <c r="X15" i="3" s="1"/>
  <c r="H28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<sst xmlns="http://schemas.openxmlformats.org/spreadsheetml/2006/main" count="233" uniqueCount="175">
  <si>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</si>
  <si>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</si>
  <si>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</si>
  <si>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</si>
  <si>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</si>
  <si>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</si>
  <si>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</si>
  <si>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</si>
  <si>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</si>
  <si>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</si>
  <si>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</si>
  <si>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</si>
  <si>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</si>
  <si>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</si>
  <si>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</si>
  <si>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</si>
  <si>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</si>
  <si>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</si>
  <si>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</si>
  <si>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</si>
  <si>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</si>
  <si>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</si>
  <si>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</si>
  <si>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</si>
  <si>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</si>
  <si>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</si>
  <si>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</si>
  <si>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</si>
  <si>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</si>
  <si>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</si>
  <si>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</si>
  <si>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</si>
  <si>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</si>
  <si>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</si>
  <si>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</si>
  <si>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</si>
  <si>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</si>
  <si>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</si>
  <si>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</si>
  <si>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</si>
  <si>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</si>
  <si>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</si>
  <si>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</si>
  <si>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</si>
  <si>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</si>
  <si>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</si>
  <si>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</si>
  <si>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</si>
  <si>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</si>
  <si>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</si>
  <si>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</si>
  <si>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</si>
  <si>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</si>
  <si>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</si>
  <si>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</si>
  <si>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</si>
  <si>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</si>
  <si>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</si>
  <si>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</si>
  <si>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</si>
  <si>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</si>
  <si>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</si>
  <si>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</si>
  <si>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</si>
  <si>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</si>
  <si>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</si>
  <si>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</si>
  <si>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</si>
  <si>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</si>
  <si>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</si>
  <si>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</si>
  <si>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</si>
  <si>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</si>
  <si>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</si>
  <si>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</si>
  <si>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</si>
  <si>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</si>
  <si>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</si>
  <si>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</si>
  <si>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</si>
  <si>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</si>
  <si>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</si>
  <si>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</si>
  <si>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</si>
  <si>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</si>
  <si>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</si>
  <si>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</si>
  <si>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</si>
  <si>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</si>
  <si>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</si>
  <si>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</si>
  <si>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</si>
  <si>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</si>
  <si>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</si>
  <si>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</si>
  <si>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</si>
  <si>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</si>
  <si>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</si>
  <si>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</si>
  <si>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</si>
  <si>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</si>
  <si>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</si>
  <si>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</si>
  <si>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</si>
  <si>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</si>
  <si>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</si>
  <si>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</si>
  <si>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</si>
  <si>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</si>
  <si>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</si>
  <si>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</si>
  <si>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</si>
  <si>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</si>
  <si>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</si>
  <si>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</si>
  <si>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</si>
  <si>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</si>
  <si>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</si>
  <si>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</si>
  <si>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</si>
  <si>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</si>
  <si>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</si>
  <si>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</si>
  <si>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</si>
  <si>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</si>
  <si>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</si>
  <si>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</si>
  <si>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</si>
  <si>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</si>
  <si>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</si>
  <si>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</si>
  <si>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</si>
  <si>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</si>
  <si>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</si>
  <si>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</si>
  <si>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</si>
  <si>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</si>
  <si>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</si>
  <si>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</si>
  <si>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</si>
  <si>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</si>
  <si>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</si>
  <si>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</si>
  <si>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</si>
  <si>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</si>
  <si>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</si>
  <si>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</si>
  <si>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</si>
  <si>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</si>
  <si>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</si>
  <si>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</si>
  <si>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</si>
  <si>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</si>
  <si>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</si>
  <si>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</si>
  <si>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</si>
  <si>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</si>
  <si>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</si>
  <si>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</si>
  <si>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</si>
  <si>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</si>
  <si>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</si>
  <si>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</si>
  <si>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</si>
  <si>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</si>
  <si>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</si>
  <si>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</si>
  <si>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SEVEN ROAST SPA</t>
  </si>
  <si>
    <t>SEVENROASTBUIN@GMAIL.COM</t>
  </si>
  <si>
    <t>56973259396</t>
  </si>
  <si>
    <t>EBANO 2110 OPACO</t>
  </si>
  <si>
    <t>CUB S/R 90° R8</t>
  </si>
  <si>
    <t>CUB MESA 2 LADOS 90° R8</t>
  </si>
  <si>
    <t>CUB CON RESPALDO 90° R8</t>
  </si>
  <si>
    <t>N° 11406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</si>
</sst>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EVENROASTBUIN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6.886718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167</v>
      </c>
      <c r="D10" s="243"/>
      <c r="E10" s="243"/>
      <c r="F10" s="244" t="s">
        <v>0</v>
      </c>
      <c r="G10" s="276">
        <v>45771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166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 t="s">
        <v>168</v>
      </c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2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O40</f>
        <v>73789.360231624189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30">
        <v>2</v>
      </c>
      <c r="C21" s="330" t="s">
        <v>171</v>
      </c>
      <c r="D21" s="331">
        <v>2.4</v>
      </c>
      <c r="E21" s="331">
        <v>0.5</v>
      </c>
      <c r="F21" s="330" t="s">
        <v>170</v>
      </c>
      <c r="G21" s="332">
        <v>94499</v>
      </c>
      <c r="H21" s="332">
        <f>G21*B21</f>
        <v>188998</v>
      </c>
      <c r="I21" s="320"/>
      <c r="J21" s="265"/>
      <c r="K21" s="47"/>
      <c r="L21" s="47">
        <f>B21</f>
        <v>2</v>
      </c>
      <c r="M21" s="39">
        <f>D21+M$19</f>
        <v>2.48</v>
      </c>
      <c r="N21" s="39">
        <f>E21+$N$19</f>
        <v>0.5</v>
      </c>
      <c r="O21" s="261">
        <f t="shared" ref="O21" si="1">M21*N21</f>
        <v>1.24</v>
      </c>
      <c r="P21" s="259">
        <f t="shared" ref="P21" si="2">O21*L21</f>
        <v>2.48</v>
      </c>
      <c r="Q21" s="252">
        <f t="shared" ref="Q21" si="3">Q$20*O21</f>
        <v>91498.80668721399</v>
      </c>
      <c r="R21" s="319">
        <f t="shared" ref="R21" si="4">Q21+R$20</f>
        <v>94498.80668721399</v>
      </c>
      <c r="S21" s="297">
        <f>M21*L21</f>
        <v>4.96</v>
      </c>
      <c r="T21" s="46">
        <f>N21*2*L21*2</f>
        <v>4</v>
      </c>
      <c r="U21" s="9"/>
      <c r="X21" s="4"/>
    </row>
    <row r="22" spans="2:25" ht="17.399999999999999" x14ac:dyDescent="0.3">
      <c r="B22" s="330">
        <v>2</v>
      </c>
      <c r="C22" s="330" t="s">
        <v>172</v>
      </c>
      <c r="D22" s="331">
        <v>2.4</v>
      </c>
      <c r="E22" s="331">
        <v>0.35</v>
      </c>
      <c r="F22" s="330" t="s">
        <v>170</v>
      </c>
      <c r="G22" s="332">
        <v>67049</v>
      </c>
      <c r="H22" s="332">
        <f t="shared" ref="H22:H23" si="5">G22*B22</f>
        <v>134098</v>
      </c>
      <c r="I22" s="320"/>
      <c r="J22" s="265"/>
      <c r="K22" s="47"/>
      <c r="L22" s="47">
        <f t="shared" ref="L22:L23" si="6">B22</f>
        <v>2</v>
      </c>
      <c r="M22" s="39">
        <f t="shared" ref="M22:M23" si="7">D22+M$19</f>
        <v>2.48</v>
      </c>
      <c r="N22" s="39">
        <f t="shared" ref="N22:N23" si="8">E22+$N$19</f>
        <v>0.35</v>
      </c>
      <c r="O22" s="261">
        <f t="shared" ref="O22:O23" si="9">M22*N22</f>
        <v>0.86799999999999999</v>
      </c>
      <c r="P22" s="259">
        <f t="shared" ref="P22:P23" si="10">O22*L22</f>
        <v>1.736</v>
      </c>
      <c r="Q22" s="252">
        <f t="shared" ref="Q22:Q23" si="11">Q$20*O22</f>
        <v>64049.164681049799</v>
      </c>
      <c r="R22" s="319">
        <f t="shared" ref="R22:R23" si="12">Q22+R$20</f>
        <v>67049.164681049791</v>
      </c>
      <c r="S22" s="297"/>
      <c r="T22" s="46"/>
      <c r="U22" s="9"/>
      <c r="X22" s="4"/>
    </row>
    <row r="23" spans="2:25" ht="17.399999999999999" x14ac:dyDescent="0.3">
      <c r="B23" s="330">
        <v>1</v>
      </c>
      <c r="C23" s="330" t="s">
        <v>173</v>
      </c>
      <c r="D23" s="331">
        <v>3.17</v>
      </c>
      <c r="E23" s="331">
        <v>0.35</v>
      </c>
      <c r="F23" s="330" t="s">
        <v>170</v>
      </c>
      <c r="G23" s="332">
        <v>86935</v>
      </c>
      <c r="H23" s="332">
        <f t="shared" si="5"/>
        <v>86935</v>
      </c>
      <c r="I23" s="320"/>
      <c r="J23" s="265"/>
      <c r="K23" s="47"/>
      <c r="L23" s="47">
        <f t="shared" si="6"/>
        <v>1</v>
      </c>
      <c r="M23" s="39">
        <f t="shared" si="7"/>
        <v>3.25</v>
      </c>
      <c r="N23" s="39">
        <f t="shared" si="8"/>
        <v>0.35</v>
      </c>
      <c r="O23" s="261">
        <f t="shared" si="9"/>
        <v>1.1375</v>
      </c>
      <c r="P23" s="259">
        <f t="shared" si="10"/>
        <v>1.1375</v>
      </c>
      <c r="Q23" s="252">
        <f t="shared" si="11"/>
        <v>83935.397263472507</v>
      </c>
      <c r="R23" s="319">
        <f t="shared" si="12"/>
        <v>86935.397263472507</v>
      </c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27</v>
      </c>
      <c r="H26" s="325">
        <f>SUM(H21:H25)</f>
        <v>410031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4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50</v>
      </c>
      <c r="H27" s="294">
        <f>H26*19%</f>
        <v>77905.89</v>
      </c>
      <c r="I27" s="322"/>
      <c r="J27" s="265"/>
      <c r="K27" s="47"/>
      <c r="L27" s="47"/>
      <c r="M27" s="39">
        <f>SUM(M21:M21)</f>
        <v>2.48</v>
      </c>
      <c r="N27" s="12"/>
      <c r="O27" s="12"/>
      <c r="P27" s="253">
        <f>SUM(P21:P25)</f>
        <v>5.3535000000000004</v>
      </c>
      <c r="Q27" s="14"/>
      <c r="R27" s="12"/>
      <c r="S27" s="239">
        <f>SUM(S21:S26)</f>
        <v>4.96</v>
      </c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487936.89</v>
      </c>
      <c r="I28" s="322"/>
      <c r="J28" s="265"/>
      <c r="K28" s="47"/>
      <c r="L28" s="47"/>
      <c r="M28" s="39"/>
      <c r="N28" s="12"/>
      <c r="O28" s="12"/>
      <c r="P28" s="253">
        <f>P27</f>
        <v>5.3535000000000004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1.0707000000000002</v>
      </c>
      <c r="Q29" s="39" t="s">
        <v>129</v>
      </c>
      <c r="R29" s="42"/>
      <c r="S29" s="240"/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6.4242000000000008</v>
      </c>
      <c r="Q30" s="14"/>
      <c r="R30" s="14"/>
      <c r="S30" s="238"/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/>
      <c r="T31" s="14"/>
      <c r="U31" s="302" t="s">
        <v>21</v>
      </c>
      <c r="V31" s="299" t="s">
        <v>150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6.4242000000000008</v>
      </c>
      <c r="N32" s="12">
        <v>3500</v>
      </c>
      <c r="O32" s="12">
        <f t="shared" ref="O32:O37" si="13">M32*N32</f>
        <v>22484.700000000004</v>
      </c>
      <c r="P32" s="14" t="s">
        <v>21</v>
      </c>
      <c r="Q32" s="14"/>
      <c r="R32" s="14"/>
      <c r="S32" s="241"/>
      <c r="T32" s="14"/>
      <c r="U32" s="302" t="s">
        <v>151</v>
      </c>
      <c r="V32" s="299">
        <v>3625</v>
      </c>
      <c r="W32" s="59" t="s">
        <v>152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2</v>
      </c>
      <c r="N33" s="12">
        <v>25000</v>
      </c>
      <c r="O33" s="12">
        <f t="shared" si="13"/>
        <v>50000</v>
      </c>
      <c r="P33" s="39" t="s">
        <v>30</v>
      </c>
      <c r="Q33" s="42"/>
      <c r="R33" s="14"/>
      <c r="S33" s="240"/>
      <c r="T33" s="14"/>
      <c r="U33" s="302"/>
      <c r="V33" s="59">
        <v>906.25</v>
      </c>
      <c r="W33" s="59" t="s">
        <v>153</v>
      </c>
      <c r="X33" s="304"/>
    </row>
    <row r="34" spans="1:24" s="230" customFormat="1" ht="17.399999999999999" x14ac:dyDescent="0.35">
      <c r="B34" s="24" t="s">
        <v>149</v>
      </c>
      <c r="J34" s="262"/>
      <c r="K34" s="232"/>
      <c r="L34" s="250"/>
      <c r="M34" s="14">
        <v>2</v>
      </c>
      <c r="N34" s="250">
        <v>51100</v>
      </c>
      <c r="O34" s="12">
        <f t="shared" si="13"/>
        <v>102200</v>
      </c>
      <c r="P34" s="39" t="s">
        <v>29</v>
      </c>
      <c r="Q34" s="42"/>
      <c r="S34" s="240"/>
      <c r="T34" s="256"/>
      <c r="U34" s="59"/>
      <c r="V34" s="59">
        <f>V33*20%</f>
        <v>181.25</v>
      </c>
      <c r="W34" s="304" t="s">
        <v>154</v>
      </c>
      <c r="X34" s="59"/>
    </row>
    <row r="35" spans="1:24" s="230" customFormat="1" ht="17.399999999999999" x14ac:dyDescent="0.35">
      <c r="B35" s="24" t="s">
        <v>165</v>
      </c>
      <c r="C35"/>
      <c r="D35"/>
      <c r="E35"/>
      <c r="F35"/>
      <c r="J35" s="262"/>
      <c r="K35" s="232"/>
      <c r="L35" s="250"/>
      <c r="M35" s="14"/>
      <c r="N35" s="250">
        <v>23700</v>
      </c>
      <c r="O35" s="12">
        <f t="shared" si="13"/>
        <v>0</v>
      </c>
      <c r="P35" s="14" t="s">
        <v>140</v>
      </c>
      <c r="Q35" s="17"/>
      <c r="S35" s="238"/>
      <c r="T35" s="256"/>
      <c r="U35" s="59"/>
      <c r="V35" s="59">
        <f>V33+V34</f>
        <v>1087.5</v>
      </c>
      <c r="W35" s="304" t="s">
        <v>155</v>
      </c>
      <c r="X35" s="59"/>
    </row>
    <row r="36" spans="1:24" s="230" customFormat="1" ht="17.399999999999999" x14ac:dyDescent="0.35">
      <c r="B36" s="29" t="s">
        <v>124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13"/>
        <v>0</v>
      </c>
      <c r="P36" s="14" t="s">
        <v>31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3.25</v>
      </c>
      <c r="N37" s="12">
        <v>1500</v>
      </c>
      <c r="O37" s="12">
        <f t="shared" si="13"/>
        <v>4875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179559.7</v>
      </c>
      <c r="P38" s="39">
        <v>0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32</v>
      </c>
      <c r="N39" s="12"/>
      <c r="O39" s="255">
        <f>O38*2.2</f>
        <v>395031.34000000008</v>
      </c>
      <c r="P39" s="14" t="s">
        <v>139</v>
      </c>
      <c r="Q39" s="14"/>
      <c r="R39" s="40">
        <f>P30/R38</f>
        <v>1.7321505608283003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72590</v>
      </c>
      <c r="L40" s="250"/>
      <c r="M40" s="14"/>
      <c r="N40" s="12"/>
      <c r="O40" s="12">
        <f>O39/P28</f>
        <v>73789.360231624189</v>
      </c>
      <c r="P40" s="45" t="s">
        <v>23</v>
      </c>
      <c r="Q40" s="14"/>
      <c r="R40" s="14"/>
      <c r="S40"/>
      <c r="T40" s="238"/>
      <c r="U40" s="59" t="s">
        <v>156</v>
      </c>
      <c r="V40" s="299">
        <v>43650</v>
      </c>
    </row>
    <row r="41" spans="1:24" s="230" customFormat="1" ht="17.399999999999999" x14ac:dyDescent="0.35">
      <c r="G41"/>
      <c r="K41" s="230">
        <f>K40/1.19</f>
        <v>61000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158</v>
      </c>
      <c r="V41" s="300" t="s">
        <v>157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159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154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25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146</v>
      </c>
    </row>
    <row r="76" spans="3:15" x14ac:dyDescent="0.3">
      <c r="C76" t="s">
        <v>145</v>
      </c>
    </row>
    <row r="79" spans="3:15" x14ac:dyDescent="0.3">
      <c r="C79" t="s">
        <v>145</v>
      </c>
    </row>
    <row r="156" spans="3:3" x14ac:dyDescent="0.3">
      <c r="C156" t="s">
        <v>145</v>
      </c>
    </row>
    <row r="157" spans="3:3" x14ac:dyDescent="0.3">
      <c r="C157" t="s">
        <v>147</v>
      </c>
    </row>
    <row r="158" spans="3:3" x14ac:dyDescent="0.3">
      <c r="C158" t="s">
        <v>148</v>
      </c>
    </row>
    <row r="583" spans="3:3" x14ac:dyDescent="0.3">
      <c r="C583" t="s">
        <v>145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  <hyperlink ref="C14" r:id="rId2" xr:uid="{FAEC95CF-1136-4F9C-84EE-D9A62EB4F6D1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45771</v>
      </c>
    </row>
    <row r="6" spans="2:31" ht="16.2" thickBot="1" x14ac:dyDescent="0.35">
      <c r="B6" s="140" t="s">
        <v>2</v>
      </c>
      <c r="C6" s="139" t="str">
        <f>'2229'!C10</f>
        <v>SEVEN ROAST SPA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11406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-12095.832533454106</v>
      </c>
    </row>
    <row r="10" spans="2:31" ht="16.2" thickBot="1" x14ac:dyDescent="0.35">
      <c r="D10" s="218" t="s">
        <v>27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'2229'!H26</f>
        <v>410031</v>
      </c>
      <c r="E11" s="132">
        <f>D11*0.19</f>
        <v>77905.89</v>
      </c>
      <c r="F11" s="131">
        <f>E11+D11</f>
        <v>487936.89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93894.1674665459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204518.79078743962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75894.1674665459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205512.20921256038</v>
      </c>
      <c r="E13" s="221">
        <f>(D11/D12)-1</f>
        <v>1.0048573454854486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66894.1674665459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27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27894.167466545892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337456.00479927537</v>
      </c>
      <c r="F15" s="216">
        <f>E15-D12</f>
        <v>132937.21401183575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27894.167466545892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67894.1674665459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27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'2229'!O34</f>
        <v>102200</v>
      </c>
      <c r="E18" s="123">
        <f>D18*0.19</f>
        <v>19418</v>
      </c>
      <c r="F18" s="120">
        <f>SUM(D18:E18)</f>
        <v>121618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'2229'!O33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22484.700000000004</v>
      </c>
      <c r="E20" s="121">
        <f>D20*0.19</f>
        <v>4272.0930000000008</v>
      </c>
      <c r="F20" s="120">
        <f>SUM(D20:E20)</f>
        <v>26756.793000000005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174684.7</v>
      </c>
      <c r="E21" s="116">
        <f>SUM(E18:E20)</f>
        <v>33190.093000000001</v>
      </c>
      <c r="F21" s="115">
        <f>SUM(F18:F20)</f>
        <v>207874.79300000001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44715.796999999999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410031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174684.7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205512.20921256038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205512.20921256038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2025-03-04T21:04:33Z</cp:lastPrinted>
  <dcterms:created xsi:type="dcterms:W3CDTF">2013-03-18T13:35:42Z</dcterms:created>
  <dcterms:modified xsi:type="dcterms:W3CDTF">2025-04-24T13:46:18Z</dcterms:modified>
</cp:coreProperties>
</file>