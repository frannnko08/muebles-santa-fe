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CA8E9373-5C35-4556-BA05-3637F47396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J39" i="1" l="1"/>
  <c r="L21" i="1"/>
  <c r="R21" i="1" s="1"/>
  <c r="M21" i="1"/>
  <c r="L24" i="1" l="1"/>
  <c r="S21" i="1"/>
  <c r="N21" i="1"/>
  <c r="O21" i="1" s="1"/>
  <c r="O25" i="1" s="1"/>
  <c r="U32" i="1"/>
  <c r="U33" i="1" s="1"/>
  <c r="R26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H24" i="1" s="1"/>
  <c r="H25" i="1" s="1"/>
  <c r="F15" i="3"/>
  <c r="Q21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<sst xmlns="http://schemas.openxmlformats.org/spreadsheetml/2006/main" count="231" uniqueCount="175">
  <si>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</si>
  <si>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</si>
  <si>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</si>
  <si>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</si>
  <si>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</si>
  <si>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</si>
  <si>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</si>
  <si>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</si>
  <si>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</si>
  <si>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</si>
  <si>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</si>
  <si>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</si>
  <si>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</si>
  <si>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</si>
  <si>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</si>
  <si>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</si>
  <si>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</si>
  <si>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</si>
  <si>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</si>
  <si>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</si>
  <si>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</si>
  <si>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</si>
  <si>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</si>
  <si>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</si>
  <si>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</si>
  <si>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</si>
  <si>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</si>
  <si>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</si>
  <si>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</si>
  <si>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</si>
  <si>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</si>
  <si>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</si>
  <si>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</si>
  <si>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</si>
  <si>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</si>
  <si>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</si>
  <si>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</si>
  <si>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</si>
  <si>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</si>
  <si>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</si>
  <si>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</si>
  <si>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</si>
  <si>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</si>
  <si>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</si>
  <si>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</si>
  <si>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</si>
  <si>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</si>
  <si>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</si>
  <si>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</si>
  <si>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</si>
  <si>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</si>
  <si>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</si>
  <si>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</si>
  <si>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</si>
  <si>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</si>
  <si>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</si>
  <si>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</si>
  <si>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</si>
  <si>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</si>
  <si>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</si>
  <si>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</si>
  <si>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</si>
  <si>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</si>
  <si>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</si>
  <si>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</si>
  <si>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</si>
  <si>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</si>
  <si>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</si>
  <si>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</si>
  <si>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</si>
  <si>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</si>
  <si>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</si>
  <si>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</si>
  <si>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</si>
  <si>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</si>
  <si>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</si>
  <si>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</si>
  <si>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</si>
  <si>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</si>
  <si>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</si>
  <si>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</si>
  <si>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</si>
  <si>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</si>
  <si>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</si>
  <si>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</si>
  <si>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</si>
  <si>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</si>
  <si>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</si>
  <si>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</si>
  <si>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</si>
  <si>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</si>
  <si>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</si>
  <si>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</si>
  <si>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</si>
  <si>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</si>
  <si>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</si>
  <si>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</si>
  <si>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</si>
  <si>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</si>
  <si>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</si>
  <si>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</si>
  <si>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</si>
  <si>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</si>
  <si>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</si>
  <si>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</si>
  <si>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</si>
  <si>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</si>
  <si>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</si>
  <si>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</si>
  <si>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</si>
  <si>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</si>
  <si>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</si>
  <si>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</si>
  <si>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</si>
  <si>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</si>
  <si>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</si>
  <si>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</si>
  <si>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</si>
  <si>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</si>
  <si>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</si>
  <si>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</si>
  <si>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</si>
  <si>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</si>
  <si>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</si>
  <si>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</si>
  <si>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</si>
  <si>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</si>
  <si>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</si>
  <si>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</si>
  <si>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</si>
  <si>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</si>
  <si>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</si>
  <si>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</si>
  <si>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</si>
  <si>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</si>
  <si>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</si>
  <si>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</si>
  <si>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</si>
  <si>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</si>
  <si>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</si>
  <si>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</si>
  <si>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</si>
  <si>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</si>
  <si>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</si>
  <si>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</si>
  <si>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</si>
  <si>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</si>
  <si>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</si>
  <si>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</si>
  <si>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</si>
  <si>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</si>
  <si>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</si>
  <si>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</si>
  <si>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</si>
  <si>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</si>
  <si>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</si>
  <si>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</si>
  <si>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</si>
  <si>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</si>
  <si>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</si>
  <si>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</si>
  <si>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</si>
  <si>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</si>
  <si>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</si>
  <si>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</si>
  <si>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</si>
  <si>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</si>
  <si>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</si>
  <si>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</si>
  <si>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UVZ</t>
  </si>
  <si>
    <t>RAMON SALINAS</t>
  </si>
  <si>
    <t>569 42714183</t>
  </si>
  <si>
    <t>GALAXIA GRAFITO 0491 MT</t>
  </si>
  <si>
    <t>CUB CON RESPALDO FRENTE 90° R8</t>
  </si>
  <si>
    <t>N° 11394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</si>
</sst>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DE 5CMS SOBRE LA BASE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8" t="s">
        <v>174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45758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4" t="s">
        <v>167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80856.923076923078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31">
        <v>1</v>
      </c>
      <c r="C21" s="332" t="s">
        <v>173</v>
      </c>
      <c r="D21" s="333">
        <v>1.35</v>
      </c>
      <c r="E21" s="333">
        <v>0.45</v>
      </c>
      <c r="F21" s="332" t="s">
        <v>172</v>
      </c>
      <c r="G21" s="322">
        <v>57813</v>
      </c>
      <c r="H21" s="323">
        <f t="shared" ref="H21" si="1">G21*B21</f>
        <v>57813</v>
      </c>
      <c r="I21" s="265"/>
      <c r="J21" s="47"/>
      <c r="K21" s="326">
        <f t="shared" ref="K21" si="2">B21</f>
        <v>1</v>
      </c>
      <c r="L21" s="327">
        <f t="shared" ref="L21" si="3">D21+L$19</f>
        <v>1.4300000000000002</v>
      </c>
      <c r="M21" s="327">
        <f t="shared" ref="M21" si="4">E21+M$19</f>
        <v>0.5</v>
      </c>
      <c r="N21" s="261">
        <f t="shared" ref="N21" si="5">L21*M21</f>
        <v>0.71500000000000008</v>
      </c>
      <c r="O21" s="259">
        <f t="shared" ref="O21" si="6">N21*K21</f>
        <v>0.71500000000000008</v>
      </c>
      <c r="P21" s="252">
        <f>P$20*N21</f>
        <v>57812.700000000004</v>
      </c>
      <c r="Q21" s="258">
        <f t="shared" ref="Q21" si="7">P21+Q$20</f>
        <v>60812.700000000004</v>
      </c>
      <c r="R21" s="308">
        <f>L21*K21</f>
        <v>1.4300000000000002</v>
      </c>
      <c r="S21" s="46">
        <f>M21*K21*2</f>
        <v>1</v>
      </c>
      <c r="T21" s="9"/>
      <c r="W21" s="4"/>
    </row>
    <row r="22" spans="2:24" ht="17.399999999999999" x14ac:dyDescent="0.3">
      <c r="B22" s="329"/>
      <c r="C22" s="330"/>
      <c r="D22" s="329"/>
      <c r="E22" s="329"/>
      <c r="F22" s="329"/>
      <c r="G22" s="329"/>
      <c r="H22" s="329"/>
      <c r="I22" s="265"/>
      <c r="J22" s="47"/>
      <c r="K22" s="326"/>
      <c r="L22" s="327"/>
      <c r="M22" s="327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29</v>
      </c>
      <c r="H24" s="310">
        <f>SUM(H21:H23)</f>
        <v>57813</v>
      </c>
      <c r="I24" s="265"/>
      <c r="J24" s="47"/>
      <c r="K24" s="47"/>
      <c r="L24" s="39">
        <f>SUM(L21:L23)</f>
        <v>1.4300000000000002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>
        <f>H24*19%</f>
        <v>10984.47</v>
      </c>
      <c r="I25" s="265"/>
      <c r="J25" s="47"/>
      <c r="K25" s="47"/>
      <c r="L25" s="39"/>
      <c r="M25" s="12"/>
      <c r="N25" s="12"/>
      <c r="O25" s="253">
        <f>SUM(O21:O21)</f>
        <v>0.71500000000000008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68797.47</v>
      </c>
      <c r="I26" s="265"/>
      <c r="J26" s="47"/>
      <c r="K26" s="47"/>
      <c r="L26" s="39"/>
      <c r="M26" s="12"/>
      <c r="N26" s="12"/>
      <c r="O26" s="253">
        <f>O25</f>
        <v>0.71500000000000008</v>
      </c>
      <c r="P26" s="14"/>
      <c r="Q26" s="12"/>
      <c r="R26" s="239">
        <f>SUM(R21:R25)</f>
        <v>1.4300000000000002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0.14300000000000002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0.8580000000000001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0.8580000000000001</v>
      </c>
      <c r="M30" s="12">
        <v>3500</v>
      </c>
      <c r="N30" s="12">
        <f t="shared" ref="N30:N35" si="8">L30*M30</f>
        <v>3003.0000000000005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0.23100000000000001</v>
      </c>
      <c r="M31" s="12">
        <v>25000</v>
      </c>
      <c r="N31" s="12">
        <f t="shared" si="8"/>
        <v>5775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399999999999999" x14ac:dyDescent="0.35">
      <c r="I32" s="262"/>
      <c r="J32" s="232"/>
      <c r="K32" s="250"/>
      <c r="L32" s="14"/>
      <c r="M32" s="250">
        <v>77058</v>
      </c>
      <c r="N32" s="12">
        <f t="shared" si="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0.3</v>
      </c>
      <c r="M33" s="250">
        <v>51185</v>
      </c>
      <c r="N33" s="12">
        <f t="shared" si="8"/>
        <v>15355.5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3"/>
      <c r="K35" s="250"/>
      <c r="L35" s="266">
        <v>1.43</v>
      </c>
      <c r="M35" s="12">
        <v>1500</v>
      </c>
      <c r="N35" s="12">
        <f t="shared" si="8"/>
        <v>2145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26278.5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57812.700000000004</v>
      </c>
      <c r="O37" s="14" t="s">
        <v>141</v>
      </c>
      <c r="P37" s="14"/>
      <c r="Q37" s="40">
        <f>O28/Q36</f>
        <v>0.23134167385677309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60910</v>
      </c>
      <c r="K38" s="250"/>
      <c r="L38" s="14"/>
      <c r="M38" s="12"/>
      <c r="N38" s="12">
        <f>N37/O26</f>
        <v>80856.923076923078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399999999999999" x14ac:dyDescent="0.35">
      <c r="G39"/>
      <c r="J39" s="230">
        <f>J38/1.19</f>
        <v>51184.873949579836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45758</v>
      </c>
    </row>
    <row r="6" spans="2:31" ht="16.2" thickBot="1" x14ac:dyDescent="0.35">
      <c r="B6" s="140" t="s">
        <v>2</v>
      </c>
      <c r="C6" s="139" t="str">
        <f>'2229'!C10</f>
        <v>UVZ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11394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982.8249665458934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57813</v>
      </c>
      <c r="E11" s="132">
        <f>D11*0.19</f>
        <v>10984.47</v>
      </c>
      <c r="F11" s="131">
        <f>E11+D11</f>
        <v>68797.47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106972.82496654589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38612.090787439614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88972.824966545886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19200.909212560386</v>
      </c>
      <c r="E13" s="221">
        <f>(D11/D12)-1</f>
        <v>0.49727711763296645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79972.824966545886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40972.824966545893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63709.94979927536</v>
      </c>
      <c r="F15" s="216">
        <f>E15-D12</f>
        <v>25097.859011835746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40972.824966545893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80972.824966545886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5775</v>
      </c>
      <c r="E19" s="123">
        <f>D19*0.19</f>
        <v>1097.25</v>
      </c>
      <c r="F19" s="120">
        <f>SUM(D19:E19)</f>
        <v>6872.25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3003.0000000000005</v>
      </c>
      <c r="E20" s="121">
        <f>D20*0.19</f>
        <v>570.57000000000005</v>
      </c>
      <c r="F20" s="120">
        <f>SUM(D20:E20)</f>
        <v>3573.5700000000006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8778</v>
      </c>
      <c r="E21" s="116">
        <f>SUM(E18:E20)</f>
        <v>1667.8200000000002</v>
      </c>
      <c r="F21" s="115">
        <f>SUM(F18:F20)</f>
        <v>10445.82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9316.65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57813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8778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19200.909212560386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19200.909212560386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2025-04-11T19:23:33Z</dcterms:modified>
</cp:coreProperties>
</file>