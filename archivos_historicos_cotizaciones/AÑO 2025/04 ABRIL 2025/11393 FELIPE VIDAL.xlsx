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37FB9DCF-E837-4832-BAE7-FE85E2B49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M27" i="1"/>
  <c r="L23" i="1"/>
  <c r="M23" i="1"/>
  <c r="O23" i="1" s="1"/>
  <c r="P23" i="1" s="1"/>
  <c r="P27" i="1" s="1"/>
  <c r="N23" i="1"/>
  <c r="L22" i="1"/>
  <c r="M22" i="1"/>
  <c r="N22" i="1"/>
  <c r="H22" i="1"/>
  <c r="L21" i="1"/>
  <c r="N21" i="1"/>
  <c r="O22" i="1" l="1"/>
  <c r="P22" i="1" s="1"/>
  <c r="M21" i="1"/>
  <c r="S21" i="1" l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<sst xmlns="http://schemas.openxmlformats.org/spreadsheetml/2006/main" count="233" uniqueCount="174">
  <si>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</si>
  <si>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</si>
  <si>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</si>
  <si>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</si>
  <si>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</si>
  <si>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</si>
  <si>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</si>
  <si>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</si>
  <si>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</si>
  <si>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</si>
  <si>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</si>
  <si>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</si>
  <si>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</si>
  <si>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</si>
  <si>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</si>
  <si>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</si>
  <si>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</si>
  <si>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</si>
  <si>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</si>
  <si>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</si>
  <si>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</si>
  <si>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</si>
  <si>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</si>
  <si>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</si>
  <si>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</si>
  <si>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</si>
  <si>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</si>
  <si>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</si>
  <si>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</si>
  <si>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</si>
  <si>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</si>
  <si>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</si>
  <si>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</si>
  <si>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</si>
  <si>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</si>
  <si>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</si>
  <si>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</si>
  <si>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</si>
  <si>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</si>
  <si>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</si>
  <si>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</si>
  <si>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</si>
  <si>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</si>
  <si>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</si>
  <si>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</si>
  <si>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</si>
  <si>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</si>
  <si>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</si>
  <si>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</si>
  <si>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</si>
  <si>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</si>
  <si>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</si>
  <si>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</si>
  <si>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</si>
  <si>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</si>
  <si>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</si>
  <si>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</si>
  <si>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</si>
  <si>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</si>
  <si>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</si>
  <si>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</si>
  <si>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</si>
  <si>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</si>
  <si>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</si>
  <si>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</si>
  <si>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</si>
  <si>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</si>
  <si>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</si>
  <si>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</si>
  <si>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</si>
  <si>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</si>
  <si>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</si>
  <si>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</si>
  <si>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</si>
  <si>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</si>
  <si>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</si>
  <si>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</si>
  <si>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</si>
  <si>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</si>
  <si>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</si>
  <si>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</si>
  <si>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</si>
  <si>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</si>
  <si>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</si>
  <si>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</si>
  <si>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</si>
  <si>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</si>
  <si>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</si>
  <si>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</si>
  <si>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</si>
  <si>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</si>
  <si>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</si>
  <si>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</si>
  <si>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</si>
  <si>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</si>
  <si>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</si>
  <si>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</si>
  <si>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</si>
  <si>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</si>
  <si>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</si>
  <si>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</si>
  <si>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</si>
  <si>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</si>
  <si>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</si>
  <si>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</si>
  <si>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</si>
  <si>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</si>
  <si>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</si>
  <si>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</si>
  <si>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</si>
  <si>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</si>
  <si>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</si>
  <si>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</si>
  <si>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</si>
  <si>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</si>
  <si>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</si>
  <si>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</si>
  <si>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</si>
  <si>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</si>
  <si>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</si>
  <si>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</si>
  <si>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</si>
  <si>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</si>
  <si>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</si>
  <si>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</si>
  <si>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</si>
  <si>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</si>
  <si>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</si>
  <si>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</si>
  <si>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</si>
  <si>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</si>
  <si>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</si>
  <si>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</si>
  <si>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</si>
  <si>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</si>
  <si>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</si>
  <si>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</si>
  <si>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</si>
  <si>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</si>
  <si>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</si>
  <si>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</si>
  <si>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</si>
  <si>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</si>
  <si>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</si>
  <si>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</si>
  <si>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</si>
  <si>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</si>
  <si>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</si>
  <si>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</si>
  <si>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</si>
  <si>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</si>
  <si>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</si>
  <si>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</si>
  <si>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</si>
  <si>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</si>
  <si>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</si>
  <si>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</si>
  <si>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</si>
  <si>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</si>
  <si>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</si>
  <si>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</si>
  <si>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</si>
  <si>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</si>
  <si>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</si>
  <si>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</si>
  <si>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</si>
  <si>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</si>
  <si>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N° 11393</t>
  </si>
  <si>
    <t>FELIPE VIDAL</t>
  </si>
  <si>
    <t>5695205 8460</t>
  </si>
  <si>
    <t>CUB CON RESPALDO Y FRENTE 90°</t>
  </si>
  <si>
    <t>WHITE MARBLE 42004 GL</t>
  </si>
  <si>
    <t>CUB MESA FRENTE 90° 2 LADOS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</si>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</sst>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E24" sqref="E24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45758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64701.145194274039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1.45</v>
      </c>
      <c r="E21" s="331">
        <v>0.6</v>
      </c>
      <c r="F21" s="330" t="s">
        <v>171</v>
      </c>
      <c r="G21" s="332">
        <v>60546</v>
      </c>
      <c r="H21" s="332">
        <f>G21*B21</f>
        <v>60546</v>
      </c>
      <c r="I21" s="320"/>
      <c r="J21" s="265"/>
      <c r="K21" s="47"/>
      <c r="L21" s="47">
        <f>B21</f>
        <v>1</v>
      </c>
      <c r="M21" s="39">
        <f>D21+M$19</f>
        <v>1.53</v>
      </c>
      <c r="N21" s="39">
        <f>E21+$N$19</f>
        <v>0.6</v>
      </c>
      <c r="O21" s="261">
        <f t="shared" ref="O21" si="1">M21*N21</f>
        <v>0.91799999999999993</v>
      </c>
      <c r="P21" s="259">
        <f t="shared" ref="P21" si="2">O21*L21</f>
        <v>0.91799999999999993</v>
      </c>
      <c r="Q21" s="252">
        <f t="shared" ref="Q21" si="3">Q$20*O21</f>
        <v>59395.651288343564</v>
      </c>
      <c r="R21" s="319">
        <f t="shared" ref="R21" si="4">Q21+R$20</f>
        <v>62395.651288343564</v>
      </c>
      <c r="S21" s="297">
        <f>M21*L21</f>
        <v>1.53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170</v>
      </c>
      <c r="D22" s="331">
        <v>1.7</v>
      </c>
      <c r="E22" s="331">
        <v>0.6</v>
      </c>
      <c r="F22" s="330" t="s">
        <v>171</v>
      </c>
      <c r="G22" s="332">
        <v>69949</v>
      </c>
      <c r="H22" s="332">
        <f>G22*B22</f>
        <v>69949</v>
      </c>
      <c r="I22" s="320"/>
      <c r="J22" s="265"/>
      <c r="K22" s="47"/>
      <c r="L22" s="47">
        <f>B22</f>
        <v>1</v>
      </c>
      <c r="M22" s="39">
        <f>D22+M$19</f>
        <v>1.78</v>
      </c>
      <c r="N22" s="39">
        <f>E22+$N$19</f>
        <v>0.6</v>
      </c>
      <c r="O22" s="261">
        <f t="shared" ref="O22" si="5">M22*N22</f>
        <v>1.0680000000000001</v>
      </c>
      <c r="P22" s="259">
        <f t="shared" ref="P22" si="6">O22*L22</f>
        <v>1.0680000000000001</v>
      </c>
      <c r="Q22" s="252">
        <f t="shared" ref="Q22" si="7">Q$20*O22</f>
        <v>69100.823067484671</v>
      </c>
      <c r="R22" s="319">
        <f t="shared" ref="R22" si="8">Q22+R$20</f>
        <v>72100.823067484671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172</v>
      </c>
      <c r="D23" s="331">
        <v>1.5</v>
      </c>
      <c r="E23" s="331">
        <v>0.6</v>
      </c>
      <c r="F23" s="330" t="s">
        <v>171</v>
      </c>
      <c r="G23" s="332">
        <v>69360</v>
      </c>
      <c r="H23" s="332">
        <f>G23*B23</f>
        <v>69360</v>
      </c>
      <c r="I23" s="320"/>
      <c r="J23" s="265"/>
      <c r="K23" s="47"/>
      <c r="L23" s="47">
        <f>B23</f>
        <v>1</v>
      </c>
      <c r="M23" s="39">
        <f>D23+M$19</f>
        <v>1.58</v>
      </c>
      <c r="N23" s="39">
        <f>E23+$N$19</f>
        <v>0.6</v>
      </c>
      <c r="O23" s="261">
        <f t="shared" ref="O23" si="9">M23*N23</f>
        <v>0.94799999999999995</v>
      </c>
      <c r="P23" s="259">
        <f t="shared" ref="P23" si="10">O23*L23</f>
        <v>0.94799999999999995</v>
      </c>
      <c r="Q23" s="252">
        <f t="shared" ref="Q23" si="11">Q$20*O23</f>
        <v>61336.685644171783</v>
      </c>
      <c r="R23" s="319">
        <f t="shared" ref="R23" si="12">Q23+R$20</f>
        <v>64336.685644171783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199855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37972.449999999997</v>
      </c>
      <c r="I27" s="322"/>
      <c r="J27" s="265"/>
      <c r="K27" s="47"/>
      <c r="L27" s="47"/>
      <c r="M27" s="39">
        <f>SUM(M21:M22)</f>
        <v>3.31</v>
      </c>
      <c r="N27" s="12"/>
      <c r="O27" s="12"/>
      <c r="P27" s="253">
        <f>SUM(P21:P25)</f>
        <v>2.9340000000000002</v>
      </c>
      <c r="Q27" s="14"/>
      <c r="R27" s="12"/>
      <c r="S27" s="239">
        <f>SUM(S21:S26)</f>
        <v>1.53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237827.45</v>
      </c>
      <c r="I28" s="322"/>
      <c r="J28" s="265"/>
      <c r="K28" s="47"/>
      <c r="L28" s="47"/>
      <c r="M28" s="39"/>
      <c r="N28" s="12"/>
      <c r="O28" s="12"/>
      <c r="P28" s="253">
        <f>P27</f>
        <v>2.9340000000000002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0.5868000000000001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3.5208000000000004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3.5208000000000004</v>
      </c>
      <c r="N32" s="12">
        <v>3500</v>
      </c>
      <c r="O32" s="12">
        <f t="shared" ref="O32:O37" si="13">M32*N32</f>
        <v>12322.800000000001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</v>
      </c>
      <c r="N33" s="12">
        <v>25000</v>
      </c>
      <c r="O33" s="12">
        <f t="shared" si="13"/>
        <v>25000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/>
      <c r="N34" s="250">
        <v>61840</v>
      </c>
      <c r="O34" s="12">
        <f t="shared" si="13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166</v>
      </c>
      <c r="C35"/>
      <c r="D35"/>
      <c r="E35"/>
      <c r="F35"/>
      <c r="J35" s="262"/>
      <c r="K35" s="232"/>
      <c r="L35" s="250"/>
      <c r="M35" s="14">
        <v>2</v>
      </c>
      <c r="N35" s="250">
        <v>22000</v>
      </c>
      <c r="O35" s="12">
        <f t="shared" si="13"/>
        <v>44000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3.31</v>
      </c>
      <c r="N37" s="12">
        <v>1500</v>
      </c>
      <c r="O37" s="12">
        <f t="shared" si="13"/>
        <v>4965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86287.8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189833.16000000003</v>
      </c>
      <c r="P39" s="14" t="s">
        <v>140</v>
      </c>
      <c r="Q39" s="14"/>
      <c r="R39" s="40">
        <f>P30/R38</f>
        <v>0.94930974978429683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31030</v>
      </c>
      <c r="L40" s="250"/>
      <c r="M40" s="14"/>
      <c r="N40" s="12"/>
      <c r="O40" s="12">
        <f>O39/P28</f>
        <v>64701.145194274039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K41" s="230">
        <f>K40/1.19</f>
        <v>26075.63025210084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45758</v>
      </c>
    </row>
    <row r="6" spans="2:31" ht="16.2" thickBot="1" x14ac:dyDescent="0.35">
      <c r="B6" s="140" t="s">
        <v>2</v>
      </c>
      <c r="C6" s="139" t="str">
        <f>'2229'!C10</f>
        <v>FELIPE VIDAL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-14841.021700120771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199855</v>
      </c>
      <c r="E11" s="132">
        <f>D11*0.19</f>
        <v>37972.449999999997</v>
      </c>
      <c r="F11" s="131">
        <f>E11+D11</f>
        <v>237827.45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91148.978299879236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67156.890787439625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73148.978299879236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132698.10921256038</v>
      </c>
      <c r="E13" s="221">
        <f>(D11/D12)-1</f>
        <v>1.9759418230448951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64148.978299879229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25148.978299879229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110808.86979927537</v>
      </c>
      <c r="F15" s="216">
        <f>E15-D12</f>
        <v>43651.979011835749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25148.978299879229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65148.978299879229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12322.800000000001</v>
      </c>
      <c r="E20" s="121">
        <f>D20*0.19</f>
        <v>2341.3320000000003</v>
      </c>
      <c r="F20" s="120">
        <f>SUM(D20:E20)</f>
        <v>14664.132000000001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37322.800000000003</v>
      </c>
      <c r="E21" s="116">
        <f>SUM(E18:E20)</f>
        <v>7091.3320000000003</v>
      </c>
      <c r="F21" s="115">
        <f>SUM(F18:F20)</f>
        <v>44414.131999999998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30881.117999999995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199855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37322.800000000003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132698.10921256038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132698.10921256038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2025-04-22T18:14:20Z</dcterms:modified>
</cp:coreProperties>
</file>