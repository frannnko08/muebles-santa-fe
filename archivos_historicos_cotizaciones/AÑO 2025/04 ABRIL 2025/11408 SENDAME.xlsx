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5C481C7F-881E-4274-8206-1D16A4092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1" l="1"/>
  <c r="R31" i="1"/>
  <c r="R30" i="1"/>
  <c r="S21" i="1"/>
  <c r="R22" i="1"/>
  <c r="R23" i="1"/>
  <c r="R24" i="1"/>
  <c r="R21" i="1"/>
  <c r="O28" i="1"/>
  <c r="K23" i="1"/>
  <c r="K24" i="1"/>
  <c r="K22" i="1"/>
  <c r="K21" i="1"/>
  <c r="M24" i="1" l="1"/>
  <c r="M23" i="1"/>
  <c r="S23" i="1"/>
  <c r="S24" i="1"/>
  <c r="I39" i="1"/>
  <c r="I40" i="1"/>
  <c r="I41" i="1"/>
  <c r="I38" i="1"/>
  <c r="N35" i="1"/>
  <c r="L22" i="1"/>
  <c r="M22" i="1"/>
  <c r="S22" i="1" s="1"/>
  <c r="L23" i="1"/>
  <c r="L24" i="1"/>
  <c r="N24" i="1" l="1"/>
  <c r="I43" i="1"/>
  <c r="O24" i="1"/>
  <c r="N22" i="1"/>
  <c r="O22" i="1" s="1"/>
  <c r="N23" i="1"/>
  <c r="O23" i="1" s="1"/>
  <c r="L21" i="1"/>
  <c r="M21" i="1"/>
  <c r="L27" i="1" l="1"/>
  <c r="N21" i="1"/>
  <c r="U35" i="1"/>
  <c r="U36" i="1" s="1"/>
  <c r="O21" i="1" l="1"/>
  <c r="R29" i="1"/>
  <c r="N34" i="1"/>
  <c r="O29" i="1" l="1"/>
  <c r="O30" i="1" s="1"/>
  <c r="O31" i="1" s="1"/>
  <c r="L33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3" i="1" l="1"/>
  <c r="N40" i="1" s="1"/>
  <c r="N41" i="1" s="1"/>
  <c r="Q41" i="1"/>
  <c r="N42" i="1" l="1"/>
  <c r="P20" i="1" s="1"/>
  <c r="P21" i="1" s="1"/>
  <c r="P42" i="1"/>
  <c r="D20" i="3"/>
  <c r="E20" i="3" s="1"/>
  <c r="E21" i="3" s="1"/>
  <c r="N43" i="1" l="1"/>
  <c r="D21" i="3"/>
  <c r="M43" i="3" s="1"/>
  <c r="D12" i="3" s="1"/>
  <c r="F20" i="3"/>
  <c r="F21" i="3" s="1"/>
  <c r="E15" i="3" l="1"/>
  <c r="P22" i="1" l="1"/>
  <c r="Q22" i="1" s="1"/>
  <c r="P23" i="1"/>
  <c r="Q23" i="1" s="1"/>
  <c r="P24" i="1"/>
  <c r="Q24" i="1" s="1"/>
  <c r="F15" i="3"/>
  <c r="H23" i="1" l="1"/>
  <c r="H22" i="1"/>
  <c r="H24" i="1"/>
  <c r="Q21" i="1"/>
  <c r="H21" i="1" l="1"/>
  <c r="H27" i="1" s="1"/>
  <c r="H28" i="1" l="1"/>
  <c r="H29" i="1" s="1"/>
  <c r="D11" i="3"/>
  <c r="X9" i="3" s="1"/>
  <c r="X15" i="3" s="1"/>
  <c r="X12" i="3" l="1"/>
  <c r="M42" i="3"/>
  <c r="M46" i="3" s="1"/>
  <c r="M49" i="3" s="1"/>
  <c r="D13" i="3"/>
  <c r="X16" i="3"/>
  <c r="E11" i="3"/>
  <c r="D40" i="3" s="1"/>
  <c r="X11" i="3"/>
  <c r="X14" i="3"/>
  <c r="E13" i="3"/>
  <c r="X13" i="3"/>
  <c r="F11" i="3" l="1"/>
</calcChain>
</file>

<file path=xl/sharedStrings.xml><?xml version="1.0" encoding="utf-8"?>
<sst xmlns="http://schemas.openxmlformats.org/spreadsheetml/2006/main" count="242" uniqueCount="181">
  <si>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</si>
  <si>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</si>
  <si>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</si>
  <si>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</si>
  <si>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</si>
  <si>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</si>
  <si>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</si>
  <si>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</si>
  <si>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</si>
  <si>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</si>
  <si>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</si>
  <si>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</si>
  <si>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</si>
  <si>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</si>
  <si>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</si>
  <si>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</si>
  <si>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</si>
  <si>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</si>
  <si>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</si>
  <si>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</si>
  <si>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</si>
  <si>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</si>
  <si>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</si>
  <si>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</si>
  <si>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</si>
  <si>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</si>
  <si>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</si>
  <si>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</si>
  <si>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</si>
  <si>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</si>
  <si>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</si>
  <si>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</si>
  <si>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</si>
  <si>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</si>
  <si>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</si>
  <si>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</si>
  <si>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</si>
  <si>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</si>
  <si>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</si>
  <si>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</si>
  <si>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</si>
  <si>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</si>
  <si>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</si>
  <si>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</si>
  <si>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</si>
  <si>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</si>
  <si>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</si>
  <si>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</si>
  <si>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</si>
  <si>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</si>
  <si>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</si>
  <si>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</si>
  <si>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</si>
  <si>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</si>
  <si>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</si>
  <si>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</si>
  <si>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</si>
  <si>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</si>
  <si>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</si>
  <si>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</si>
  <si>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</si>
  <si>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</si>
  <si>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</si>
  <si>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</si>
  <si>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</si>
  <si>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</si>
  <si>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</si>
  <si>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</si>
  <si>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</si>
  <si>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</si>
  <si>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</si>
  <si>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</si>
  <si>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</si>
  <si>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</si>
  <si>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</si>
  <si>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</si>
  <si>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</si>
  <si>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</si>
  <si>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</si>
  <si>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</si>
  <si>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</si>
  <si>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</si>
  <si>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</si>
  <si>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</si>
  <si>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</si>
  <si>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</si>
  <si>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</si>
  <si>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</si>
  <si>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</si>
  <si>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</si>
  <si>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</si>
  <si>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</si>
  <si>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</si>
  <si>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</si>
  <si>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</si>
  <si>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</si>
  <si>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</si>
  <si>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</si>
  <si>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</si>
  <si>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</si>
  <si>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</si>
  <si>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</si>
  <si>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</si>
  <si>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</si>
  <si>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</si>
  <si>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</si>
  <si>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</si>
  <si>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</si>
  <si>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</si>
  <si>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</si>
  <si>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</si>
  <si>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</si>
  <si>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</si>
  <si>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</si>
  <si>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</si>
  <si>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</si>
  <si>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</si>
  <si>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</si>
  <si>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</si>
  <si>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</si>
  <si>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</si>
  <si>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</si>
  <si>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</si>
  <si>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</si>
  <si>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</si>
  <si>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</si>
  <si>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</si>
  <si>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</si>
  <si>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</si>
  <si>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</si>
  <si>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</si>
  <si>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</si>
  <si>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</si>
  <si>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</si>
  <si>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</si>
  <si>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</si>
  <si>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</si>
  <si>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</si>
  <si>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</si>
  <si>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</si>
  <si>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</si>
  <si>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</si>
  <si>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</si>
  <si>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</si>
  <si>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</si>
  <si>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</si>
  <si>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</si>
  <si>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</si>
  <si>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</si>
  <si>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</si>
  <si>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</si>
  <si>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</si>
  <si>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</si>
  <si>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</si>
  <si>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</si>
  <si>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</si>
  <si>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</si>
  <si>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</si>
  <si>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</si>
  <si>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</si>
  <si>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</si>
  <si>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</si>
  <si>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</si>
  <si>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</si>
  <si>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</si>
  <si>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</si>
  <si>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</si>
  <si>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</si>
  <si>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ENCHAPE RECTO 18mm 2 CARAS</t>
  </si>
  <si>
    <t>Metros Lineales</t>
  </si>
  <si>
    <t xml:space="preserve">Total </t>
  </si>
  <si>
    <t xml:space="preserve">SEND MADE </t>
  </si>
  <si>
    <t>77.161.825-1</t>
  </si>
  <si>
    <t xml:space="preserve">FABRICACIÓN DE PRODUCTOS METALICOS </t>
  </si>
  <si>
    <t>+569 61938532</t>
  </si>
  <si>
    <t xml:space="preserve">CERRO PORTEZUELO 9871 QUILICURA </t>
  </si>
  <si>
    <t>N° 11408</t>
  </si>
  <si>
    <t>5 DIAS HABILES</t>
  </si>
  <si>
    <t>SI</t>
  </si>
  <si>
    <t>NEGRO BRILLO</t>
  </si>
  <si>
    <t>tapacanto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</si>
</sst>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  <numFmt numFmtId="176" formatCode="_ &quot;$&quot;* #,##0.000_ ;_ &quot;$&quot;* \-#,##0.000_ ;_ &quot;$&quot;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72" fontId="22" fillId="0" borderId="0" xfId="4" applyNumberFormat="1" applyFont="1"/>
    <xf numFmtId="172" fontId="22" fillId="0" borderId="0" xfId="0" applyNumberFormat="1" applyFont="1"/>
    <xf numFmtId="176" fontId="0" fillId="0" borderId="0" xfId="8" applyNumberFormat="1" applyFont="1" applyAlignment="1">
      <alignment horizontal="center"/>
    </xf>
    <xf numFmtId="42" fontId="11" fillId="0" borderId="1" xfId="8" applyFont="1" applyFill="1" applyBorder="1" applyAlignment="1">
      <alignment horizontal="center" vertical="center"/>
    </xf>
    <xf numFmtId="0" fontId="36" fillId="0" borderId="0" xfId="3" quotePrefix="1" applyFont="1" applyFill="1" applyBorder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25</xdr:row>
      <xdr:rowOff>222558</xdr:rowOff>
    </xdr:from>
    <xdr:to>
      <xdr:col>5</xdr:col>
      <xdr:colOff>1659644</xdr:colOff>
      <xdr:row>29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1519948</xdr:colOff>
      <xdr:row>6</xdr:row>
      <xdr:rowOff>72390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0.6640625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3" t="s">
        <v>176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7" t="s">
        <v>163</v>
      </c>
      <c r="C10" s="279" t="s">
        <v>171</v>
      </c>
      <c r="D10" s="243"/>
      <c r="E10" s="243"/>
      <c r="F10" s="244" t="s">
        <v>0</v>
      </c>
      <c r="G10" s="277">
        <v>45772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0" t="s">
        <v>172</v>
      </c>
      <c r="F11" t="s">
        <v>124</v>
      </c>
      <c r="G11" s="289" t="s">
        <v>177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 t="s">
        <v>173</v>
      </c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5"/>
      <c r="F14" s="29" t="s">
        <v>137</v>
      </c>
      <c r="G14" s="291" t="s">
        <v>178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32" t="s">
        <v>174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0" t="s">
        <v>175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3" t="s">
        <v>167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8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121161.81614767855</v>
      </c>
      <c r="Q20" s="258">
        <v>2000</v>
      </c>
      <c r="R20" s="38"/>
      <c r="S20" s="14" t="s">
        <v>129</v>
      </c>
      <c r="T20" s="330"/>
      <c r="W20" s="4"/>
    </row>
    <row r="21" spans="2:24" ht="17.399999999999999" x14ac:dyDescent="0.3">
      <c r="B21" s="326">
        <v>1</v>
      </c>
      <c r="C21" s="326" t="s">
        <v>168</v>
      </c>
      <c r="D21" s="327">
        <v>1.22</v>
      </c>
      <c r="E21" s="327">
        <v>0.7</v>
      </c>
      <c r="F21" s="326" t="s">
        <v>179</v>
      </c>
      <c r="G21" s="331">
        <v>110173</v>
      </c>
      <c r="H21" s="331">
        <f t="shared" ref="H21" si="1">G21*B21</f>
        <v>110173</v>
      </c>
      <c r="I21" s="265"/>
      <c r="J21" s="47"/>
      <c r="K21" s="321">
        <f t="shared" ref="K21:K24" si="2">B21</f>
        <v>1</v>
      </c>
      <c r="L21" s="322">
        <f t="shared" ref="L21" si="3">D21+L$19</f>
        <v>1.24</v>
      </c>
      <c r="M21" s="322">
        <f t="shared" ref="M21" si="4">E21+M$19</f>
        <v>0.72</v>
      </c>
      <c r="N21" s="261">
        <f t="shared" ref="N21" si="5">L21*M21</f>
        <v>0.89279999999999993</v>
      </c>
      <c r="O21" s="259">
        <f>N21*K21</f>
        <v>0.89279999999999993</v>
      </c>
      <c r="P21" s="252">
        <f>P$20*N21</f>
        <v>108173.26945664739</v>
      </c>
      <c r="Q21" s="258">
        <f t="shared" ref="Q21" si="6">P21+Q$20</f>
        <v>110173.26945664739</v>
      </c>
      <c r="R21" s="307">
        <f>L21*K21*2</f>
        <v>2.48</v>
      </c>
      <c r="S21" s="46">
        <f>M21*K21*2</f>
        <v>1.44</v>
      </c>
      <c r="T21" s="330"/>
      <c r="W21" s="4"/>
    </row>
    <row r="22" spans="2:24" ht="17.399999999999999" x14ac:dyDescent="0.3">
      <c r="B22" s="326">
        <v>1</v>
      </c>
      <c r="C22" s="326" t="s">
        <v>168</v>
      </c>
      <c r="D22" s="327">
        <v>1.22</v>
      </c>
      <c r="E22" s="327">
        <v>0.8</v>
      </c>
      <c r="F22" s="326" t="s">
        <v>179</v>
      </c>
      <c r="G22" s="331">
        <v>125197</v>
      </c>
      <c r="H22" s="331">
        <f t="shared" ref="H22:H23" si="7">G22*B22</f>
        <v>125197</v>
      </c>
      <c r="I22" s="265"/>
      <c r="J22" s="47"/>
      <c r="K22" s="321">
        <f t="shared" si="2"/>
        <v>1</v>
      </c>
      <c r="L22" s="322">
        <f t="shared" ref="L22:L24" si="8">D22+L$19</f>
        <v>1.24</v>
      </c>
      <c r="M22" s="322">
        <f t="shared" ref="M22" si="9">E22+M$19</f>
        <v>0.82000000000000006</v>
      </c>
      <c r="N22" s="261">
        <f t="shared" ref="N22:N24" si="10">L22*M22</f>
        <v>1.0168000000000001</v>
      </c>
      <c r="O22" s="259">
        <f t="shared" ref="O22:O24" si="11">N22*K22</f>
        <v>1.0168000000000001</v>
      </c>
      <c r="P22" s="252">
        <f t="shared" ref="P22:P24" si="12">P$20*N22</f>
        <v>123197.33465895956</v>
      </c>
      <c r="Q22" s="258">
        <f t="shared" ref="Q22:Q24" si="13">P22+Q$20</f>
        <v>125197.33465895956</v>
      </c>
      <c r="R22" s="307">
        <f t="shared" ref="R22:R24" si="14">L22*K22*2</f>
        <v>2.48</v>
      </c>
      <c r="S22" s="46">
        <f t="shared" ref="S22:S24" si="15">M22*K22*2</f>
        <v>1.6400000000000001</v>
      </c>
      <c r="T22" s="330"/>
      <c r="W22" s="4"/>
    </row>
    <row r="23" spans="2:24" ht="17.399999999999999" x14ac:dyDescent="0.3">
      <c r="B23" s="326">
        <v>1</v>
      </c>
      <c r="C23" s="326" t="s">
        <v>168</v>
      </c>
      <c r="D23" s="327">
        <v>1.22</v>
      </c>
      <c r="E23" s="327">
        <v>0.9</v>
      </c>
      <c r="F23" s="326" t="s">
        <v>179</v>
      </c>
      <c r="G23" s="331">
        <v>140221</v>
      </c>
      <c r="H23" s="331">
        <f t="shared" si="7"/>
        <v>140221</v>
      </c>
      <c r="I23" s="265"/>
      <c r="J23" s="47"/>
      <c r="K23" s="321">
        <f t="shared" si="2"/>
        <v>1</v>
      </c>
      <c r="L23" s="322">
        <f t="shared" si="8"/>
        <v>1.24</v>
      </c>
      <c r="M23" s="322">
        <f>E23+M$19</f>
        <v>0.92</v>
      </c>
      <c r="N23" s="261">
        <f t="shared" si="10"/>
        <v>1.1408</v>
      </c>
      <c r="O23" s="259">
        <f t="shared" si="11"/>
        <v>1.1408</v>
      </c>
      <c r="P23" s="252">
        <f t="shared" si="12"/>
        <v>138221.3998612717</v>
      </c>
      <c r="Q23" s="258">
        <f t="shared" si="13"/>
        <v>140221.3998612717</v>
      </c>
      <c r="R23" s="307">
        <f t="shared" si="14"/>
        <v>2.48</v>
      </c>
      <c r="S23" s="46">
        <f t="shared" si="15"/>
        <v>1.84</v>
      </c>
      <c r="T23" s="330"/>
      <c r="W23" s="4"/>
    </row>
    <row r="24" spans="2:24" ht="17.399999999999999" x14ac:dyDescent="0.3">
      <c r="B24" s="326">
        <v>1</v>
      </c>
      <c r="C24" s="326" t="s">
        <v>168</v>
      </c>
      <c r="D24" s="327">
        <v>1.22</v>
      </c>
      <c r="E24" s="327">
        <v>1</v>
      </c>
      <c r="F24" s="326" t="s">
        <v>179</v>
      </c>
      <c r="G24" s="331">
        <v>152241</v>
      </c>
      <c r="H24" s="331">
        <f t="shared" ref="H24" si="16">G24*B24</f>
        <v>152241</v>
      </c>
      <c r="I24" s="265"/>
      <c r="J24" s="47"/>
      <c r="K24" s="321">
        <f t="shared" si="2"/>
        <v>1</v>
      </c>
      <c r="L24" s="322">
        <f t="shared" si="8"/>
        <v>1.24</v>
      </c>
      <c r="M24" s="322">
        <f>E24</f>
        <v>1</v>
      </c>
      <c r="N24" s="261">
        <f t="shared" si="10"/>
        <v>1.24</v>
      </c>
      <c r="O24" s="259">
        <f t="shared" si="11"/>
        <v>1.24</v>
      </c>
      <c r="P24" s="252">
        <f t="shared" si="12"/>
        <v>150240.65202312139</v>
      </c>
      <c r="Q24" s="258">
        <f t="shared" si="13"/>
        <v>152240.65202312139</v>
      </c>
      <c r="R24" s="307">
        <f t="shared" si="14"/>
        <v>2.48</v>
      </c>
      <c r="S24" s="46">
        <f t="shared" si="15"/>
        <v>2</v>
      </c>
      <c r="T24" s="330"/>
      <c r="W24" s="4"/>
    </row>
    <row r="25" spans="2:24" ht="17.399999999999999" x14ac:dyDescent="0.3">
      <c r="B25" s="324"/>
      <c r="C25" s="325"/>
      <c r="D25" s="324"/>
      <c r="E25" s="324"/>
      <c r="F25" s="324"/>
      <c r="G25" s="324"/>
      <c r="H25" s="324"/>
      <c r="I25" s="265"/>
      <c r="J25" s="47"/>
      <c r="K25" s="321"/>
      <c r="L25" s="322"/>
      <c r="M25" s="322"/>
      <c r="N25" s="261"/>
      <c r="O25" s="259"/>
      <c r="P25" s="252"/>
      <c r="Q25" s="258"/>
      <c r="R25" s="307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8" t="s">
        <v>29</v>
      </c>
      <c r="H27" s="309">
        <f>SUM(H21:H26)</f>
        <v>527832</v>
      </c>
      <c r="I27" s="265"/>
      <c r="J27" s="47"/>
      <c r="K27" s="47"/>
      <c r="L27" s="39">
        <f>SUM(L21:L26)</f>
        <v>4.96</v>
      </c>
      <c r="M27" s="39"/>
      <c r="N27" s="261"/>
      <c r="O27" s="259"/>
      <c r="P27" s="252"/>
      <c r="Q27" s="258"/>
      <c r="R27" s="307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6" t="s">
        <v>52</v>
      </c>
      <c r="H28" s="303">
        <f>H27*19%</f>
        <v>100288.08</v>
      </c>
      <c r="I28" s="265"/>
      <c r="J28" s="47"/>
      <c r="K28" s="47"/>
      <c r="L28" s="39"/>
      <c r="M28" s="12"/>
      <c r="N28" s="12"/>
      <c r="O28" s="253">
        <f>SUM(O21:O24)</f>
        <v>4.2904</v>
      </c>
      <c r="P28" s="14"/>
      <c r="Q28" s="12"/>
      <c r="R28" s="239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4">
        <f>H27+H28</f>
        <v>628120.07999999996</v>
      </c>
      <c r="I29" s="265"/>
      <c r="J29" s="47"/>
      <c r="K29" s="47"/>
      <c r="L29" s="39"/>
      <c r="M29" s="12"/>
      <c r="N29" s="12"/>
      <c r="O29" s="253">
        <f>O28</f>
        <v>4.2904</v>
      </c>
      <c r="P29" s="14"/>
      <c r="Q29" s="12"/>
      <c r="R29" s="239">
        <f>SUM(R21:R28)</f>
        <v>9.92</v>
      </c>
      <c r="S29" s="14">
        <v>26560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0.85808000000000006</v>
      </c>
      <c r="P30" s="39" t="s">
        <v>131</v>
      </c>
      <c r="Q30" s="42"/>
      <c r="R30" s="240">
        <f>R29+S29</f>
        <v>26569.919999999998</v>
      </c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5.1484800000000002</v>
      </c>
      <c r="P31" s="14"/>
      <c r="Q31" s="14"/>
      <c r="R31" s="238">
        <f>R30*20%</f>
        <v>5313.9840000000004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40">
        <f>R30+R31</f>
        <v>31883.903999999999</v>
      </c>
      <c r="S32" s="14"/>
      <c r="T32" s="314" t="s">
        <v>22</v>
      </c>
      <c r="U32" s="311" t="s">
        <v>153</v>
      </c>
      <c r="V32" s="315">
        <v>44971</v>
      </c>
      <c r="W32" s="316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O31*2</f>
        <v>10.29696</v>
      </c>
      <c r="M33" s="12">
        <v>3500</v>
      </c>
      <c r="N33" s="12">
        <f t="shared" ref="N33:N34" si="17">L33*M33</f>
        <v>36039.360000000001</v>
      </c>
      <c r="O33" s="14" t="s">
        <v>22</v>
      </c>
      <c r="P33" s="14"/>
      <c r="Q33" s="14"/>
      <c r="R33" s="241"/>
      <c r="S33" s="14"/>
      <c r="T33" s="314" t="s">
        <v>154</v>
      </c>
      <c r="U33" s="311">
        <v>3625</v>
      </c>
      <c r="V33" s="59" t="s">
        <v>155</v>
      </c>
      <c r="W33" s="316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1.5</v>
      </c>
      <c r="M34" s="12">
        <v>45000</v>
      </c>
      <c r="N34" s="12">
        <f t="shared" si="17"/>
        <v>67500</v>
      </c>
      <c r="O34" s="39" t="s">
        <v>32</v>
      </c>
      <c r="P34" s="42"/>
      <c r="Q34" s="14"/>
      <c r="R34" s="240"/>
      <c r="S34" s="14"/>
      <c r="T34" s="314"/>
      <c r="U34" s="59">
        <v>906.25</v>
      </c>
      <c r="V34" s="59" t="s">
        <v>156</v>
      </c>
      <c r="W34" s="316"/>
    </row>
    <row r="35" spans="2:23" s="230" customFormat="1" ht="17.399999999999999" x14ac:dyDescent="0.35">
      <c r="I35" s="262"/>
      <c r="J35" s="232"/>
      <c r="K35" s="250"/>
      <c r="L35" s="14">
        <v>40</v>
      </c>
      <c r="M35" s="14">
        <v>1800</v>
      </c>
      <c r="N35" s="14">
        <f>L35*M35</f>
        <v>72000</v>
      </c>
      <c r="O35" s="14" t="s">
        <v>180</v>
      </c>
      <c r="R35" s="240"/>
      <c r="S35" s="256"/>
      <c r="T35" s="59"/>
      <c r="U35" s="59">
        <f>U34*20%</f>
        <v>181.25</v>
      </c>
      <c r="V35" s="316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/>
      <c r="M36" s="250">
        <v>62100</v>
      </c>
      <c r="N36" s="12">
        <f>L36*M36</f>
        <v>0</v>
      </c>
      <c r="O36" s="39" t="s">
        <v>31</v>
      </c>
      <c r="P36" s="42"/>
      <c r="R36" s="238"/>
      <c r="S36" s="256"/>
      <c r="T36" s="59"/>
      <c r="U36" s="59">
        <f>U34+U35</f>
        <v>1087.5</v>
      </c>
      <c r="V36" s="316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 t="s">
        <v>169</v>
      </c>
      <c r="K37" s="250"/>
      <c r="L37" s="14">
        <v>3</v>
      </c>
      <c r="M37" s="250">
        <v>24000</v>
      </c>
      <c r="N37" s="12">
        <f>L37*M37</f>
        <v>72000</v>
      </c>
      <c r="O37" s="14" t="s">
        <v>142</v>
      </c>
      <c r="P37" s="17"/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328">
        <f>((D21*2)+(E21*2))*B21</f>
        <v>3.84</v>
      </c>
      <c r="K38" s="250"/>
      <c r="L38" s="249"/>
      <c r="M38" s="250">
        <v>300</v>
      </c>
      <c r="N38" s="12">
        <f>L38*M38</f>
        <v>0</v>
      </c>
      <c r="O38" s="14" t="s">
        <v>33</v>
      </c>
      <c r="P38" s="14"/>
      <c r="Q38" s="230">
        <v>1.52</v>
      </c>
      <c r="R38"/>
      <c r="S38" s="238"/>
      <c r="W38" s="231"/>
    </row>
    <row r="39" spans="2:23" s="230" customFormat="1" ht="17.399999999999999" x14ac:dyDescent="0.35">
      <c r="I39" s="328">
        <f t="shared" ref="I39:I41" si="18">((D22*2)+(E22*2))*B22</f>
        <v>4.04</v>
      </c>
      <c r="K39" s="250"/>
      <c r="L39" s="266"/>
      <c r="M39" s="12">
        <v>1500</v>
      </c>
      <c r="N39" s="12">
        <f>L39*M39</f>
        <v>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I40" s="328">
        <f t="shared" si="18"/>
        <v>4.24</v>
      </c>
      <c r="K40" s="250"/>
      <c r="L40" s="14"/>
      <c r="M40" s="12"/>
      <c r="N40" s="12">
        <f>SUM(N33:N39)</f>
        <v>247539.36</v>
      </c>
      <c r="O40" s="39" t="s">
        <v>24</v>
      </c>
      <c r="P40" s="14"/>
      <c r="Q40">
        <f>Q38*Q39</f>
        <v>3.7088000000000001</v>
      </c>
      <c r="R40"/>
      <c r="S40" s="257"/>
    </row>
    <row r="41" spans="2:23" s="230" customFormat="1" ht="17.399999999999999" x14ac:dyDescent="0.35">
      <c r="G41"/>
      <c r="H41" s="260"/>
      <c r="I41" s="328">
        <f t="shared" si="18"/>
        <v>4.4399999999999995</v>
      </c>
      <c r="K41" s="250"/>
      <c r="L41" s="254" t="s">
        <v>34</v>
      </c>
      <c r="M41" s="12"/>
      <c r="N41" s="255">
        <f>N40*2.1</f>
        <v>519832.65600000002</v>
      </c>
      <c r="O41" s="14" t="s">
        <v>141</v>
      </c>
      <c r="P41" s="14"/>
      <c r="Q41" s="40">
        <f>O31/Q40</f>
        <v>1.3881794650560828</v>
      </c>
      <c r="R41"/>
      <c r="S41" s="238"/>
      <c r="T41" s="59" t="s">
        <v>159</v>
      </c>
      <c r="U41" s="311">
        <v>43650</v>
      </c>
    </row>
    <row r="42" spans="2:23" s="230" customFormat="1" ht="17.399999999999999" x14ac:dyDescent="0.35">
      <c r="G42"/>
      <c r="I42" s="230" t="s">
        <v>170</v>
      </c>
      <c r="K42" s="250"/>
      <c r="L42" s="14"/>
      <c r="M42" s="12"/>
      <c r="N42" s="12">
        <f>N41/O29</f>
        <v>121161.81614767855</v>
      </c>
      <c r="O42" s="45" t="s">
        <v>25</v>
      </c>
      <c r="P42" s="46">
        <f>N41/S29</f>
        <v>19.57201265060241</v>
      </c>
      <c r="Q42" s="14"/>
      <c r="R42"/>
      <c r="S42" s="238"/>
      <c r="T42" s="59" t="s">
        <v>161</v>
      </c>
      <c r="U42" s="312" t="s">
        <v>160</v>
      </c>
      <c r="V42" s="59">
        <v>2.4</v>
      </c>
    </row>
    <row r="43" spans="2:23" s="230" customFormat="1" ht="17.399999999999999" x14ac:dyDescent="0.35">
      <c r="G43" s="23"/>
      <c r="I43" s="329">
        <f>SUM(I38:I42)</f>
        <v>16.560000000000002</v>
      </c>
      <c r="K43" s="12"/>
      <c r="L43" s="13"/>
      <c r="M43" s="14"/>
      <c r="N43" s="17">
        <f>N41/N40</f>
        <v>2.1</v>
      </c>
      <c r="O43" s="15"/>
      <c r="P43"/>
      <c r="Q43"/>
      <c r="S43" s="238"/>
      <c r="T43" s="59" t="s">
        <v>162</v>
      </c>
      <c r="U43" s="313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45772</v>
      </c>
    </row>
    <row r="6" spans="2:31" ht="16.2" thickBot="1" x14ac:dyDescent="0.35">
      <c r="B6" s="140" t="s">
        <v>2</v>
      </c>
      <c r="C6" s="139" t="str">
        <f>'2229'!C10</f>
        <v xml:space="preserve">SEND MADE 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11408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-51294.30103345411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527832</v>
      </c>
      <c r="E11" s="132">
        <f>D11*0.19</f>
        <v>100288.08</v>
      </c>
      <c r="F11" s="131">
        <f>E11+D11</f>
        <v>628120.07999999996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54695.69896654589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133373.45078743962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36695.69896654589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394458.54921256041</v>
      </c>
      <c r="E13" s="221">
        <f>(D11/D12)-1</f>
        <v>2.9575492489972248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27695.69896654589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-11304.30103345411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220066.19379927535</v>
      </c>
      <c r="F15" s="216">
        <f>E15-D12</f>
        <v>86692.74301183573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-11304.30103345411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28695.69896654589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67500</v>
      </c>
      <c r="E19" s="123">
        <f>D19*0.19</f>
        <v>12825</v>
      </c>
      <c r="F19" s="120">
        <f>SUM(D19:E19)</f>
        <v>80325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36039.360000000001</v>
      </c>
      <c r="E20" s="121">
        <f>D20*0.19</f>
        <v>6847.4784</v>
      </c>
      <c r="F20" s="120">
        <f>SUM(D20:E20)</f>
        <v>42886.838400000001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103539.36</v>
      </c>
      <c r="E21" s="116">
        <f>SUM(E18:E20)</f>
        <v>19672.4784</v>
      </c>
      <c r="F21" s="115">
        <f>SUM(F18:F20)</f>
        <v>123211.83840000001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80615.601599999995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527832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103539.36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394458.54921256041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394458.54921256041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2025-04-25T14:09:08Z</dcterms:modified>
</cp:coreProperties>
</file>