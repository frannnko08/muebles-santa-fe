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C481C1DE-C725-40B0-84C6-4AE432F0E3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<sst xmlns="http://schemas.openxmlformats.org/spreadsheetml/2006/main" count="231" uniqueCount="175">
  <si>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</si>
  <si>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</si>
  <si>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</si>
  <si>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</si>
  <si>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</si>
  <si>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</si>
  <si>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</si>
  <si>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</si>
  <si>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</si>
  <si>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</si>
  <si>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</si>
  <si>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</si>
  <si>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</si>
  <si>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</si>
  <si>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</si>
  <si>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</si>
  <si>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</si>
  <si>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</si>
  <si>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</si>
  <si>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</si>
  <si>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</si>
  <si>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</si>
  <si>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</si>
  <si>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</si>
  <si>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</si>
  <si>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</si>
  <si>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</si>
  <si>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</si>
  <si>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</si>
  <si>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</si>
  <si>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</si>
  <si>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</si>
  <si>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</si>
  <si>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</si>
  <si>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</si>
  <si>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</si>
  <si>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</si>
  <si>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</si>
  <si>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</si>
  <si>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</si>
  <si>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</si>
  <si>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</si>
  <si>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</si>
  <si>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</si>
  <si>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</si>
  <si>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</si>
  <si>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</si>
  <si>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</si>
  <si>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</si>
  <si>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</si>
  <si>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</si>
  <si>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</si>
  <si>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</si>
  <si>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</si>
  <si>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</si>
  <si>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</si>
  <si>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</si>
  <si>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</si>
  <si>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</si>
  <si>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</si>
  <si>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</si>
  <si>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</si>
  <si>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</si>
  <si>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</si>
  <si>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</si>
  <si>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</si>
  <si>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</si>
  <si>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</si>
  <si>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</si>
  <si>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</si>
  <si>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</si>
  <si>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</si>
  <si>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</si>
  <si>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</si>
  <si>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</si>
  <si>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</si>
  <si>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</si>
  <si>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</si>
  <si>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</si>
  <si>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</si>
  <si>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</si>
  <si>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</si>
  <si>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</si>
  <si>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</si>
  <si>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</si>
  <si>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</si>
  <si>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</si>
  <si>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</si>
  <si>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</si>
  <si>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</si>
  <si>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</si>
  <si>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</si>
  <si>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</si>
  <si>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</si>
  <si>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</si>
  <si>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</si>
  <si>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</si>
  <si>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</si>
  <si>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</si>
  <si>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</si>
  <si>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</si>
  <si>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</si>
  <si>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</si>
  <si>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</si>
  <si>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</si>
  <si>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</si>
  <si>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</si>
  <si>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</si>
  <si>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</si>
  <si>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</si>
  <si>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</si>
  <si>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</si>
  <si>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</si>
  <si>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</si>
  <si>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</si>
  <si>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</si>
  <si>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</si>
  <si>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</si>
  <si>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</si>
  <si>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</si>
  <si>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</si>
  <si>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</si>
  <si>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</si>
  <si>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</si>
  <si>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</si>
  <si>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</si>
  <si>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</si>
  <si>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</si>
  <si>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</si>
  <si>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</si>
  <si>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</si>
  <si>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</si>
  <si>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</si>
  <si>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</si>
  <si>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</si>
  <si>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</si>
  <si>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</si>
  <si>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</si>
  <si>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</si>
  <si>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</si>
  <si>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</si>
  <si>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</si>
  <si>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</si>
  <si>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</si>
  <si>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</si>
  <si>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</si>
  <si>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</si>
  <si>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</si>
  <si>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</si>
  <si>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</si>
  <si>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</si>
  <si>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</si>
  <si>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</si>
  <si>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</si>
  <si>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</si>
  <si>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</si>
  <si>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</si>
  <si>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</si>
  <si>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</si>
  <si>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</si>
  <si>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</si>
  <si>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</si>
  <si>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</si>
  <si>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</si>
  <si>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</si>
  <si>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</si>
  <si>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</si>
  <si>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</si>
  <si>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COTAR OBRAS PUBLICAS</t>
  </si>
  <si>
    <t>77.775.349-5</t>
  </si>
  <si>
    <t>CECILIA FIGUEROA</t>
  </si>
  <si>
    <t>56941384436</t>
  </si>
  <si>
    <t>ENCHAPE RECTO 1 CARA MDF 9MM</t>
  </si>
  <si>
    <t>ALPI CLARO 1799 MT</t>
  </si>
  <si>
    <t>N° 11390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</si>
</sst>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9mm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2" zoomScale="93" zoomScaleNormal="93" workbookViewId="0">
      <selection activeCell="G16" sqref="G16"/>
    </sheetView>
  </sheetViews>
  <sheetFormatPr baseColWidth="10" defaultRowHeight="14.4" x14ac:dyDescent="0.3"/>
  <cols>
    <col min="1" max="1" width="6" customWidth="1"/>
    <col min="2" max="2" width="10.5546875" customWidth="1"/>
    <col min="3" max="3" width="33.88671875" customWidth="1"/>
    <col min="4" max="4" width="11.109375" customWidth="1"/>
    <col min="5" max="5" width="10.5546875" customWidth="1"/>
    <col min="6" max="6" width="30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45757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169</v>
      </c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170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46996.147540983613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11</v>
      </c>
      <c r="C21" s="330" t="s">
        <v>172</v>
      </c>
      <c r="D21" s="331">
        <v>2.4</v>
      </c>
      <c r="E21" s="331">
        <v>1.22</v>
      </c>
      <c r="F21" s="330" t="s">
        <v>173</v>
      </c>
      <c r="G21" s="332">
        <v>142192</v>
      </c>
      <c r="H21" s="332">
        <f>G21*B21</f>
        <v>1564112</v>
      </c>
      <c r="I21" s="320"/>
      <c r="J21" s="265"/>
      <c r="K21" s="47"/>
      <c r="L21" s="47">
        <f>B21</f>
        <v>11</v>
      </c>
      <c r="M21" s="39">
        <f>D21+M$19</f>
        <v>2.48</v>
      </c>
      <c r="N21" s="39">
        <f>E21+$N$19</f>
        <v>1.22</v>
      </c>
      <c r="O21" s="261">
        <f t="shared" ref="O21" si="1">M21*N21</f>
        <v>3.0255999999999998</v>
      </c>
      <c r="P21" s="259">
        <f t="shared" ref="P21" si="2">O21*L21</f>
        <v>33.281599999999997</v>
      </c>
      <c r="Q21" s="252">
        <f t="shared" ref="Q21" si="3">Q$20*O21</f>
        <v>142191.54400000002</v>
      </c>
      <c r="R21" s="319">
        <f t="shared" ref="R21" si="4">Q21+R$20</f>
        <v>145191.54400000002</v>
      </c>
      <c r="S21" s="297">
        <f>M21*L21</f>
        <v>27.28</v>
      </c>
      <c r="T21" s="46">
        <f>N21*2*L21*2</f>
        <v>53.68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1564112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53.68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297181.28000000003</v>
      </c>
      <c r="I25" s="322"/>
      <c r="J25" s="265"/>
      <c r="K25" s="47"/>
      <c r="L25" s="47"/>
      <c r="M25" s="39">
        <f>SUM(M21:M21)</f>
        <v>2.48</v>
      </c>
      <c r="N25" s="12"/>
      <c r="O25" s="12"/>
      <c r="P25" s="253">
        <f>SUM(P21:P23)</f>
        <v>33.281599999999997</v>
      </c>
      <c r="Q25" s="14"/>
      <c r="R25" s="12"/>
      <c r="S25" s="239">
        <f>SUM(S21:S24)</f>
        <v>27.28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1861293.28</v>
      </c>
      <c r="I26" s="322"/>
      <c r="J26" s="265"/>
      <c r="K26" s="47"/>
      <c r="L26" s="47"/>
      <c r="M26" s="39"/>
      <c r="N26" s="12"/>
      <c r="O26" s="12"/>
      <c r="P26" s="253">
        <f>P25</f>
        <v>33.281599999999997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6.65632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39.937919999999998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39.937919999999998</v>
      </c>
      <c r="N30" s="12">
        <v>3500</v>
      </c>
      <c r="O30" s="12">
        <f t="shared" ref="O30:O35" si="5">M30*N30</f>
        <v>139782.72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11</v>
      </c>
      <c r="N31" s="12">
        <v>14720</v>
      </c>
      <c r="O31" s="12">
        <f t="shared" si="5"/>
        <v>161920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166</v>
      </c>
      <c r="C33"/>
      <c r="D33"/>
      <c r="E33"/>
      <c r="F33"/>
      <c r="J33" s="262"/>
      <c r="K33" s="232"/>
      <c r="L33" s="250"/>
      <c r="M33" s="14">
        <v>11</v>
      </c>
      <c r="N33" s="250">
        <v>37205</v>
      </c>
      <c r="O33" s="12">
        <f t="shared" si="5"/>
        <v>409255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710957.72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1564106.9840000002</v>
      </c>
      <c r="P37" s="14" t="s">
        <v>140</v>
      </c>
      <c r="Q37" s="14"/>
      <c r="R37" s="40">
        <f>P28/R36</f>
        <v>10.768421052631577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17512</v>
      </c>
      <c r="L38" s="250"/>
      <c r="M38" s="14"/>
      <c r="N38" s="12"/>
      <c r="O38" s="12">
        <f>O37/P26</f>
        <v>46996.147540983613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K39" s="230">
        <f>K38/1.19</f>
        <v>14715.966386554623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45757</v>
      </c>
    </row>
    <row r="6" spans="2:31" ht="16.2" thickBot="1" x14ac:dyDescent="0.35">
      <c r="B6" s="140" t="s">
        <v>2</v>
      </c>
      <c r="C6" s="139" t="str">
        <f>'2229'!C10</f>
        <v>COTAR OBRAS PUBLICAS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11390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-169512.71036678745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1564112</v>
      </c>
      <c r="E11" s="132">
        <f>D11*0.19</f>
        <v>297181.28000000003</v>
      </c>
      <c r="F11" s="131">
        <f>E11+D11</f>
        <v>1861293.28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-63522.710366787447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331536.81078743958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-81522.710366787447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1232575.1892125604</v>
      </c>
      <c r="E13" s="221">
        <f>(D11/D12)-1</f>
        <v>3.7177627011765209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-90522.710366787447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-129522.71036678745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547035.73779927532</v>
      </c>
      <c r="F15" s="216">
        <f>E15-D12</f>
        <v>215498.92701183574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-129522.71036678745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-89522.710366787447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161920</v>
      </c>
      <c r="E19" s="123">
        <f>D19*0.19</f>
        <v>30764.799999999999</v>
      </c>
      <c r="F19" s="120">
        <f>SUM(D19:E19)</f>
        <v>192684.79999999999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139782.72</v>
      </c>
      <c r="E20" s="121">
        <f>D20*0.19</f>
        <v>26558.716800000002</v>
      </c>
      <c r="F20" s="120">
        <f>SUM(D20:E20)</f>
        <v>166341.4368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301702.71999999997</v>
      </c>
      <c r="E21" s="116">
        <f>SUM(E18:E20)</f>
        <v>57323.516799999998</v>
      </c>
      <c r="F21" s="115">
        <f>SUM(F18:F20)</f>
        <v>359026.23679999996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239857.76320000004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1564112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301702.71999999997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1232575.1892125604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1232575.1892125604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2025-04-10T18:10:01Z</dcterms:modified>
</cp:coreProperties>
</file>