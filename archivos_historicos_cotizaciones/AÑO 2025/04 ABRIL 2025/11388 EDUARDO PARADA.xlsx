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4 ABRIL 2025\"/>
    </mc:Choice>
  </mc:AlternateContent>
  <xr:revisionPtr revIDLastSave="0" documentId="13_ncr:1_{423395A8-B199-40F2-88E2-0B0479CEEB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N22" i="1"/>
  <c r="H22" i="1"/>
  <c r="L21" i="1"/>
  <c r="N21" i="1"/>
  <c r="O22" i="1" l="1"/>
  <c r="P22" i="1" s="1"/>
  <c r="M21" i="1"/>
  <c r="M25" i="1" s="1"/>
  <c r="S21" i="1" l="1"/>
  <c r="S25" i="1" s="1"/>
  <c r="T21" i="1"/>
  <c r="T24" i="1" s="1"/>
  <c r="O21" i="1"/>
  <c r="P21" i="1" s="1"/>
  <c r="P25" i="1" s="1"/>
  <c r="K39" i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O38" i="1" l="1"/>
  <c r="D20" i="3"/>
  <c r="E20" i="3" s="1"/>
  <c r="E21" i="3" s="1"/>
  <c r="Q20" i="1" l="1"/>
  <c r="Q22" i="1" s="1"/>
  <c r="R22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l="1"/>
  <c r="D11" i="3" l="1"/>
  <c r="X9" i="3" s="1"/>
  <c r="X15" i="3" s="1"/>
  <c r="H26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<sst xmlns="http://schemas.openxmlformats.org/spreadsheetml/2006/main" count="231" uniqueCount="173">
  <si>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</si>
  <si>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</si>
  <si>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</si>
  <si>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</si>
  <si>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</si>
  <si>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</si>
  <si>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</si>
  <si>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</si>
  <si>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</si>
  <si>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</si>
  <si>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</si>
  <si>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</si>
  <si>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</si>
  <si>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</si>
  <si>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</si>
  <si>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</si>
  <si>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</si>
  <si>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</si>
  <si>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</si>
  <si>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</si>
  <si>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</si>
  <si>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</si>
  <si>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</si>
  <si>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</si>
  <si>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</si>
  <si>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</si>
  <si>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</si>
  <si>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</si>
  <si>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</si>
  <si>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</si>
  <si>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</si>
  <si>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</si>
  <si>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</si>
  <si>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</si>
  <si>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</si>
  <si>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</si>
  <si>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</si>
  <si>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</si>
  <si>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</si>
  <si>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</si>
  <si>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</si>
  <si>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</si>
  <si>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</si>
  <si>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</si>
  <si>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</si>
  <si>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</si>
  <si>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</si>
  <si>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</si>
  <si>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</si>
  <si>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</si>
  <si>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</si>
  <si>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</si>
  <si>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</si>
  <si>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</si>
  <si>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</si>
  <si>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</si>
  <si>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</si>
  <si>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</si>
  <si>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</si>
  <si>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</si>
  <si>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</si>
  <si>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</si>
  <si>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</si>
  <si>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</si>
  <si>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</si>
  <si>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</si>
  <si>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</si>
  <si>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</si>
  <si>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</si>
  <si>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</si>
  <si>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</si>
  <si>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</si>
  <si>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</si>
  <si>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</si>
  <si>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</si>
  <si>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</si>
  <si>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</si>
  <si>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</si>
  <si>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</si>
  <si>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</si>
  <si>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</si>
  <si>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</si>
  <si>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</si>
  <si>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</si>
  <si>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</si>
  <si>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</si>
  <si>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</si>
  <si>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</si>
  <si>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</si>
  <si>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</si>
  <si>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</si>
  <si>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</si>
  <si>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</si>
  <si>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</si>
  <si>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</si>
  <si>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</si>
  <si>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</si>
  <si>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</si>
  <si>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</si>
  <si>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</si>
  <si>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</si>
  <si>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</si>
  <si>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</si>
  <si>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</si>
  <si>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</si>
  <si>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</si>
  <si>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</si>
  <si>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</si>
  <si>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</si>
  <si>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</si>
  <si>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</si>
  <si>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</si>
  <si>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</si>
  <si>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</si>
  <si>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</si>
  <si>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</si>
  <si>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</si>
  <si>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</si>
  <si>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</si>
  <si>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</si>
  <si>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</si>
  <si>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</si>
  <si>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</si>
  <si>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</si>
  <si>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</si>
  <si>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</si>
  <si>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</si>
  <si>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</si>
  <si>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</si>
  <si>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</si>
  <si>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</si>
  <si>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</si>
  <si>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</si>
  <si>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</si>
  <si>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</si>
  <si>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</si>
  <si>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</si>
  <si>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</si>
  <si>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</si>
  <si>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</si>
  <si>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</si>
  <si>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</si>
  <si>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</si>
  <si>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</si>
  <si>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</si>
  <si>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</si>
  <si>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</si>
  <si>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</si>
  <si>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</si>
  <si>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</si>
  <si>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</si>
  <si>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</si>
  <si>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</si>
  <si>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</si>
  <si>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</si>
  <si>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</si>
  <si>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</si>
  <si>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</si>
  <si>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</si>
  <si>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</si>
  <si>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</si>
  <si>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</si>
  <si>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</si>
  <si>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</si>
  <si>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</si>
  <si>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7 DIAS HABILES</t>
  </si>
  <si>
    <t>SANTIAGO</t>
  </si>
  <si>
    <t>RUT : 77.054.606-0 CORREO: FRANCODONOSO@TOPMOBILI.CL</t>
  </si>
  <si>
    <t>EDUARDO PARADA</t>
  </si>
  <si>
    <t>56979368390</t>
  </si>
  <si>
    <t>CUB C/R FRENTE 90°</t>
  </si>
  <si>
    <t>N° 11388</t>
  </si>
  <si>
    <t>CLASSIC 3111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</si>
</sst>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 CUBIERTAS</a:t>
          </a:r>
          <a:r>
            <a:rPr lang="es-CL" sz="1200" b="1" baseline="0"/>
            <a:t>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4" zoomScale="93" zoomScaleNormal="93" workbookViewId="0">
      <selection activeCell="A23" sqref="A23"/>
    </sheetView>
  </sheetViews>
  <sheetFormatPr baseColWidth="10" defaultRowHeight="14.4" x14ac:dyDescent="0.3"/>
  <cols>
    <col min="1" max="1" width="6" customWidth="1"/>
    <col min="2" max="2" width="10.5546875" customWidth="1"/>
    <col min="3" max="3" width="30" customWidth="1"/>
    <col min="4" max="4" width="11.109375" customWidth="1"/>
    <col min="5" max="5" width="10.5546875" customWidth="1"/>
    <col min="6" max="6" width="27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168</v>
      </c>
      <c r="D10" s="243"/>
      <c r="E10" s="243"/>
      <c r="F10" s="244" t="s">
        <v>0</v>
      </c>
      <c r="G10" s="276">
        <v>45756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165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169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3" t="s">
        <v>164</v>
      </c>
      <c r="G17" s="333"/>
      <c r="H17" s="334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88169.292929292933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170</v>
      </c>
      <c r="D21" s="331">
        <v>2</v>
      </c>
      <c r="E21" s="331">
        <v>0.55000000000000004</v>
      </c>
      <c r="F21" s="330" t="s">
        <v>172</v>
      </c>
      <c r="G21" s="332">
        <v>103866</v>
      </c>
      <c r="H21" s="332">
        <f>G21*B21</f>
        <v>103866</v>
      </c>
      <c r="I21" s="320"/>
      <c r="J21" s="265"/>
      <c r="K21" s="47"/>
      <c r="L21" s="47">
        <f>B21</f>
        <v>1</v>
      </c>
      <c r="M21" s="39">
        <f>D21+M$19</f>
        <v>2.08</v>
      </c>
      <c r="N21" s="39">
        <f>E21+$N$19</f>
        <v>0.55000000000000004</v>
      </c>
      <c r="O21" s="261">
        <f t="shared" ref="O21" si="1">M21*N21</f>
        <v>1.1440000000000001</v>
      </c>
      <c r="P21" s="259">
        <f t="shared" ref="P21" si="2">O21*L21</f>
        <v>1.1440000000000001</v>
      </c>
      <c r="Q21" s="252">
        <f t="shared" ref="Q21" si="3">Q$20*O21</f>
        <v>100865.67111111112</v>
      </c>
      <c r="R21" s="319">
        <f t="shared" ref="R21" si="4">Q21+R$20</f>
        <v>103865.67111111112</v>
      </c>
      <c r="S21" s="297">
        <f>M21*L21</f>
        <v>2.08</v>
      </c>
      <c r="T21" s="46">
        <f>N21*2*L21*2</f>
        <v>2.2000000000000002</v>
      </c>
      <c r="U21" s="9"/>
      <c r="X21" s="4"/>
    </row>
    <row r="22" spans="1:25" ht="17.399999999999999" x14ac:dyDescent="0.3">
      <c r="B22" s="330">
        <v>1</v>
      </c>
      <c r="C22" s="330" t="s">
        <v>170</v>
      </c>
      <c r="D22" s="331">
        <v>1.8</v>
      </c>
      <c r="E22" s="331">
        <v>0.55000000000000004</v>
      </c>
      <c r="F22" s="330" t="s">
        <v>172</v>
      </c>
      <c r="G22" s="332">
        <v>94167</v>
      </c>
      <c r="H22" s="332">
        <f>G22*B22</f>
        <v>94167</v>
      </c>
      <c r="I22" s="320"/>
      <c r="J22" s="265"/>
      <c r="K22" s="47"/>
      <c r="L22" s="47">
        <f>B22</f>
        <v>1</v>
      </c>
      <c r="M22" s="39">
        <f>D22+M$19</f>
        <v>1.8800000000000001</v>
      </c>
      <c r="N22" s="39">
        <f>E22+$N$19</f>
        <v>0.55000000000000004</v>
      </c>
      <c r="O22" s="261">
        <f t="shared" ref="O22" si="5">M22*N22</f>
        <v>1.0340000000000003</v>
      </c>
      <c r="P22" s="259">
        <f t="shared" ref="P22" si="6">O22*L22</f>
        <v>1.0340000000000003</v>
      </c>
      <c r="Q22" s="252">
        <f t="shared" ref="Q22" si="7">Q$20*O22</f>
        <v>91167.048888888909</v>
      </c>
      <c r="R22" s="319">
        <f t="shared" ref="R22" si="8">Q22+R$20</f>
        <v>94167.048888888909</v>
      </c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198033</v>
      </c>
      <c r="I24" s="322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2.2000000000000002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37626.270000000004</v>
      </c>
      <c r="I25" s="322"/>
      <c r="J25" s="265"/>
      <c r="K25" s="47"/>
      <c r="L25" s="47"/>
      <c r="M25" s="39">
        <f>SUM(M21:M22)</f>
        <v>3.96</v>
      </c>
      <c r="N25" s="12"/>
      <c r="O25" s="12"/>
      <c r="P25" s="253">
        <f>SUM(P21:P23)</f>
        <v>2.1780000000000004</v>
      </c>
      <c r="Q25" s="14"/>
      <c r="R25" s="12"/>
      <c r="S25" s="239">
        <f>SUM(S21:S24)</f>
        <v>2.08</v>
      </c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235659.27000000002</v>
      </c>
      <c r="I26" s="322"/>
      <c r="J26" s="265"/>
      <c r="K26" s="47"/>
      <c r="L26" s="47"/>
      <c r="M26" s="39"/>
      <c r="N26" s="12"/>
      <c r="O26" s="12"/>
      <c r="P26" s="253">
        <f>P25</f>
        <v>2.1780000000000004</v>
      </c>
      <c r="Q26" s="14"/>
      <c r="R26" s="12"/>
      <c r="S26" s="239"/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0.4356000000000001</v>
      </c>
      <c r="Q27" s="39" t="s">
        <v>130</v>
      </c>
      <c r="R27" s="42"/>
      <c r="S27" s="240"/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2.6136000000000004</v>
      </c>
      <c r="Q28" s="14"/>
      <c r="R28" s="14"/>
      <c r="S28" s="238"/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/>
      <c r="T29" s="14"/>
      <c r="U29" s="302" t="s">
        <v>21</v>
      </c>
      <c r="V29" s="299" t="s">
        <v>151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2.6136000000000004</v>
      </c>
      <c r="N30" s="12">
        <v>3500</v>
      </c>
      <c r="O30" s="12">
        <f t="shared" ref="O30:O35" si="9">M30*N30</f>
        <v>9147.6000000000022</v>
      </c>
      <c r="P30" s="14" t="s">
        <v>21</v>
      </c>
      <c r="Q30" s="14"/>
      <c r="R30" s="14"/>
      <c r="S30" s="241"/>
      <c r="T30" s="14"/>
      <c r="U30" s="302" t="s">
        <v>152</v>
      </c>
      <c r="V30" s="299">
        <v>3625</v>
      </c>
      <c r="W30" s="59" t="s">
        <v>153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0.8</v>
      </c>
      <c r="N31" s="12">
        <v>25000</v>
      </c>
      <c r="O31" s="12">
        <f t="shared" si="9"/>
        <v>20000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154</v>
      </c>
      <c r="X31" s="304"/>
    </row>
    <row r="32" spans="1:25" s="230" customFormat="1" ht="17.399999999999999" x14ac:dyDescent="0.35">
      <c r="B32" s="24" t="s">
        <v>150</v>
      </c>
      <c r="J32" s="262"/>
      <c r="K32" s="232"/>
      <c r="L32" s="250"/>
      <c r="M32" s="14"/>
      <c r="N32" s="250">
        <v>61840</v>
      </c>
      <c r="O32" s="12">
        <f t="shared" si="9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155</v>
      </c>
      <c r="X32" s="59"/>
    </row>
    <row r="33" spans="2:24" s="230" customFormat="1" ht="17.399999999999999" x14ac:dyDescent="0.35">
      <c r="B33" s="24" t="s">
        <v>167</v>
      </c>
      <c r="C33"/>
      <c r="D33"/>
      <c r="E33"/>
      <c r="F33"/>
      <c r="J33" s="262"/>
      <c r="K33" s="232"/>
      <c r="L33" s="250"/>
      <c r="M33" s="14">
        <v>2</v>
      </c>
      <c r="N33" s="250">
        <v>26100</v>
      </c>
      <c r="O33" s="12">
        <f t="shared" si="9"/>
        <v>52200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156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9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>
        <v>3.96</v>
      </c>
      <c r="N35" s="12">
        <v>1500</v>
      </c>
      <c r="O35" s="12">
        <f t="shared" si="9"/>
        <v>5940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87287.6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O36*2.2</f>
        <v>192032.72000000003</v>
      </c>
      <c r="P37" s="14" t="s">
        <v>140</v>
      </c>
      <c r="Q37" s="14"/>
      <c r="R37" s="40">
        <f>P28/R36</f>
        <v>0.70470232959447809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31030</v>
      </c>
      <c r="L38" s="250"/>
      <c r="M38" s="14"/>
      <c r="N38" s="12"/>
      <c r="O38" s="12">
        <f>O37/P26</f>
        <v>88169.292929292933</v>
      </c>
      <c r="P38" s="45" t="s">
        <v>24</v>
      </c>
      <c r="Q38" s="14"/>
      <c r="R38" s="14"/>
      <c r="S38"/>
      <c r="T38" s="238"/>
      <c r="U38" s="59" t="s">
        <v>157</v>
      </c>
      <c r="V38" s="299">
        <v>43650</v>
      </c>
    </row>
    <row r="39" spans="2:24" s="230" customFormat="1" ht="17.399999999999999" x14ac:dyDescent="0.35">
      <c r="G39"/>
      <c r="K39" s="230">
        <f>K38/1.19</f>
        <v>26075.63025210084</v>
      </c>
      <c r="L39" s="250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159</v>
      </c>
      <c r="V39" s="300" t="s">
        <v>158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160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155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147</v>
      </c>
    </row>
    <row r="74" spans="3:15" x14ac:dyDescent="0.3">
      <c r="C74" t="s">
        <v>146</v>
      </c>
    </row>
    <row r="77" spans="3:15" x14ac:dyDescent="0.3">
      <c r="C77" t="s">
        <v>146</v>
      </c>
    </row>
    <row r="154" spans="3:3" x14ac:dyDescent="0.3">
      <c r="C154" t="s">
        <v>146</v>
      </c>
    </row>
    <row r="155" spans="3:3" x14ac:dyDescent="0.3">
      <c r="C155" t="s">
        <v>148</v>
      </c>
    </row>
    <row r="156" spans="3:3" x14ac:dyDescent="0.3">
      <c r="C156" t="s">
        <v>149</v>
      </c>
    </row>
    <row r="581" spans="3:3" x14ac:dyDescent="0.3">
      <c r="C581" t="s">
        <v>146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45756</v>
      </c>
    </row>
    <row r="6" spans="2:31" ht="16.2" thickBot="1" x14ac:dyDescent="0.35">
      <c r="B6" s="140" t="s">
        <v>2</v>
      </c>
      <c r="C6" s="139" t="str">
        <f>'2229'!C10</f>
        <v>EDUARDO PARADA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11388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-16785.535033454107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198033</v>
      </c>
      <c r="E11" s="132">
        <f>D11*0.19</f>
        <v>37626.270000000004</v>
      </c>
      <c r="F11" s="131">
        <f>E11+D11</f>
        <v>235659.27000000002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89204.4649665459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58981.690787439613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71204.4649665459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139051.30921256039</v>
      </c>
      <c r="E13" s="221">
        <f>(D11/D12)-1</f>
        <v>2.3575334541303437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62204.464966545893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23204.464966545893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97319.789799275357</v>
      </c>
      <c r="F15" s="216">
        <f>E15-D12</f>
        <v>38338.099011835744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23204.464966545893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63204.464966545893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20000</v>
      </c>
      <c r="E19" s="123">
        <f>D19*0.19</f>
        <v>3800</v>
      </c>
      <c r="F19" s="120">
        <f>SUM(D19:E19)</f>
        <v>23800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9147.6000000000022</v>
      </c>
      <c r="E20" s="121">
        <f>D20*0.19</f>
        <v>1738.0440000000003</v>
      </c>
      <c r="F20" s="120">
        <f>SUM(D20:E20)</f>
        <v>10885.644000000002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29147.600000000002</v>
      </c>
      <c r="E21" s="116">
        <f>SUM(E18:E20)</f>
        <v>5538.0439999999999</v>
      </c>
      <c r="F21" s="115">
        <f>SUM(F18:F20)</f>
        <v>34685.644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32088.226000000002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198033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29147.600000000002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139051.30921256039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139051.30921256039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2025-03-04T21:04:33Z</cp:lastPrinted>
  <dcterms:created xsi:type="dcterms:W3CDTF">2013-03-18T13:35:42Z</dcterms:created>
  <dcterms:modified xsi:type="dcterms:W3CDTF">2025-04-09T15:46:43Z</dcterms:modified>
</cp:coreProperties>
</file>