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4 ABRIL 2025\"/>
    </mc:Choice>
  </mc:AlternateContent>
  <xr:revisionPtr revIDLastSave="0" documentId="13_ncr:1_{40138C71-E435-4748-B41B-4AE80278DFDB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4" i="1" s="1"/>
  <c r="S21" i="1" l="1"/>
  <c r="S24" i="1" s="1"/>
  <c r="T21" i="1"/>
  <c r="T23" i="1" s="1"/>
  <c r="O21" i="1"/>
  <c r="P21" i="1" s="1"/>
  <c r="P24" i="1" s="1"/>
  <c r="K38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l="1"/>
  <c r="D11" i="3" l="1"/>
  <c r="X9" i="3" s="1"/>
  <c r="X15" i="3" s="1"/>
  <c r="H2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<sst xmlns="http://schemas.openxmlformats.org/spreadsheetml/2006/main" count="229" uniqueCount="173">
  <si>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</si>
  <si>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</si>
  <si>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</si>
  <si>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</si>
  <si>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</si>
  <si>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</si>
  <si>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</si>
  <si>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</si>
  <si>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</si>
  <si>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</si>
  <si>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</si>
  <si>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</si>
  <si>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</si>
  <si>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</si>
  <si>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</si>
  <si>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</si>
  <si>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</si>
  <si>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</si>
  <si>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</si>
  <si>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</si>
  <si>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</si>
  <si>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</si>
  <si>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</si>
  <si>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</si>
  <si>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</si>
  <si>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</si>
  <si>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</si>
  <si>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</si>
  <si>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</si>
  <si>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</si>
  <si>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</si>
  <si>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</si>
  <si>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</si>
  <si>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</si>
  <si>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</si>
  <si>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</si>
  <si>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</si>
  <si>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</si>
  <si>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</si>
  <si>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</si>
  <si>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</si>
  <si>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</si>
  <si>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</si>
  <si>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</si>
  <si>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</si>
  <si>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</si>
  <si>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</si>
  <si>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</si>
  <si>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</si>
  <si>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</si>
  <si>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</si>
  <si>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</si>
  <si>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</si>
  <si>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</si>
  <si>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</si>
  <si>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</si>
  <si>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</si>
  <si>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</si>
  <si>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</si>
  <si>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</si>
  <si>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</si>
  <si>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</si>
  <si>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</si>
  <si>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</si>
  <si>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</si>
  <si>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</si>
  <si>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</si>
  <si>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</si>
  <si>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</si>
  <si>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</si>
  <si>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</si>
  <si>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</si>
  <si>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</si>
  <si>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</si>
  <si>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</si>
  <si>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</si>
  <si>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</si>
  <si>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</si>
  <si>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</si>
  <si>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</si>
  <si>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</si>
  <si>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</si>
  <si>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</si>
  <si>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</si>
  <si>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</si>
  <si>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</si>
  <si>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</si>
  <si>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</si>
  <si>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</si>
  <si>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</si>
  <si>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</si>
  <si>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</si>
  <si>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</si>
  <si>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</si>
  <si>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</si>
  <si>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</si>
  <si>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</si>
  <si>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</si>
  <si>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</si>
  <si>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</si>
  <si>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</si>
  <si>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</si>
  <si>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</si>
  <si>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</si>
  <si>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</si>
  <si>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</si>
  <si>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</si>
  <si>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</si>
  <si>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</si>
  <si>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</si>
  <si>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</si>
  <si>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</si>
  <si>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</si>
  <si>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</si>
  <si>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</si>
  <si>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</si>
  <si>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</si>
  <si>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</si>
  <si>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</si>
  <si>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</si>
  <si>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</si>
  <si>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</si>
  <si>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</si>
  <si>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</si>
  <si>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</si>
  <si>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</si>
  <si>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</si>
  <si>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</si>
  <si>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</si>
  <si>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</si>
  <si>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</si>
  <si>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</si>
  <si>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</si>
  <si>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</si>
  <si>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</si>
  <si>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</si>
  <si>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</si>
  <si>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</si>
  <si>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</si>
  <si>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</si>
  <si>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</si>
  <si>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</si>
  <si>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</si>
  <si>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</si>
  <si>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</si>
  <si>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</si>
  <si>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</si>
  <si>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</si>
  <si>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</si>
  <si>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</si>
  <si>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</si>
  <si>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</si>
  <si>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</si>
  <si>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</si>
  <si>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</si>
  <si>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</si>
  <si>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</si>
  <si>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</si>
  <si>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</si>
  <si>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</si>
  <si>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</si>
  <si>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</si>
  <si>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</si>
  <si>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</si>
  <si>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</si>
  <si>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</si>
  <si>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</si>
  <si>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</si>
  <si>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CUBIERTA CON RESPALDO 90°</t>
  </si>
  <si>
    <t>MARCELO</t>
  </si>
  <si>
    <t>N° 11387</t>
  </si>
  <si>
    <t>+569 6133 4588</t>
  </si>
  <si>
    <t>LAPISLAZULI 0888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</si>
</sst>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3" fillId="0" borderId="0" xfId="8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12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40.1093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7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169</v>
      </c>
      <c r="D10" s="243"/>
      <c r="E10" s="243"/>
      <c r="F10" s="244" t="s">
        <v>0</v>
      </c>
      <c r="G10" s="276">
        <v>45755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1" t="s">
        <v>164</v>
      </c>
      <c r="G17" s="331"/>
      <c r="H17" s="332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3" t="s">
        <v>95</v>
      </c>
      <c r="C19" s="334"/>
      <c r="D19" s="334"/>
      <c r="E19" s="334"/>
      <c r="F19" s="334"/>
      <c r="G19" s="334"/>
      <c r="H19" s="335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4" t="s">
        <v>7</v>
      </c>
      <c r="C20" s="325" t="s">
        <v>1</v>
      </c>
      <c r="D20" s="325" t="s">
        <v>131</v>
      </c>
      <c r="E20" s="325" t="s">
        <v>11</v>
      </c>
      <c r="F20" s="325" t="s">
        <v>8</v>
      </c>
      <c r="G20" s="325" t="s">
        <v>5</v>
      </c>
      <c r="H20" s="326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77857.02127659574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8">
        <v>1</v>
      </c>
      <c r="C21" s="328" t="s">
        <v>168</v>
      </c>
      <c r="D21" s="329">
        <v>1.8</v>
      </c>
      <c r="E21" s="329">
        <v>0.55000000000000004</v>
      </c>
      <c r="F21" s="328" t="s">
        <v>172</v>
      </c>
      <c r="G21" s="330">
        <f>Q21</f>
        <v>80504.160000000018</v>
      </c>
      <c r="H21" s="330">
        <f>G21*B21</f>
        <v>80504.160000000018</v>
      </c>
      <c r="I21" s="320"/>
      <c r="J21" s="265"/>
      <c r="K21" s="47"/>
      <c r="L21" s="47">
        <f>B21</f>
        <v>1</v>
      </c>
      <c r="M21" s="39">
        <f>D21+M$19</f>
        <v>1.8800000000000001</v>
      </c>
      <c r="N21" s="39">
        <f>E21+$N$19</f>
        <v>0.55000000000000004</v>
      </c>
      <c r="O21" s="261">
        <f t="shared" ref="O21" si="1">M21*N21</f>
        <v>1.0340000000000003</v>
      </c>
      <c r="P21" s="259">
        <f t="shared" ref="P21" si="2">O21*L21</f>
        <v>1.0340000000000003</v>
      </c>
      <c r="Q21" s="252">
        <f t="shared" ref="Q21" si="3">Q$20*O21</f>
        <v>80504.160000000018</v>
      </c>
      <c r="R21" s="319">
        <f t="shared" ref="R21" si="4">Q21+R$20</f>
        <v>83504.160000000018</v>
      </c>
      <c r="S21" s="297">
        <f>M21*L21</f>
        <v>1.8800000000000001</v>
      </c>
      <c r="T21" s="46">
        <f>N21*2*L21*2</f>
        <v>2.2000000000000002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2" t="s">
        <v>28</v>
      </c>
      <c r="H23" s="323">
        <f>SUM(H21:H22)</f>
        <v>80504.160000000018</v>
      </c>
      <c r="I23" s="321"/>
      <c r="J23" s="265"/>
      <c r="K23" s="47">
        <v>2600000</v>
      </c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2.2000000000000002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15295.790400000004</v>
      </c>
      <c r="I24" s="321"/>
      <c r="J24" s="265"/>
      <c r="K24" s="47"/>
      <c r="L24" s="47"/>
      <c r="M24" s="39">
        <f>SUM(M21:M21)</f>
        <v>1.8800000000000001</v>
      </c>
      <c r="N24" s="12"/>
      <c r="O24" s="12"/>
      <c r="P24" s="253">
        <f>SUM(P21:P22)</f>
        <v>1.0340000000000003</v>
      </c>
      <c r="Q24" s="14"/>
      <c r="R24" s="12"/>
      <c r="S24" s="239">
        <f>SUM(S21:S23)</f>
        <v>1.8800000000000001</v>
      </c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95799.950400000016</v>
      </c>
      <c r="I25" s="321"/>
      <c r="J25" s="265"/>
      <c r="K25" s="47"/>
      <c r="L25" s="47"/>
      <c r="M25" s="39"/>
      <c r="N25" s="12"/>
      <c r="O25" s="12"/>
      <c r="P25" s="253">
        <f>P24</f>
        <v>1.0340000000000003</v>
      </c>
      <c r="Q25" s="14"/>
      <c r="R25" s="12"/>
      <c r="S25" s="239"/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0.20680000000000007</v>
      </c>
      <c r="Q26" s="39" t="s">
        <v>130</v>
      </c>
      <c r="R26" s="42"/>
      <c r="S26" s="240"/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1.2408000000000003</v>
      </c>
      <c r="Q27" s="14"/>
      <c r="R27" s="14"/>
      <c r="S27" s="238"/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/>
      <c r="T28" s="14"/>
      <c r="U28" s="302" t="s">
        <v>21</v>
      </c>
      <c r="V28" s="299" t="s">
        <v>151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1.2408000000000003</v>
      </c>
      <c r="N29" s="12">
        <v>3500</v>
      </c>
      <c r="O29" s="12">
        <f t="shared" ref="O29:O34" si="5">M29*N29</f>
        <v>4342.8000000000011</v>
      </c>
      <c r="P29" s="14" t="s">
        <v>21</v>
      </c>
      <c r="Q29" s="14"/>
      <c r="R29" s="14"/>
      <c r="S29" s="241"/>
      <c r="T29" s="14"/>
      <c r="U29" s="302" t="s">
        <v>152</v>
      </c>
      <c r="V29" s="299">
        <v>3625</v>
      </c>
      <c r="W29" s="59" t="s">
        <v>153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0.4</v>
      </c>
      <c r="N30" s="12">
        <v>25000</v>
      </c>
      <c r="O30" s="12">
        <f t="shared" si="5"/>
        <v>10000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154</v>
      </c>
      <c r="X30" s="304"/>
    </row>
    <row r="31" spans="1:25" s="230" customFormat="1" ht="17.399999999999999" x14ac:dyDescent="0.35">
      <c r="B31" s="24" t="s">
        <v>150</v>
      </c>
      <c r="J31" s="262"/>
      <c r="K31" s="232"/>
      <c r="L31" s="250"/>
      <c r="M31" s="14"/>
      <c r="N31" s="250">
        <v>65682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155</v>
      </c>
      <c r="X31" s="59"/>
    </row>
    <row r="32" spans="1:25" s="230" customFormat="1" ht="17.399999999999999" x14ac:dyDescent="0.35">
      <c r="B32" s="24" t="s">
        <v>166</v>
      </c>
      <c r="C32"/>
      <c r="D32"/>
      <c r="E32"/>
      <c r="F32"/>
      <c r="J32" s="262"/>
      <c r="K32" s="232"/>
      <c r="L32" s="250"/>
      <c r="M32" s="14">
        <v>1</v>
      </c>
      <c r="N32" s="250">
        <v>22250</v>
      </c>
      <c r="O32" s="12">
        <f t="shared" si="5"/>
        <v>22250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156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/>
      <c r="K34" s="260"/>
      <c r="L34" s="250"/>
      <c r="M34" s="266"/>
      <c r="N34" s="12">
        <v>1500</v>
      </c>
      <c r="O34" s="12">
        <f t="shared" si="5"/>
        <v>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/>
      <c r="L35" s="250"/>
      <c r="M35" s="14"/>
      <c r="N35" s="12"/>
      <c r="O35" s="12">
        <f>SUM(O29:O34)</f>
        <v>36592.800000000003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O35*2.2</f>
        <v>80504.160000000018</v>
      </c>
      <c r="P36" s="14" t="s">
        <v>140</v>
      </c>
      <c r="Q36" s="14"/>
      <c r="R36" s="40">
        <f>P27/R35</f>
        <v>0.33455565142364113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62090</v>
      </c>
      <c r="L37" s="250"/>
      <c r="M37" s="14"/>
      <c r="N37" s="12"/>
      <c r="O37" s="12">
        <f>O36/P25</f>
        <v>77857.02127659574</v>
      </c>
      <c r="P37" s="45" t="s">
        <v>24</v>
      </c>
      <c r="Q37" s="14"/>
      <c r="R37" s="14"/>
      <c r="S37"/>
      <c r="T37" s="238"/>
      <c r="U37" s="59" t="s">
        <v>157</v>
      </c>
      <c r="V37" s="299">
        <v>43650</v>
      </c>
    </row>
    <row r="38" spans="2:24" s="230" customFormat="1" ht="17.399999999999999" x14ac:dyDescent="0.35">
      <c r="G38"/>
      <c r="K38" s="230">
        <f>K37/1.19</f>
        <v>52176.470588235294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159</v>
      </c>
      <c r="V38" s="300" t="s">
        <v>158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160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155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147</v>
      </c>
    </row>
    <row r="73" spans="3:3" x14ac:dyDescent="0.3">
      <c r="C73" t="s">
        <v>146</v>
      </c>
    </row>
    <row r="76" spans="3:3" x14ac:dyDescent="0.3">
      <c r="C76" t="s">
        <v>146</v>
      </c>
    </row>
    <row r="153" spans="3:3" x14ac:dyDescent="0.3">
      <c r="C153" t="s">
        <v>146</v>
      </c>
    </row>
    <row r="154" spans="3:3" x14ac:dyDescent="0.3">
      <c r="C154" t="s">
        <v>148</v>
      </c>
    </row>
    <row r="155" spans="3:3" x14ac:dyDescent="0.3">
      <c r="C155" t="s">
        <v>149</v>
      </c>
    </row>
    <row r="580" spans="3:3" x14ac:dyDescent="0.3">
      <c r="C580" t="s">
        <v>146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45755</v>
      </c>
    </row>
    <row r="6" spans="2:31" ht="16.2" thickBot="1" x14ac:dyDescent="0.35">
      <c r="B6" s="140" t="s">
        <v>2</v>
      </c>
      <c r="C6" s="139" t="str">
        <f>'2229'!C10</f>
        <v>MARCELO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98</v>
      </c>
      <c r="I7" s="338"/>
      <c r="J7" s="338"/>
      <c r="K7" s="339"/>
      <c r="N7" s="75"/>
      <c r="O7" s="33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11387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-1268.71503345411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80504.160000000018</v>
      </c>
      <c r="E11" s="132">
        <f>D11*0.19</f>
        <v>15295.790400000004</v>
      </c>
      <c r="F11" s="131">
        <f>E11+D11</f>
        <v>95799.950400000016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104721.28496654589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44176.890787439617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86721.284966545893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36327.269212560401</v>
      </c>
      <c r="E13" s="221">
        <f>(D11/D12)-1</f>
        <v>0.82231385154178804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77721.284966545893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38721.284966545893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72891.869799275359</v>
      </c>
      <c r="F15" s="216">
        <f>E15-D12</f>
        <v>28714.979011835741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38721.284966545893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78721.284966545893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4342.8000000000011</v>
      </c>
      <c r="E20" s="121">
        <f>D20*0.19</f>
        <v>825.13200000000018</v>
      </c>
      <c r="F20" s="120">
        <f>SUM(D20:E20)</f>
        <v>5167.9320000000016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14342.800000000001</v>
      </c>
      <c r="E21" s="116">
        <f>SUM(E18:E20)</f>
        <v>2725.1320000000001</v>
      </c>
      <c r="F21" s="115">
        <f>SUM(F18:F20)</f>
        <v>17067.932000000001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12570.658400000004</v>
      </c>
    </row>
    <row r="41" spans="2:16" ht="15" thickBot="1" x14ac:dyDescent="0.35">
      <c r="H41" s="340" t="s">
        <v>60</v>
      </c>
      <c r="I41" s="341"/>
      <c r="J41" s="341"/>
      <c r="K41" s="341"/>
      <c r="L41" s="341"/>
      <c r="M41" s="34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80504.160000000018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14342.800000000001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36327.269212560401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36327.269212560401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2025-04-08T18:55:28Z</cp:lastPrinted>
  <dcterms:created xsi:type="dcterms:W3CDTF">2013-03-18T13:35:42Z</dcterms:created>
  <dcterms:modified xsi:type="dcterms:W3CDTF">2025-04-08T18:56:59Z</dcterms:modified>
</cp:coreProperties>
</file>