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E54B6889-5C20-4790-84C5-ED5684E4F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J15" i="1"/>
  <c r="L22" i="1"/>
  <c r="M22" i="1"/>
  <c r="N22" i="1"/>
  <c r="J10" i="1"/>
  <c r="H22" i="1"/>
  <c r="K30" i="1"/>
  <c r="L21" i="1"/>
  <c r="S22" i="1" l="1"/>
  <c r="O22" i="1"/>
  <c r="P22" i="1"/>
  <c r="K33" i="1"/>
  <c r="K35" i="1"/>
  <c r="N21" i="1"/>
  <c r="K36" i="1" l="1"/>
  <c r="K37" i="1" s="1"/>
  <c r="K38" i="1" s="1"/>
  <c r="M21" i="1"/>
  <c r="S21" i="1" s="1"/>
  <c r="M27" i="1" l="1"/>
  <c r="T21" i="1"/>
  <c r="T26" i="1" s="1"/>
  <c r="S28" i="1"/>
  <c r="O21" i="1"/>
  <c r="P21" i="1" s="1"/>
  <c r="P27" i="1" s="1"/>
  <c r="K41" i="1"/>
  <c r="S29" i="1" l="1"/>
  <c r="S30" i="1" s="1"/>
  <c r="S31" i="1" s="1"/>
  <c r="V34" i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O41" i="1"/>
  <c r="E15" i="3"/>
  <c r="Q21" i="1" l="1"/>
  <c r="F15" i="3"/>
  <c r="R21" i="1" l="1"/>
  <c r="H21" i="1" l="1"/>
  <c r="H26" i="1" s="1"/>
  <c r="H27" i="1" s="1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<sst xmlns="http://schemas.openxmlformats.org/spreadsheetml/2006/main" count="237" uniqueCount="180">
  <si>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</si>
  <si>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</si>
  <si>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</si>
  <si>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</si>
  <si>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</si>
  <si>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</si>
  <si>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</si>
  <si>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</si>
  <si>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</si>
  <si>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</si>
  <si>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</si>
  <si>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</si>
  <si>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</si>
  <si>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</si>
  <si>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</si>
  <si>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</si>
  <si>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</si>
  <si>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</si>
  <si>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</si>
  <si>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</si>
  <si>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</si>
  <si>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</si>
  <si>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</si>
  <si>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</si>
  <si>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</si>
  <si>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</si>
  <si>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</si>
  <si>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</si>
  <si>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</si>
  <si>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</si>
  <si>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</si>
  <si>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</si>
  <si>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</si>
  <si>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</si>
  <si>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</si>
  <si>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</si>
  <si>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</si>
  <si>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</si>
  <si>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</si>
  <si>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</si>
  <si>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</si>
  <si>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</si>
  <si>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</si>
  <si>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</si>
  <si>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</si>
  <si>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</si>
  <si>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</si>
  <si>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</si>
  <si>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</si>
  <si>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</si>
  <si>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</si>
  <si>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</si>
  <si>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</si>
  <si>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</si>
  <si>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</si>
  <si>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</si>
  <si>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</si>
  <si>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</si>
  <si>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</si>
  <si>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</si>
  <si>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</si>
  <si>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</si>
  <si>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</si>
  <si>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</si>
  <si>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</si>
  <si>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</si>
  <si>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</si>
  <si>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</si>
  <si>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</si>
  <si>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</si>
  <si>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</si>
  <si>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</si>
  <si>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</si>
  <si>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</si>
  <si>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</si>
  <si>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</si>
  <si>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</si>
  <si>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</si>
  <si>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</si>
  <si>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</si>
  <si>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</si>
  <si>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</si>
  <si>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</si>
  <si>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</si>
  <si>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</si>
  <si>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</si>
  <si>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</si>
  <si>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</si>
  <si>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</si>
  <si>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</si>
  <si>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</si>
  <si>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</si>
  <si>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</si>
  <si>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</si>
  <si>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</si>
  <si>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</si>
  <si>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</si>
  <si>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</si>
  <si>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</si>
  <si>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</si>
  <si>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</si>
  <si>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</si>
  <si>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</si>
  <si>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</si>
  <si>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</si>
  <si>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</si>
  <si>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</si>
  <si>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</si>
  <si>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</si>
  <si>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</si>
  <si>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</si>
  <si>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</si>
  <si>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</si>
  <si>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</si>
  <si>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</si>
  <si>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</si>
  <si>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</si>
  <si>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</si>
  <si>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</si>
  <si>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</si>
  <si>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</si>
  <si>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</si>
  <si>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</si>
  <si>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</si>
  <si>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</si>
  <si>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</si>
  <si>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</si>
  <si>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</si>
  <si>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</si>
  <si>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</si>
  <si>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</si>
  <si>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</si>
  <si>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</si>
  <si>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</si>
  <si>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</si>
  <si>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</si>
  <si>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</si>
  <si>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</si>
  <si>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</si>
  <si>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</si>
  <si>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</si>
  <si>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</si>
  <si>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</si>
  <si>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</si>
  <si>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</si>
  <si>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</si>
  <si>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</si>
  <si>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</si>
  <si>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</si>
  <si>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</si>
  <si>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</si>
  <si>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</si>
  <si>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</si>
  <si>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</si>
  <si>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</si>
  <si>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</si>
  <si>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</si>
  <si>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</si>
  <si>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</si>
  <si>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</si>
  <si>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</si>
  <si>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</si>
  <si>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</si>
  <si>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</si>
  <si>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</si>
  <si>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</si>
  <si>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</si>
  <si>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no</t>
  </si>
  <si>
    <t>5 DIAS HABILES</t>
  </si>
  <si>
    <t>N° 11380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</si>
  <si>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</si>
  <si>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</si>
  <si>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</si>
  <si>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</si>
  <si>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</si>
  <si>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</si>
  <si>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00-04-2025</t>
  </si>
  <si>
    <t>CUB CON RESPALDO FRENTE 90° R8</t>
  </si>
  <si>
    <t>FONDLE SAMSARA MAPLE 14868 SF</t>
  </si>
  <si>
    <t>CORTE A LA MEDIDA Y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</si>
</sst>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B23" sqref="B23:H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169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 t="s">
        <v>176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171</v>
      </c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 t="s">
        <v>172</v>
      </c>
      <c r="D12" s="247"/>
      <c r="E12" s="247"/>
      <c r="F12" s="247" t="s">
        <v>127</v>
      </c>
      <c r="G12" s="277" t="s">
        <v>167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173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 t="s">
        <v>174</v>
      </c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56973069852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 t="s">
        <v>175</v>
      </c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73754.545454545441</v>
      </c>
      <c r="R20" s="258">
        <v>1500</v>
      </c>
      <c r="S20" s="38"/>
      <c r="T20" s="14" t="s">
        <v>128</v>
      </c>
      <c r="U20" s="9"/>
      <c r="X20" s="4"/>
    </row>
    <row r="21" spans="2:25" ht="17.399999999999999" x14ac:dyDescent="0.3">
      <c r="B21" s="329">
        <v>1</v>
      </c>
      <c r="C21" s="329" t="s">
        <v>177</v>
      </c>
      <c r="D21" s="332">
        <v>1.34</v>
      </c>
      <c r="E21" s="332">
        <v>0.6</v>
      </c>
      <c r="F21" s="329" t="s">
        <v>178</v>
      </c>
      <c r="G21" s="330">
        <v>64339</v>
      </c>
      <c r="H21" s="330">
        <f>G21*B21</f>
        <v>64339</v>
      </c>
      <c r="I21" s="319"/>
      <c r="J21" s="265">
        <v>1</v>
      </c>
      <c r="K21" s="47"/>
      <c r="L21" s="331">
        <f>B21</f>
        <v>1</v>
      </c>
      <c r="M21" s="39">
        <f>D21+M$19</f>
        <v>1.4200000000000002</v>
      </c>
      <c r="N21" s="39">
        <f>E21+$N$19</f>
        <v>0.6</v>
      </c>
      <c r="O21" s="261">
        <f t="shared" ref="O21" si="1">M21*N21</f>
        <v>0.85200000000000009</v>
      </c>
      <c r="P21" s="259">
        <f t="shared" ref="P21" si="2">O21*L21</f>
        <v>0.85200000000000009</v>
      </c>
      <c r="Q21" s="252">
        <f t="shared" ref="Q21" si="3">Q$20*O21</f>
        <v>62838.872727272719</v>
      </c>
      <c r="R21" s="318">
        <f t="shared" ref="R21" si="4">Q21+R$20</f>
        <v>64338.872727272719</v>
      </c>
      <c r="S21" s="297">
        <f>M21*L21</f>
        <v>1.4200000000000002</v>
      </c>
      <c r="T21" s="46">
        <f>M21*L21</f>
        <v>1.4200000000000002</v>
      </c>
      <c r="U21" s="9"/>
      <c r="X21" s="4"/>
    </row>
    <row r="22" spans="2:25" ht="17.399999999999999" x14ac:dyDescent="0.3">
      <c r="B22" s="329">
        <v>1</v>
      </c>
      <c r="C22" s="329" t="s">
        <v>177</v>
      </c>
      <c r="D22" s="332">
        <v>1.25</v>
      </c>
      <c r="E22" s="332">
        <v>0.6</v>
      </c>
      <c r="F22" s="329" t="s">
        <v>178</v>
      </c>
      <c r="G22" s="330">
        <v>60356</v>
      </c>
      <c r="H22" s="330">
        <f t="shared" ref="H22:H23" si="5">G22*B22</f>
        <v>60356</v>
      </c>
      <c r="I22" s="319">
        <v>1</v>
      </c>
      <c r="J22" s="265"/>
      <c r="K22" s="47"/>
      <c r="L22" s="331">
        <f t="shared" ref="L22" si="6">B22</f>
        <v>1</v>
      </c>
      <c r="M22" s="39">
        <f t="shared" ref="M22" si="7">D22+M$19</f>
        <v>1.33</v>
      </c>
      <c r="N22" s="39">
        <f t="shared" ref="N22" si="8">E22+$N$19</f>
        <v>0.6</v>
      </c>
      <c r="O22" s="261">
        <f t="shared" ref="O22" si="9">M22*N22</f>
        <v>0.79800000000000004</v>
      </c>
      <c r="P22" s="259">
        <f t="shared" ref="P22" si="10">O22*L22</f>
        <v>0.79800000000000004</v>
      </c>
      <c r="Q22" s="252">
        <f t="shared" ref="Q22" si="11">Q$20*O22</f>
        <v>58856.127272727266</v>
      </c>
      <c r="R22" s="318">
        <f t="shared" ref="R22" si="12">Q22+R$20</f>
        <v>60356.127272727266</v>
      </c>
      <c r="S22" s="297">
        <f t="shared" ref="S22" si="13">M22*L22</f>
        <v>1.33</v>
      </c>
      <c r="T22" s="46"/>
      <c r="U22" s="9"/>
      <c r="X22" s="4"/>
    </row>
    <row r="23" spans="2:25" ht="17.399999999999999" x14ac:dyDescent="0.3">
      <c r="B23" s="329">
        <v>2</v>
      </c>
      <c r="C23" s="329" t="s">
        <v>179</v>
      </c>
      <c r="D23" s="332"/>
      <c r="E23" s="332"/>
      <c r="F23" s="329"/>
      <c r="G23" s="330">
        <v>10000</v>
      </c>
      <c r="H23" s="330">
        <f t="shared" si="5"/>
        <v>20000</v>
      </c>
      <c r="I23" s="319"/>
      <c r="J23" s="265"/>
      <c r="K23" s="47"/>
      <c r="L23" s="331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19"/>
      <c r="H24" s="319"/>
      <c r="I24" s="319"/>
      <c r="J24" s="265"/>
      <c r="K24" s="47"/>
      <c r="L24" s="47"/>
      <c r="M24" s="39"/>
      <c r="N24" s="39"/>
      <c r="O24" s="261"/>
      <c r="P24" s="259"/>
      <c r="Q24" s="252"/>
      <c r="R24" s="318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0"/>
      <c r="I25" s="322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3" t="s">
        <v>28</v>
      </c>
      <c r="H26" s="324">
        <f>SUM(H21:H25)</f>
        <v>144695</v>
      </c>
      <c r="I26" s="321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1.4200000000000002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27492.05</v>
      </c>
      <c r="I27" s="321"/>
      <c r="J27" s="265"/>
      <c r="K27" s="47"/>
      <c r="L27" s="47"/>
      <c r="M27" s="39">
        <f>SUM(M21:M26)</f>
        <v>2.75</v>
      </c>
      <c r="N27" s="12"/>
      <c r="O27" s="12"/>
      <c r="P27" s="253">
        <f>SUM(P21:P25)</f>
        <v>1.6500000000000001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172187.05</v>
      </c>
      <c r="I28" s="321"/>
      <c r="J28" s="265"/>
      <c r="K28" s="47">
        <v>70</v>
      </c>
      <c r="L28" s="47"/>
      <c r="M28" s="39"/>
      <c r="N28" s="12"/>
      <c r="O28" s="12"/>
      <c r="P28" s="253">
        <f>P27</f>
        <v>1.6500000000000001</v>
      </c>
      <c r="Q28" s="14"/>
      <c r="R28" s="12"/>
      <c r="S28" s="239">
        <f>SUM(S21:S27)</f>
        <v>2.75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>
        <v>12</v>
      </c>
      <c r="L29" s="47"/>
      <c r="M29" s="14"/>
      <c r="N29" s="12"/>
      <c r="O29" s="12"/>
      <c r="P29" s="39">
        <f>P28*20%</f>
        <v>0.33000000000000007</v>
      </c>
      <c r="Q29" s="39" t="s">
        <v>130</v>
      </c>
      <c r="R29" s="42"/>
      <c r="S29" s="240">
        <f>S28+T26</f>
        <v>4.17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>
        <f>K28-K29</f>
        <v>58</v>
      </c>
      <c r="L30" s="47"/>
      <c r="M30" s="14"/>
      <c r="N30" s="12"/>
      <c r="O30" s="12"/>
      <c r="P30" s="46">
        <f>P28+P29</f>
        <v>1.9800000000000002</v>
      </c>
      <c r="Q30" s="14"/>
      <c r="R30" s="14"/>
      <c r="S30" s="238">
        <f>S29*20%</f>
        <v>0.83400000000000007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5.0039999999999996</v>
      </c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1.9800000000000002</v>
      </c>
      <c r="N32" s="12">
        <v>2500</v>
      </c>
      <c r="O32" s="12">
        <f t="shared" ref="O32:O37" si="14">M32*N32</f>
        <v>4950.0000000000009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>
        <f>23500*1.19</f>
        <v>27965</v>
      </c>
      <c r="L33" s="47"/>
      <c r="M33" s="249">
        <v>0.5</v>
      </c>
      <c r="N33" s="12">
        <v>23500</v>
      </c>
      <c r="O33" s="12">
        <f t="shared" si="14"/>
        <v>11750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35000</v>
      </c>
      <c r="O34" s="12">
        <f t="shared" si="14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>
        <f>N35*1.19</f>
        <v>45815</v>
      </c>
      <c r="L35" s="250"/>
      <c r="M35" s="14">
        <v>1</v>
      </c>
      <c r="N35" s="250">
        <v>38500</v>
      </c>
      <c r="O35" s="12">
        <f t="shared" si="14"/>
        <v>38500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>
        <f>SUM(K33:K35)</f>
        <v>73780</v>
      </c>
      <c r="L36" s="250"/>
      <c r="M36" s="249"/>
      <c r="N36" s="250">
        <v>900</v>
      </c>
      <c r="O36" s="12">
        <f t="shared" si="1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>
        <f>K36/1.19</f>
        <v>62000</v>
      </c>
      <c r="L37" s="250"/>
      <c r="M37" s="266">
        <v>2.75</v>
      </c>
      <c r="N37" s="12">
        <v>1000</v>
      </c>
      <c r="O37" s="12">
        <f t="shared" si="14"/>
        <v>2750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>
        <f>K36-K37</f>
        <v>11780</v>
      </c>
      <c r="L38" s="250"/>
      <c r="M38" s="14"/>
      <c r="N38" s="12"/>
      <c r="O38" s="12">
        <f>SUM(O32:O37)</f>
        <v>57950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O38*2.1</f>
        <v>121695</v>
      </c>
      <c r="P39" s="14" t="s">
        <v>140</v>
      </c>
      <c r="Q39" s="14"/>
      <c r="R39" s="40">
        <f>P30/R38</f>
        <v>0.53386540120793791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40000</v>
      </c>
      <c r="L40" s="250"/>
      <c r="M40" s="14"/>
      <c r="N40" s="12"/>
      <c r="O40" s="12">
        <f>O39/P28</f>
        <v>73754.545454545441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33613.445378151264</v>
      </c>
      <c r="L41" s="250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'2229'!G10</f>
        <v>00-04-2025</v>
      </c>
    </row>
    <row r="6" spans="2:31" ht="16.2" thickBot="1" x14ac:dyDescent="0.35">
      <c r="B6" s="140" t="s">
        <v>2</v>
      </c>
      <c r="C6" s="139" t="str">
        <f>'2229'!C10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11380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-11318.958366787439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144695</v>
      </c>
      <c r="E11" s="132">
        <f>D11*0.19</f>
        <v>27492.05</v>
      </c>
      <c r="F11" s="131">
        <f>E11+D11</f>
        <v>172187.05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94671.041633212561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46534.090787439614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76671.041633212561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98160.909212560393</v>
      </c>
      <c r="E13" s="221">
        <f>(D11/D12)-1</f>
        <v>2.1094407895696068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67671.041633212561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28671.041633212561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76781.249799275363</v>
      </c>
      <c r="F15" s="216">
        <f>E15-D12</f>
        <v>30247.159011835749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28671.041633212561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68671.041633212561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4950.0000000000009</v>
      </c>
      <c r="E20" s="121">
        <f>D20*0.19</f>
        <v>940.50000000000023</v>
      </c>
      <c r="F20" s="120">
        <f>SUM(D20:E20)</f>
        <v>5890.5000000000009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16700</v>
      </c>
      <c r="E21" s="116">
        <f>SUM(E18:E20)</f>
        <v>3173</v>
      </c>
      <c r="F21" s="115">
        <f>SUM(F18:F20)</f>
        <v>19873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24319.05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144695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16700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98160.909212560393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98160.909212560393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2025-04-03T19:07:06Z</dcterms:modified>
</cp:coreProperties>
</file>