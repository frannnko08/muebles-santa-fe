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6DF6E80A-CE5D-44BB-A69E-EBC7C98DD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H22" i="1"/>
  <c r="J15" i="1"/>
  <c r="J10" i="1"/>
  <c r="L21" i="1"/>
  <c r="N21" i="1" l="1"/>
  <c r="M21" i="1" l="1"/>
  <c r="S21" i="1" s="1"/>
  <c r="M25" i="1" l="1"/>
  <c r="T21" i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<sst xmlns="http://schemas.openxmlformats.org/spreadsheetml/2006/main" count="231" uniqueCount="175">
  <si>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</si>
  <si>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</si>
  <si>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</si>
  <si>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</si>
  <si>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</si>
  <si>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</si>
  <si>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</si>
  <si>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</si>
  <si>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</si>
  <si>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</si>
  <si>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</si>
  <si>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</si>
  <si>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</si>
  <si>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</si>
  <si>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</si>
  <si>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</si>
  <si>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</si>
  <si>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</si>
  <si>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</si>
  <si>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</si>
  <si>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</si>
  <si>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</si>
  <si>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</si>
  <si>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</si>
  <si>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</si>
  <si>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</si>
  <si>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</si>
  <si>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</si>
  <si>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</si>
  <si>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</si>
  <si>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</si>
  <si>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</si>
  <si>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</si>
  <si>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</si>
  <si>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</si>
  <si>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</si>
  <si>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</si>
  <si>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</si>
  <si>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</si>
  <si>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</si>
  <si>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</si>
  <si>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</si>
  <si>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</si>
  <si>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</si>
  <si>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</si>
  <si>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</si>
  <si>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</si>
  <si>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</si>
  <si>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</si>
  <si>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</si>
  <si>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</si>
  <si>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</si>
  <si>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</si>
  <si>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</si>
  <si>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</si>
  <si>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</si>
  <si>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</si>
  <si>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</si>
  <si>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</si>
  <si>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</si>
  <si>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</si>
  <si>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</si>
  <si>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</si>
  <si>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</si>
  <si>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</si>
  <si>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</si>
  <si>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</si>
  <si>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</si>
  <si>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</si>
  <si>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</si>
  <si>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</si>
  <si>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</si>
  <si>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</si>
  <si>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</si>
  <si>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</si>
  <si>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</si>
  <si>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</si>
  <si>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</si>
  <si>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</si>
  <si>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</si>
  <si>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</si>
  <si>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</si>
  <si>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</si>
  <si>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</si>
  <si>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</si>
  <si>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</si>
  <si>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</si>
  <si>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</si>
  <si>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</si>
  <si>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</si>
  <si>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</si>
  <si>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</si>
  <si>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</si>
  <si>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</si>
  <si>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</si>
  <si>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</si>
  <si>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</si>
  <si>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</si>
  <si>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</si>
  <si>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</si>
  <si>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</si>
  <si>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</si>
  <si>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</si>
  <si>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</si>
  <si>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</si>
  <si>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</si>
  <si>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</si>
  <si>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</si>
  <si>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</si>
  <si>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</si>
  <si>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</si>
  <si>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</si>
  <si>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</si>
  <si>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</si>
  <si>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</si>
  <si>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</si>
  <si>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</si>
  <si>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</si>
  <si>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</si>
  <si>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</si>
  <si>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</si>
  <si>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</si>
  <si>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</si>
  <si>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</si>
  <si>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</si>
  <si>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</si>
  <si>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</si>
  <si>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</si>
  <si>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</si>
  <si>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</si>
  <si>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</si>
  <si>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</si>
  <si>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</si>
  <si>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</si>
  <si>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</si>
  <si>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</si>
  <si>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</si>
  <si>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</si>
  <si>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</si>
  <si>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</si>
  <si>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</si>
  <si>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</si>
  <si>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</si>
  <si>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</si>
  <si>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</si>
  <si>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</si>
  <si>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</si>
  <si>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</si>
  <si>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</si>
  <si>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</si>
  <si>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</si>
  <si>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</si>
  <si>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</si>
  <si>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</si>
  <si>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</si>
  <si>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</si>
  <si>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</si>
  <si>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</si>
  <si>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</si>
  <si>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</si>
  <si>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</si>
  <si>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</si>
  <si>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</si>
  <si>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</si>
  <si>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</si>
  <si>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</si>
  <si>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</si>
  <si>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</si>
  <si>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</si>
  <si>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</si>
  <si>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</si>
  <si>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5 DIAS HABILES</t>
  </si>
  <si>
    <t>CUB CON RESPALDO FRENTE 90° R8</t>
  </si>
  <si>
    <t>VENETO 3173 MT</t>
  </si>
  <si>
    <t>N° 11395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</si>
</sst>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45761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93427.358490566054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172</v>
      </c>
      <c r="D21" s="333">
        <v>1.55</v>
      </c>
      <c r="E21" s="333">
        <v>0.6</v>
      </c>
      <c r="F21" s="330" t="s">
        <v>173</v>
      </c>
      <c r="G21" s="331">
        <v>92872</v>
      </c>
      <c r="H21" s="331">
        <f>G21*B21</f>
        <v>92872</v>
      </c>
      <c r="I21" s="320"/>
      <c r="J21" s="265"/>
      <c r="K21" s="47"/>
      <c r="L21" s="332">
        <f>B21</f>
        <v>1</v>
      </c>
      <c r="M21" s="39">
        <f>D21+M$19</f>
        <v>1.6300000000000001</v>
      </c>
      <c r="N21" s="39">
        <f>E21+$N$19</f>
        <v>0.6</v>
      </c>
      <c r="O21" s="261">
        <f t="shared" ref="O21" si="1">M21*N21</f>
        <v>0.97799999999999998</v>
      </c>
      <c r="P21" s="259">
        <f t="shared" ref="P21" si="2">O21*L21</f>
        <v>0.97799999999999998</v>
      </c>
      <c r="Q21" s="252">
        <f t="shared" ref="Q21" si="3">Q$20*O21</f>
        <v>91371.956603773593</v>
      </c>
      <c r="R21" s="319">
        <f t="shared" ref="R21" si="4">Q21+R$20</f>
        <v>92871.956603773593</v>
      </c>
      <c r="S21" s="297">
        <f>M21*L21</f>
        <v>1.6300000000000001</v>
      </c>
      <c r="T21" s="46">
        <f>M21*L21</f>
        <v>1.6300000000000001</v>
      </c>
      <c r="U21" s="9"/>
      <c r="X21" s="4"/>
    </row>
    <row r="22" spans="1:25" ht="17.399999999999999" x14ac:dyDescent="0.3">
      <c r="B22" s="330">
        <v>1</v>
      </c>
      <c r="C22" s="330" t="s">
        <v>172</v>
      </c>
      <c r="D22" s="333">
        <v>2</v>
      </c>
      <c r="E22" s="333">
        <v>0.6</v>
      </c>
      <c r="F22" s="330" t="s">
        <v>173</v>
      </c>
      <c r="G22" s="331">
        <v>118097</v>
      </c>
      <c r="H22" s="331">
        <f>G22*B22</f>
        <v>118097</v>
      </c>
      <c r="I22" s="320"/>
      <c r="J22" s="265"/>
      <c r="K22" s="47"/>
      <c r="L22" s="332">
        <f>B22</f>
        <v>1</v>
      </c>
      <c r="M22" s="39">
        <f>D22+M$19</f>
        <v>2.08</v>
      </c>
      <c r="N22" s="39">
        <f>E22+$N$19</f>
        <v>0.6</v>
      </c>
      <c r="O22" s="261">
        <f t="shared" ref="O22" si="5">M22*N22</f>
        <v>1.248</v>
      </c>
      <c r="P22" s="259">
        <f t="shared" ref="P22" si="6">O22*L22</f>
        <v>1.248</v>
      </c>
      <c r="Q22" s="252">
        <f t="shared" ref="Q22" si="7">Q$20*O22</f>
        <v>116597.34339622644</v>
      </c>
      <c r="R22" s="319">
        <f t="shared" ref="R22" si="8">Q22+R$20</f>
        <v>118097.34339622644</v>
      </c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210969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1.6300000000000001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40084.11</v>
      </c>
      <c r="I25" s="322"/>
      <c r="J25" s="265"/>
      <c r="K25" s="47"/>
      <c r="L25" s="47"/>
      <c r="M25" s="39">
        <f>SUM(M21:M24)</f>
        <v>3.71</v>
      </c>
      <c r="N25" s="12"/>
      <c r="O25" s="12"/>
      <c r="P25" s="253">
        <f>SUM(P21:P23)</f>
        <v>2.226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251053.11</v>
      </c>
      <c r="I26" s="322"/>
      <c r="J26" s="265"/>
      <c r="K26" s="47"/>
      <c r="L26" s="47"/>
      <c r="M26" s="39"/>
      <c r="N26" s="12"/>
      <c r="O26" s="12"/>
      <c r="P26" s="253">
        <f>P25</f>
        <v>2.226</v>
      </c>
      <c r="Q26" s="14"/>
      <c r="R26" s="12"/>
      <c r="S26" s="239">
        <f>SUM(S21:S25)</f>
        <v>1.6300000000000001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0.44520000000000004</v>
      </c>
      <c r="Q27" s="39" t="s">
        <v>130</v>
      </c>
      <c r="R27" s="42"/>
      <c r="S27" s="240">
        <f>S26+T24</f>
        <v>3.2600000000000002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2.6711999999999998</v>
      </c>
      <c r="Q28" s="14"/>
      <c r="R28" s="14"/>
      <c r="S28" s="238">
        <f>S27*20%</f>
        <v>0.65200000000000014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3.9120000000000004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2.6711999999999998</v>
      </c>
      <c r="N30" s="12">
        <v>2500</v>
      </c>
      <c r="O30" s="12">
        <f t="shared" ref="O30:O35" si="9">M30*N30</f>
        <v>6677.9999999999991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23500</v>
      </c>
      <c r="O31" s="12">
        <f t="shared" si="9"/>
        <v>23500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>
        <v>1</v>
      </c>
      <c r="N32" s="250">
        <v>67000</v>
      </c>
      <c r="O32" s="12">
        <f t="shared" si="9"/>
        <v>67000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/>
      <c r="N33" s="250">
        <v>22100</v>
      </c>
      <c r="O33" s="12">
        <f t="shared" si="9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3.71</v>
      </c>
      <c r="N35" s="12">
        <v>500</v>
      </c>
      <c r="O35" s="12">
        <f t="shared" si="9"/>
        <v>1855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99033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207969.30000000002</v>
      </c>
      <c r="P37" s="14" t="s">
        <v>140</v>
      </c>
      <c r="Q37" s="14"/>
      <c r="R37" s="40">
        <f>P28/R36</f>
        <v>0.72023295944779975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93427.358490566054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45761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11395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-233.17503345410901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210969</v>
      </c>
      <c r="E11" s="132">
        <f>D11*0.19</f>
        <v>40084.11</v>
      </c>
      <c r="F11" s="131">
        <f>E11+D11</f>
        <v>251053.11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105756.82496654589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127012.09078743961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87756.824966545886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83956.909212560393</v>
      </c>
      <c r="E13" s="221">
        <f>(D11/D12)-1</f>
        <v>0.66101509464217867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78756.824966545886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39756.824966545893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209569.94979927535</v>
      </c>
      <c r="F15" s="216">
        <f>E15-D12</f>
        <v>82557.859011835739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39756.824966545893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79756.824966545886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67000</v>
      </c>
      <c r="E18" s="123">
        <f>D18*0.19</f>
        <v>12730</v>
      </c>
      <c r="F18" s="120">
        <f>SUM(D18:E18)</f>
        <v>79730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6677.9999999999991</v>
      </c>
      <c r="E20" s="121">
        <f>D20*0.19</f>
        <v>1268.82</v>
      </c>
      <c r="F20" s="120">
        <f>SUM(D20:E20)</f>
        <v>7946.8199999999988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97178</v>
      </c>
      <c r="E21" s="116">
        <f>SUM(E18:E20)</f>
        <v>18463.82</v>
      </c>
      <c r="F21" s="115">
        <f>SUM(F18:F20)</f>
        <v>115641.81999999999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21620.29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210969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97178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83956.909212560393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83956.909212560393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2025-04-14T16:21:56Z</dcterms:modified>
</cp:coreProperties>
</file>