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BE78E282-F44D-4086-8EA2-9B7853060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<sst xmlns="http://schemas.openxmlformats.org/spreadsheetml/2006/main" count="228" uniqueCount="173">
  <si>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</si>
  <si>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</si>
  <si>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</si>
  <si>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</si>
  <si>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</si>
  <si>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</si>
  <si>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</si>
  <si>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</si>
  <si>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</si>
  <si>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</si>
  <si>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</si>
  <si>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</si>
  <si>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</si>
  <si>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</si>
  <si>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</si>
  <si>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</si>
  <si>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</si>
  <si>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</si>
  <si>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</si>
  <si>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</si>
  <si>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</si>
  <si>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</si>
  <si>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</si>
  <si>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</si>
  <si>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</si>
  <si>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</si>
  <si>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</si>
  <si>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</si>
  <si>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</si>
  <si>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</si>
  <si>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</si>
  <si>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</si>
  <si>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</si>
  <si>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</si>
  <si>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</si>
  <si>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</si>
  <si>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</si>
  <si>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</si>
  <si>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</si>
  <si>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</si>
  <si>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</si>
  <si>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</si>
  <si>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</si>
  <si>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</si>
  <si>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</si>
  <si>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</si>
  <si>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</si>
  <si>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</si>
  <si>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</si>
  <si>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</si>
  <si>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</si>
  <si>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</si>
  <si>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</si>
  <si>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</si>
  <si>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</si>
  <si>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</si>
  <si>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</si>
  <si>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</si>
  <si>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</si>
  <si>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</si>
  <si>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</si>
  <si>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</si>
  <si>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</si>
  <si>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</si>
  <si>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</si>
  <si>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</si>
  <si>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</si>
  <si>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</si>
  <si>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</si>
  <si>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</si>
  <si>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</si>
  <si>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</si>
  <si>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</si>
  <si>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</si>
  <si>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</si>
  <si>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</si>
  <si>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</si>
  <si>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</si>
  <si>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</si>
  <si>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</si>
  <si>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</si>
  <si>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</si>
  <si>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</si>
  <si>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</si>
  <si>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</si>
  <si>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</si>
  <si>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</si>
  <si>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</si>
  <si>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</si>
  <si>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</si>
  <si>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</si>
  <si>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</si>
  <si>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</si>
  <si>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</si>
  <si>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</si>
  <si>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</si>
  <si>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</si>
  <si>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</si>
  <si>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</si>
  <si>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</si>
  <si>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</si>
  <si>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</si>
  <si>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</si>
  <si>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</si>
  <si>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</si>
  <si>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</si>
  <si>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</si>
  <si>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</si>
  <si>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</si>
  <si>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</si>
  <si>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</si>
  <si>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</si>
  <si>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</si>
  <si>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</si>
  <si>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</si>
  <si>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</si>
  <si>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</si>
  <si>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</si>
  <si>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</si>
  <si>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</si>
  <si>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</si>
  <si>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</si>
  <si>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</si>
  <si>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</si>
  <si>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</si>
  <si>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</si>
  <si>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</si>
  <si>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</si>
  <si>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</si>
  <si>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</si>
  <si>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</si>
  <si>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</si>
  <si>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</si>
  <si>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</si>
  <si>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</si>
  <si>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</si>
  <si>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</si>
  <si>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</si>
  <si>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</si>
  <si>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</si>
  <si>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</si>
  <si>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</si>
  <si>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</si>
  <si>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</si>
  <si>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</si>
  <si>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</si>
  <si>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</si>
  <si>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</si>
  <si>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</si>
  <si>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</si>
  <si>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</si>
  <si>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</si>
  <si>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</si>
  <si>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</si>
  <si>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</si>
  <si>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</si>
  <si>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</si>
  <si>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</si>
  <si>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</si>
  <si>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</si>
  <si>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</si>
  <si>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</si>
  <si>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</si>
  <si>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</si>
  <si>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</si>
  <si>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</si>
  <si>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</si>
  <si>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 xml:space="preserve">ENCHAPE RECTO 1 CARA </t>
  </si>
  <si>
    <t>PP-92 TX GELO</t>
  </si>
  <si>
    <t>PIA SALAS</t>
  </si>
  <si>
    <t>569 9732 8476</t>
  </si>
  <si>
    <t>SI</t>
  </si>
  <si>
    <t>N° 11400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</si>
</sst>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ENCHPADA CON CHAPA MADERA COLOR ENCINA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2.66406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169</v>
      </c>
      <c r="D10" s="243"/>
      <c r="E10" s="243"/>
      <c r="F10" s="244" t="s">
        <v>0</v>
      </c>
      <c r="G10" s="276">
        <v>45763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166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171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101692.80701754386</v>
      </c>
      <c r="R20" s="258">
        <v>10000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167</v>
      </c>
      <c r="D21" s="331">
        <v>2.2000000000000002</v>
      </c>
      <c r="E21" s="331">
        <v>0.6</v>
      </c>
      <c r="F21" s="330" t="s">
        <v>168</v>
      </c>
      <c r="G21" s="332">
        <v>149116</v>
      </c>
      <c r="H21" s="332">
        <f>G21*B21</f>
        <v>149116</v>
      </c>
      <c r="I21" s="320"/>
      <c r="J21" s="265"/>
      <c r="K21" s="47"/>
      <c r="L21" s="47">
        <f>B21</f>
        <v>1</v>
      </c>
      <c r="M21" s="39">
        <f>D21+M$19</f>
        <v>2.2800000000000002</v>
      </c>
      <c r="N21" s="39">
        <f>E21+$N$19</f>
        <v>0.6</v>
      </c>
      <c r="O21" s="261">
        <f t="shared" ref="O21" si="1">M21*N21</f>
        <v>1.3680000000000001</v>
      </c>
      <c r="P21" s="259">
        <f t="shared" ref="P21" si="2">O21*L21</f>
        <v>1.3680000000000001</v>
      </c>
      <c r="Q21" s="252">
        <f t="shared" ref="Q21" si="3">Q$20*O21</f>
        <v>139115.76</v>
      </c>
      <c r="R21" s="319">
        <f t="shared" ref="R21" si="4">Q21+R$20</f>
        <v>149115.76</v>
      </c>
      <c r="S21" s="297">
        <f>M21*L21</f>
        <v>2.2800000000000002</v>
      </c>
      <c r="T21" s="46">
        <f>N21*2*L21*2</f>
        <v>2.4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27</v>
      </c>
      <c r="H24" s="325">
        <f>SUM(H21:H23)</f>
        <v>149116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50</v>
      </c>
      <c r="H25" s="294">
        <f>H24*19%</f>
        <v>28332.04</v>
      </c>
      <c r="I25" s="322"/>
      <c r="J25" s="265"/>
      <c r="K25" s="47"/>
      <c r="L25" s="47"/>
      <c r="M25" s="39">
        <f>SUM(M21:M21)</f>
        <v>2.2800000000000002</v>
      </c>
      <c r="N25" s="12"/>
      <c r="O25" s="12"/>
      <c r="P25" s="253">
        <f>SUM(P21:P23)</f>
        <v>1.3680000000000001</v>
      </c>
      <c r="Q25" s="14"/>
      <c r="R25" s="12"/>
      <c r="S25" s="239">
        <f>SUM(S21:S24)</f>
        <v>2.2800000000000002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177448.04</v>
      </c>
      <c r="I26" s="322"/>
      <c r="J26" s="265"/>
      <c r="K26" s="47"/>
      <c r="L26" s="47"/>
      <c r="M26" s="39"/>
      <c r="N26" s="12"/>
      <c r="O26" s="12"/>
      <c r="P26" s="253">
        <f>P25</f>
        <v>1.3680000000000001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0.27360000000000001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1.6416000000000002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150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1.6416000000000002</v>
      </c>
      <c r="N30" s="12">
        <v>3500</v>
      </c>
      <c r="O30" s="12">
        <f t="shared" ref="O30:O35" si="5">M30*N30</f>
        <v>5745.6</v>
      </c>
      <c r="P30" s="14" t="s">
        <v>21</v>
      </c>
      <c r="Q30" s="14"/>
      <c r="R30" s="14"/>
      <c r="S30" s="241"/>
      <c r="T30" s="14"/>
      <c r="U30" s="302" t="s">
        <v>151</v>
      </c>
      <c r="V30" s="299">
        <v>3625</v>
      </c>
      <c r="W30" s="59" t="s">
        <v>152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45000</v>
      </c>
      <c r="O31" s="12">
        <f t="shared" si="5"/>
        <v>22500</v>
      </c>
      <c r="P31" s="39" t="s">
        <v>30</v>
      </c>
      <c r="Q31" s="42"/>
      <c r="R31" s="14"/>
      <c r="S31" s="240"/>
      <c r="T31" s="14"/>
      <c r="U31" s="302"/>
      <c r="V31" s="59">
        <v>906.25</v>
      </c>
      <c r="W31" s="59" t="s">
        <v>153</v>
      </c>
      <c r="X31" s="304"/>
    </row>
    <row r="32" spans="1:25" s="230" customFormat="1" ht="17.399999999999999" x14ac:dyDescent="0.35">
      <c r="B32" s="24" t="s">
        <v>149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29</v>
      </c>
      <c r="Q32" s="42"/>
      <c r="S32" s="240"/>
      <c r="T32" s="256"/>
      <c r="U32" s="59"/>
      <c r="V32" s="59">
        <f>V31*20%</f>
        <v>181.25</v>
      </c>
      <c r="W32" s="304" t="s">
        <v>154</v>
      </c>
      <c r="X32" s="59"/>
    </row>
    <row r="33" spans="2:24" s="230" customFormat="1" ht="17.399999999999999" x14ac:dyDescent="0.35">
      <c r="B33" s="24" t="s">
        <v>165</v>
      </c>
      <c r="C33"/>
      <c r="D33"/>
      <c r="E33"/>
      <c r="F33"/>
      <c r="J33" s="262"/>
      <c r="K33" s="232"/>
      <c r="L33" s="250"/>
      <c r="M33" s="14">
        <v>1</v>
      </c>
      <c r="N33" s="250">
        <v>38000</v>
      </c>
      <c r="O33" s="12">
        <f t="shared" si="5"/>
        <v>38000</v>
      </c>
      <c r="P33" s="14" t="s">
        <v>140</v>
      </c>
      <c r="Q33" s="17"/>
      <c r="S33" s="238"/>
      <c r="T33" s="256"/>
      <c r="U33" s="59"/>
      <c r="V33" s="59">
        <f>V31+V32</f>
        <v>1087.5</v>
      </c>
      <c r="W33" s="304" t="s">
        <v>155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31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66245.600000000006</v>
      </c>
      <c r="P36" s="39">
        <v>0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32</v>
      </c>
      <c r="N37" s="12"/>
      <c r="O37" s="255">
        <f>O36*2.1</f>
        <v>139115.76</v>
      </c>
      <c r="P37" s="14" t="s">
        <v>139</v>
      </c>
      <c r="Q37" s="14"/>
      <c r="R37" s="40">
        <f>P28/R36</f>
        <v>0.44262295081967218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31030</v>
      </c>
      <c r="L38" s="250"/>
      <c r="M38" s="14"/>
      <c r="N38" s="12"/>
      <c r="O38" s="12">
        <f>O37/P26</f>
        <v>101692.80701754386</v>
      </c>
      <c r="P38" s="45" t="s">
        <v>23</v>
      </c>
      <c r="Q38" s="14"/>
      <c r="R38" s="14"/>
      <c r="S38"/>
      <c r="T38" s="238"/>
      <c r="U38" s="59" t="s">
        <v>156</v>
      </c>
      <c r="V38" s="299">
        <v>43650</v>
      </c>
    </row>
    <row r="39" spans="2:24" s="230" customFormat="1" ht="17.399999999999999" x14ac:dyDescent="0.35">
      <c r="G39"/>
      <c r="K39" s="230">
        <f>K38/1.19</f>
        <v>26075.63025210084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158</v>
      </c>
      <c r="V39" s="300" t="s">
        <v>157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159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154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25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146</v>
      </c>
    </row>
    <row r="74" spans="3:15" x14ac:dyDescent="0.3">
      <c r="C74" t="s">
        <v>145</v>
      </c>
    </row>
    <row r="77" spans="3:15" x14ac:dyDescent="0.3">
      <c r="C77" t="s">
        <v>145</v>
      </c>
    </row>
    <row r="154" spans="3:3" x14ac:dyDescent="0.3">
      <c r="C154" t="s">
        <v>145</v>
      </c>
    </row>
    <row r="155" spans="3:3" x14ac:dyDescent="0.3">
      <c r="C155" t="s">
        <v>147</v>
      </c>
    </row>
    <row r="156" spans="3:3" x14ac:dyDescent="0.3">
      <c r="C156" t="s">
        <v>148</v>
      </c>
    </row>
    <row r="581" spans="3:3" x14ac:dyDescent="0.3">
      <c r="C581" t="s">
        <v>145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45763</v>
      </c>
    </row>
    <row r="6" spans="2:31" ht="16.2" thickBot="1" x14ac:dyDescent="0.35">
      <c r="B6" s="140" t="s">
        <v>2</v>
      </c>
      <c r="C6" s="139" t="str">
        <f>'2229'!C10</f>
        <v>PIA SALAS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11400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-8880.7517001207743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149116</v>
      </c>
      <c r="E11" s="132">
        <f>D11*0.19</f>
        <v>28332.04</v>
      </c>
      <c r="F11" s="131">
        <f>E11+D11</f>
        <v>177448.04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97109.248299879226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58079.690787439613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79109.248299879226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91036.309212560387</v>
      </c>
      <c r="E13" s="221">
        <f>(D11/D12)-1</f>
        <v>1.5674379112267589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70109.248299879226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31109.248299879226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95831.489799275354</v>
      </c>
      <c r="F15" s="216">
        <f>E15-D12</f>
        <v>37751.799011835741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31109.248299879226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71109.248299879226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5745.6</v>
      </c>
      <c r="E20" s="121">
        <f>D20*0.19</f>
        <v>1091.664</v>
      </c>
      <c r="F20" s="120">
        <f>SUM(D20:E20)</f>
        <v>6837.2640000000001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28245.599999999999</v>
      </c>
      <c r="E21" s="116">
        <f>SUM(E18:E20)</f>
        <v>5366.6639999999998</v>
      </c>
      <c r="F21" s="115">
        <f>SUM(F18:F20)</f>
        <v>33612.264000000003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22965.376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149116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28245.599999999999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91036.309212560387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91036.309212560387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2025-04-16T21:22:20Z</cp:lastPrinted>
  <dcterms:created xsi:type="dcterms:W3CDTF">2013-03-18T13:35:42Z</dcterms:created>
  <dcterms:modified xsi:type="dcterms:W3CDTF">2025-04-16T21:25:33Z</dcterms:modified>
</cp:coreProperties>
</file>