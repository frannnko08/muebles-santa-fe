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BC56E115-0605-45F0-9396-1DC7E36955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'2229'!$B$1:$I$52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1" l="1"/>
  <c r="I22" i="1"/>
  <c r="I23" i="1"/>
  <c r="I24" i="1"/>
  <c r="I25" i="1"/>
  <c r="I26" i="1"/>
  <c r="I27" i="1"/>
  <c r="I28" i="1"/>
  <c r="I29" i="1"/>
  <c r="O29" i="1"/>
  <c r="P29" i="1" s="1"/>
  <c r="N29" i="1"/>
  <c r="M29" i="1"/>
  <c r="L29" i="1"/>
  <c r="N28" i="1"/>
  <c r="O28" i="1" s="1"/>
  <c r="P28" i="1" s="1"/>
  <c r="M28" i="1"/>
  <c r="L28" i="1"/>
  <c r="N27" i="1"/>
  <c r="M27" i="1"/>
  <c r="O27" i="1" s="1"/>
  <c r="P27" i="1" s="1"/>
  <c r="L27" i="1"/>
  <c r="N26" i="1"/>
  <c r="M26" i="1"/>
  <c r="O26" i="1" s="1"/>
  <c r="P26" i="1" s="1"/>
  <c r="L26" i="1"/>
  <c r="O25" i="1"/>
  <c r="P25" i="1" s="1"/>
  <c r="N25" i="1"/>
  <c r="M25" i="1"/>
  <c r="L25" i="1"/>
  <c r="M36" i="1"/>
  <c r="N36" i="1"/>
  <c r="M37" i="1"/>
  <c r="N37" i="1"/>
  <c r="L22" i="1"/>
  <c r="M22" i="1"/>
  <c r="N22" i="1"/>
  <c r="L23" i="1"/>
  <c r="M23" i="1"/>
  <c r="N23" i="1"/>
  <c r="L24" i="1"/>
  <c r="M24" i="1"/>
  <c r="N24" i="1"/>
  <c r="N35" i="1"/>
  <c r="M35" i="1"/>
  <c r="I38" i="1"/>
  <c r="I36" i="1"/>
  <c r="O22" i="1" l="1"/>
  <c r="P22" i="1" s="1"/>
  <c r="O37" i="1"/>
  <c r="O23" i="1"/>
  <c r="P23" i="1" s="1"/>
  <c r="O24" i="1"/>
  <c r="P24" i="1" s="1"/>
  <c r="O36" i="1"/>
  <c r="P36" i="1" s="1"/>
  <c r="P37" i="1"/>
  <c r="S35" i="1"/>
  <c r="O35" i="1"/>
  <c r="P35" i="1" s="1"/>
  <c r="N33" i="1"/>
  <c r="M33" i="1"/>
  <c r="M30" i="1"/>
  <c r="N30" i="1"/>
  <c r="M31" i="1"/>
  <c r="N31" i="1"/>
  <c r="M32" i="1"/>
  <c r="N32" i="1"/>
  <c r="M34" i="1"/>
  <c r="N34" i="1"/>
  <c r="L21" i="1"/>
  <c r="S34" i="1" l="1"/>
  <c r="S33" i="1"/>
  <c r="O30" i="1"/>
  <c r="P30" i="1" s="1"/>
  <c r="S32" i="1"/>
  <c r="O33" i="1"/>
  <c r="P33" i="1" s="1"/>
  <c r="S30" i="1"/>
  <c r="O32" i="1"/>
  <c r="P32" i="1" s="1"/>
  <c r="O34" i="1"/>
  <c r="P34" i="1" s="1"/>
  <c r="O31" i="1"/>
  <c r="P31" i="1" s="1"/>
  <c r="S31" i="1"/>
  <c r="M21" i="1"/>
  <c r="S21" i="1" s="1"/>
  <c r="N21" i="1"/>
  <c r="M40" i="1" l="1"/>
  <c r="T21" i="1"/>
  <c r="O21" i="1"/>
  <c r="P21" i="1" s="1"/>
  <c r="P41" i="1" s="1"/>
  <c r="V48" i="1"/>
  <c r="V49" i="1" s="1"/>
  <c r="S42" i="1" l="1"/>
  <c r="O47" i="1"/>
  <c r="P42" i="1" l="1"/>
  <c r="P43" i="1" s="1"/>
  <c r="P44" i="1" s="1"/>
  <c r="M46" i="1" s="1"/>
  <c r="N20" i="1"/>
  <c r="L20" i="1"/>
  <c r="O48" i="1" l="1"/>
  <c r="R52" i="1"/>
  <c r="O4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51" i="1"/>
  <c r="O50" i="1"/>
  <c r="F18" i="3" l="1"/>
  <c r="O46" i="1" l="1"/>
  <c r="R53" i="1"/>
  <c r="O52" i="1" l="1"/>
  <c r="O53" i="1" s="1"/>
  <c r="D20" i="3"/>
  <c r="E20" i="3" s="1"/>
  <c r="E21" i="3" s="1"/>
  <c r="O55" i="1" l="1"/>
  <c r="D21" i="3"/>
  <c r="M43" i="3" s="1"/>
  <c r="D12" i="3" s="1"/>
  <c r="F20" i="3"/>
  <c r="F21" i="3" s="1"/>
  <c r="O54" i="1" l="1"/>
  <c r="Q20" i="1" s="1"/>
  <c r="E15" i="3"/>
  <c r="Q28" i="1" l="1"/>
  <c r="R28" i="1" s="1"/>
  <c r="Q26" i="1"/>
  <c r="R26" i="1" s="1"/>
  <c r="Q27" i="1"/>
  <c r="R27" i="1" s="1"/>
  <c r="Q29" i="1"/>
  <c r="R29" i="1" s="1"/>
  <c r="Q25" i="1"/>
  <c r="R25" i="1" s="1"/>
  <c r="Q37" i="1"/>
  <c r="R37" i="1" s="1"/>
  <c r="Q36" i="1"/>
  <c r="R36" i="1" s="1"/>
  <c r="Q23" i="1"/>
  <c r="R23" i="1" s="1"/>
  <c r="Q22" i="1"/>
  <c r="R22" i="1" s="1"/>
  <c r="Q24" i="1"/>
  <c r="R24" i="1" s="1"/>
  <c r="Q33" i="1"/>
  <c r="R33" i="1" s="1"/>
  <c r="Q35" i="1"/>
  <c r="Q34" i="1"/>
  <c r="Q30" i="1"/>
  <c r="Q32" i="1"/>
  <c r="Q31" i="1"/>
  <c r="Q21" i="1"/>
  <c r="F15" i="3"/>
  <c r="I33" i="1" l="1"/>
  <c r="H35" i="1"/>
  <c r="I35" i="1" s="1"/>
  <c r="R35" i="1"/>
  <c r="R30" i="1"/>
  <c r="I30" i="1"/>
  <c r="I21" i="1"/>
  <c r="R34" i="1"/>
  <c r="I34" i="1"/>
  <c r="R31" i="1"/>
  <c r="I31" i="1"/>
  <c r="R32" i="1"/>
  <c r="I32" i="1"/>
  <c r="R21" i="1"/>
  <c r="I40" i="1" l="1"/>
  <c r="I41" i="1" s="1"/>
  <c r="D11" i="3" l="1"/>
  <c r="X9" i="3" s="1"/>
  <c r="X15" i="3" s="1"/>
  <c r="I42" i="1"/>
  <c r="E11" i="3" l="1"/>
  <c r="D40" i="3" s="1"/>
  <c r="X11" i="3"/>
  <c r="X16" i="3"/>
  <c r="X13" i="3"/>
  <c r="E13" i="3"/>
  <c r="M42" i="3"/>
  <c r="M46" i="3" s="1"/>
  <c r="M49" i="3" s="1"/>
  <c r="D13" i="3"/>
  <c r="X12" i="3"/>
  <c r="X14" i="3"/>
  <c r="F11" i="3"/>
</calcChain>
</file>

<file path=xl/sharedStrings.xml><?xml version="1.0" encoding="utf-8"?>
<sst xmlns="http://schemas.openxmlformats.org/spreadsheetml/2006/main" count="284" uniqueCount="196">
  <si>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</si>
  <si>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</si>
  <si>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</si>
  <si>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</si>
  <si>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</si>
  <si>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</si>
  <si>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</si>
  <si>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</si>
  <si>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</si>
  <si>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</si>
  <si>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</si>
  <si>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</si>
  <si>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</si>
  <si>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</si>
  <si>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</si>
  <si>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</si>
  <si>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</si>
  <si>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</si>
  <si>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</si>
  <si>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</si>
  <si>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</si>
  <si>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</si>
  <si>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</si>
  <si>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</si>
  <si>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</si>
  <si>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</si>
  <si>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</si>
  <si>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</si>
  <si>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</si>
  <si>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</si>
  <si>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</si>
  <si>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</si>
  <si>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</si>
  <si>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</si>
  <si>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</si>
  <si>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</si>
  <si>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</si>
  <si>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</si>
  <si>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</si>
  <si>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</si>
  <si>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</si>
  <si>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</si>
  <si>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</si>
  <si>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</si>
  <si>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</si>
  <si>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</si>
  <si>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</si>
  <si>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</si>
  <si>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</si>
  <si>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</si>
  <si>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</si>
  <si>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</si>
  <si>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</si>
  <si>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</si>
  <si>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</si>
  <si>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</si>
  <si>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</si>
  <si>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</si>
  <si>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</si>
  <si>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</si>
  <si>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</si>
  <si>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</si>
  <si>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</si>
  <si>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</si>
  <si>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</si>
  <si>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</si>
  <si>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</si>
  <si>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</si>
  <si>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</si>
  <si>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</si>
  <si>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</si>
  <si>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</si>
  <si>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</si>
  <si>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</si>
  <si>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</si>
  <si>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</si>
  <si>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</si>
  <si>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</si>
  <si>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</si>
  <si>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</si>
  <si>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</si>
  <si>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</si>
  <si>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</si>
  <si>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</si>
  <si>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</si>
  <si>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</si>
  <si>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</si>
  <si>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</si>
  <si>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</si>
  <si>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</si>
  <si>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</si>
  <si>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</si>
  <si>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</si>
  <si>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</si>
  <si>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</si>
  <si>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</si>
  <si>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</si>
  <si>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</si>
  <si>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</si>
  <si>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</si>
  <si>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</si>
  <si>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</si>
  <si>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</si>
  <si>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</si>
  <si>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</si>
  <si>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</si>
  <si>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</si>
  <si>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</si>
  <si>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</si>
  <si>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</si>
  <si>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</si>
  <si>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</si>
  <si>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</si>
  <si>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</si>
  <si>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</si>
  <si>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</si>
  <si>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</si>
  <si>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</si>
  <si>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</si>
  <si>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</si>
  <si>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</si>
  <si>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</si>
  <si>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</si>
  <si>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</si>
  <si>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</si>
  <si>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</si>
  <si>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</si>
  <si>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</si>
  <si>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</si>
  <si>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</si>
  <si>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</si>
  <si>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</si>
  <si>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</si>
  <si>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</si>
  <si>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</si>
  <si>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</si>
  <si>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</si>
  <si>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</si>
  <si>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</si>
  <si>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</si>
  <si>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</si>
  <si>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</si>
  <si>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</si>
  <si>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</si>
  <si>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</si>
  <si>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</si>
  <si>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</si>
  <si>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</si>
  <si>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</si>
  <si>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</si>
  <si>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</si>
  <si>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</si>
  <si>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</si>
  <si>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</si>
  <si>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</si>
  <si>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</si>
  <si>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</si>
  <si>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</si>
  <si>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</si>
  <si>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</si>
  <si>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</si>
  <si>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</si>
  <si>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</si>
  <si>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</si>
  <si>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ESKELETOR</t>
  </si>
  <si>
    <t>SANTIAGO</t>
  </si>
  <si>
    <t>DURACION COTIZACION: 5 DIAS                            FRANCO DONOSO</t>
  </si>
  <si>
    <t>5 DIAS HABILES</t>
  </si>
  <si>
    <t>CUBIERTA CON RESPALDO 90°</t>
  </si>
  <si>
    <t>BLANCO POLAR</t>
  </si>
  <si>
    <t>CORTE 45°</t>
  </si>
  <si>
    <t>N° 11397</t>
  </si>
  <si>
    <t>77.396.090-9</t>
  </si>
  <si>
    <t>+569 37274807</t>
  </si>
  <si>
    <t>RICARDO VIDAL</t>
  </si>
  <si>
    <t>SERVICIO INSTALACION</t>
  </si>
  <si>
    <t>ABONO 40% SALDO C/ENTREGA</t>
  </si>
  <si>
    <t>SI</t>
  </si>
  <si>
    <t>M07</t>
  </si>
  <si>
    <t>M08</t>
  </si>
  <si>
    <t>FALDON</t>
  </si>
  <si>
    <t>M06</t>
  </si>
  <si>
    <t>M03</t>
  </si>
  <si>
    <t>M02</t>
  </si>
  <si>
    <t>M01</t>
  </si>
  <si>
    <t>E/R 1 CARA MDF 18MM</t>
  </si>
  <si>
    <t>E/R 2 CARAS MDF 40MM SOBRE CUBIERTA</t>
  </si>
  <si>
    <t xml:space="preserve">E/R 2 CARA MDF 18MM CUBIERTA </t>
  </si>
  <si>
    <t>E/R 2 CARA MDF 40MM CUBIERTA MINUSVALIDOS</t>
  </si>
  <si>
    <t>E/R 1 CARA MDF 18MM LATERAL</t>
  </si>
  <si>
    <t>E/R 1 CARA MDF 18MM FRONTON</t>
  </si>
  <si>
    <t>PJE. JULIO MONTT 65698 LA CISTERNA</t>
  </si>
  <si>
    <t>CONSTRUCCIONES VIENTOS DEL SUR LTDA.</t>
  </si>
  <si>
    <t>CONSTRUCCION</t>
  </si>
  <si>
    <t>CVS.LTDA@HOTMAIL.COM</t>
  </si>
  <si>
    <t>CUBIERTA SIN RESPALDO 90°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</si>
</sst>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0" fontId="24" fillId="20" borderId="3" xfId="0" applyFont="1" applyFill="1" applyBorder="1" applyAlignment="1">
      <alignment horizontal="center"/>
    </xf>
    <xf numFmtId="0" fontId="32" fillId="0" borderId="28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0" fillId="8" borderId="0" xfId="0" quotePrefix="1" applyFill="1"/>
    <xf numFmtId="0" fontId="32" fillId="0" borderId="25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2" fillId="0" borderId="35" xfId="0" applyFont="1" applyBorder="1" applyAlignment="1">
      <alignment horizontal="center" vertical="center"/>
    </xf>
    <xf numFmtId="167" fontId="0" fillId="21" borderId="0" xfId="0" applyNumberFormat="1" applyFill="1"/>
    <xf numFmtId="166" fontId="3" fillId="21" borderId="0" xfId="0" applyNumberFormat="1" applyFont="1" applyFill="1"/>
    <xf numFmtId="167" fontId="0" fillId="22" borderId="0" xfId="0" applyNumberFormat="1" applyFill="1"/>
    <xf numFmtId="166" fontId="3" fillId="22" borderId="0" xfId="0" applyNumberFormat="1" applyFont="1" applyFill="1"/>
    <xf numFmtId="0" fontId="37" fillId="0" borderId="1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</xdr:colOff>
      <xdr:row>44</xdr:row>
      <xdr:rowOff>26670</xdr:rowOff>
    </xdr:from>
    <xdr:to>
      <xdr:col>8</xdr:col>
      <xdr:colOff>1034435</xdr:colOff>
      <xdr:row>47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46</xdr:row>
      <xdr:rowOff>154305</xdr:rowOff>
    </xdr:from>
    <xdr:to>
      <xdr:col>8</xdr:col>
      <xdr:colOff>853440</xdr:colOff>
      <xdr:row>46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44</xdr:row>
      <xdr:rowOff>9525</xdr:rowOff>
    </xdr:from>
    <xdr:to>
      <xdr:col>6</xdr:col>
      <xdr:colOff>1714500</xdr:colOff>
      <xdr:row>47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38</xdr:row>
      <xdr:rowOff>222558</xdr:rowOff>
    </xdr:from>
    <xdr:to>
      <xdr:col>6</xdr:col>
      <xdr:colOff>1659644</xdr:colOff>
      <xdr:row>42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 SOBRE MEDIDAS EN EL LARGO</a:t>
          </a:r>
        </a:p>
        <a:p>
          <a:pPr algn="l"/>
          <a:r>
            <a:rPr lang="es-CL" sz="1200" b="1" baseline="0"/>
            <a:t>FALDON DE 5cm Y RESPALDO DE 10cm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VS.LTDA@HOT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597"/>
  <sheetViews>
    <sheetView tabSelected="1" topLeftCell="A14" zoomScale="93" zoomScaleNormal="93" workbookViewId="0">
      <selection activeCell="C34" sqref="C34"/>
    </sheetView>
  </sheetViews>
  <sheetFormatPr baseColWidth="10" defaultRowHeight="14.4" x14ac:dyDescent="0.3"/>
  <cols>
    <col min="1" max="1" width="6" customWidth="1"/>
    <col min="2" max="2" width="10.5546875" customWidth="1"/>
    <col min="3" max="3" width="44.33203125" customWidth="1"/>
    <col min="4" max="4" width="11.109375" customWidth="1"/>
    <col min="5" max="6" width="10.5546875" customWidth="1"/>
    <col min="7" max="7" width="27" customWidth="1"/>
    <col min="8" max="8" width="14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G2" s="242" t="s">
        <v>143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G3" s="59" t="s">
        <v>139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G4" s="59" t="s">
        <v>144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G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G6" s="59" t="s">
        <v>15</v>
      </c>
      <c r="O6" s="33" t="s">
        <v>20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G7" s="59" t="s">
        <v>125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01" t="s">
        <v>127</v>
      </c>
      <c r="C8" s="302"/>
      <c r="D8" s="324" t="s">
        <v>171</v>
      </c>
      <c r="G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18" t="s">
        <v>163</v>
      </c>
      <c r="C10" s="279" t="s">
        <v>192</v>
      </c>
      <c r="D10" s="243"/>
      <c r="E10" s="243"/>
      <c r="F10" s="243"/>
      <c r="G10" s="244" t="s">
        <v>0</v>
      </c>
      <c r="H10" s="277">
        <v>45761</v>
      </c>
      <c r="I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8" t="s">
        <v>12</v>
      </c>
      <c r="C11" s="311" t="s">
        <v>172</v>
      </c>
      <c r="G11" t="s">
        <v>124</v>
      </c>
      <c r="H11" s="289" t="s">
        <v>167</v>
      </c>
      <c r="I11" s="290"/>
      <c r="Q11" s="19"/>
      <c r="R11" s="25" t="s">
        <v>19</v>
      </c>
      <c r="S11" s="19"/>
    </row>
    <row r="12" spans="2:24" ht="16.8" x14ac:dyDescent="0.4">
      <c r="B12" s="246" t="s">
        <v>146</v>
      </c>
      <c r="C12" s="322" t="s">
        <v>193</v>
      </c>
      <c r="D12" s="247"/>
      <c r="E12" s="247"/>
      <c r="F12" s="247"/>
      <c r="G12" s="247" t="s">
        <v>128</v>
      </c>
      <c r="H12" s="278" t="s">
        <v>136</v>
      </c>
      <c r="I12" s="248"/>
      <c r="Q12" s="19"/>
      <c r="R12" s="25"/>
      <c r="S12" s="19"/>
    </row>
    <row r="13" spans="2:24" x14ac:dyDescent="0.3">
      <c r="B13" s="246" t="s">
        <v>147</v>
      </c>
      <c r="C13" s="330" t="s">
        <v>174</v>
      </c>
      <c r="D13" s="247"/>
      <c r="E13" s="247"/>
      <c r="F13" s="247"/>
      <c r="G13" s="247"/>
      <c r="H13" s="278"/>
      <c r="I13" s="248"/>
      <c r="Q13" s="19"/>
      <c r="R13" s="25"/>
      <c r="S13" s="19"/>
    </row>
    <row r="14" spans="2:24" x14ac:dyDescent="0.3">
      <c r="B14" s="288" t="s">
        <v>140</v>
      </c>
      <c r="C14" s="306" t="s">
        <v>194</v>
      </c>
      <c r="G14" s="29" t="s">
        <v>137</v>
      </c>
      <c r="H14" s="291" t="s">
        <v>136</v>
      </c>
      <c r="I14" s="290"/>
      <c r="K14" s="29"/>
      <c r="Q14" s="20"/>
      <c r="R14" s="26" t="s">
        <v>18</v>
      </c>
      <c r="S14" s="20"/>
    </row>
    <row r="15" spans="2:24" ht="15.6" x14ac:dyDescent="0.3">
      <c r="B15" s="246" t="s">
        <v>4</v>
      </c>
      <c r="C15" s="323" t="s">
        <v>173</v>
      </c>
      <c r="D15" s="295"/>
      <c r="E15" s="247"/>
      <c r="F15" s="247"/>
      <c r="G15" s="247" t="s">
        <v>135</v>
      </c>
      <c r="H15" s="296" t="s">
        <v>177</v>
      </c>
      <c r="I15" s="248"/>
      <c r="L15" s="18" t="s">
        <v>164</v>
      </c>
    </row>
    <row r="16" spans="2:24" ht="16.8" x14ac:dyDescent="0.4">
      <c r="B16" s="292" t="s">
        <v>3</v>
      </c>
      <c r="C16" s="311" t="s">
        <v>191</v>
      </c>
      <c r="G16" s="293" t="s">
        <v>130</v>
      </c>
      <c r="H16" s="294" t="s">
        <v>176</v>
      </c>
      <c r="I16" s="290"/>
    </row>
    <row r="17" spans="2:25" ht="15" thickBot="1" x14ac:dyDescent="0.35">
      <c r="B17" s="297" t="s">
        <v>13</v>
      </c>
      <c r="C17" s="298" t="s">
        <v>165</v>
      </c>
      <c r="D17" s="299"/>
      <c r="E17" s="300"/>
      <c r="F17" s="300"/>
      <c r="G17" s="339" t="s">
        <v>166</v>
      </c>
      <c r="H17" s="339"/>
      <c r="I17" s="340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x14ac:dyDescent="0.3">
      <c r="B19" s="341" t="s">
        <v>148</v>
      </c>
      <c r="C19" s="342"/>
      <c r="D19" s="342"/>
      <c r="E19" s="342"/>
      <c r="F19" s="342"/>
      <c r="G19" s="342"/>
      <c r="H19" s="342"/>
      <c r="I19" s="343"/>
      <c r="J19" s="264"/>
      <c r="K19" s="5"/>
      <c r="L19" s="250"/>
      <c r="M19" s="14">
        <v>0.08</v>
      </c>
      <c r="N19" s="14">
        <v>0.05</v>
      </c>
      <c r="O19" s="14"/>
      <c r="P19" s="251" t="s">
        <v>6</v>
      </c>
      <c r="Q19" s="36" t="s">
        <v>21</v>
      </c>
      <c r="R19" s="37" t="s">
        <v>134</v>
      </c>
      <c r="S19" s="10" t="s">
        <v>138</v>
      </c>
      <c r="U19" s="9"/>
      <c r="V19" s="9"/>
      <c r="X19" s="6"/>
      <c r="Y19" s="6"/>
    </row>
    <row r="20" spans="2:25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96</v>
      </c>
      <c r="G20" s="320" t="s">
        <v>8</v>
      </c>
      <c r="H20" s="320" t="s">
        <v>5</v>
      </c>
      <c r="I20" s="321" t="s">
        <v>6</v>
      </c>
      <c r="J20" s="265"/>
      <c r="K20" s="47"/>
      <c r="L20" s="268" t="str">
        <f>B20</f>
        <v>UNIDAD</v>
      </c>
      <c r="M20" s="267" t="s">
        <v>132</v>
      </c>
      <c r="N20" s="39" t="str">
        <f t="shared" ref="N20" si="0">E20</f>
        <v>ANCHO</v>
      </c>
      <c r="O20" s="261" t="s">
        <v>133</v>
      </c>
      <c r="P20" s="259" t="s">
        <v>17</v>
      </c>
      <c r="Q20" s="252">
        <f>O54</f>
        <v>64350.352990177358</v>
      </c>
      <c r="R20" s="258">
        <v>3000</v>
      </c>
      <c r="S20" s="38"/>
      <c r="T20" s="14" t="s">
        <v>129</v>
      </c>
      <c r="U20" s="9"/>
      <c r="X20" s="4"/>
    </row>
    <row r="21" spans="2:25" ht="17.399999999999999" x14ac:dyDescent="0.3">
      <c r="B21" s="325">
        <v>1</v>
      </c>
      <c r="C21" s="338" t="s">
        <v>188</v>
      </c>
      <c r="D21" s="327">
        <v>1.28</v>
      </c>
      <c r="E21" s="327">
        <v>1.1000000000000001</v>
      </c>
      <c r="F21" s="327" t="s">
        <v>184</v>
      </c>
      <c r="G21" s="326" t="s">
        <v>169</v>
      </c>
      <c r="H21" s="328">
        <v>100644</v>
      </c>
      <c r="I21" s="328">
        <f t="shared" ref="I21:I29" si="1">H21*B21</f>
        <v>100644</v>
      </c>
      <c r="J21" s="265"/>
      <c r="K21" s="47"/>
      <c r="L21" s="336">
        <f t="shared" ref="L21" si="2">B21</f>
        <v>1</v>
      </c>
      <c r="M21" s="337">
        <f t="shared" ref="M21" si="3">D21+M$19</f>
        <v>1.36</v>
      </c>
      <c r="N21" s="337">
        <f t="shared" ref="N21" si="4">E21+N$19</f>
        <v>1.1500000000000001</v>
      </c>
      <c r="O21" s="261">
        <f t="shared" ref="O21" si="5">M21*N21</f>
        <v>1.5640000000000003</v>
      </c>
      <c r="P21" s="259">
        <f t="shared" ref="P21" si="6">O21*L21</f>
        <v>1.5640000000000003</v>
      </c>
      <c r="Q21" s="252">
        <f>Q$20*O21</f>
        <v>100643.9520766374</v>
      </c>
      <c r="R21" s="258">
        <f t="shared" ref="R21" si="7">Q21+R$20</f>
        <v>103643.9520766374</v>
      </c>
      <c r="S21" s="308">
        <f>M21*L21</f>
        <v>1.36</v>
      </c>
      <c r="T21" s="46">
        <f>N21*L21*2</f>
        <v>2.3000000000000003</v>
      </c>
      <c r="U21" s="9"/>
      <c r="X21" s="4"/>
    </row>
    <row r="22" spans="2:25" ht="17.399999999999999" x14ac:dyDescent="0.3">
      <c r="B22" s="333">
        <v>1</v>
      </c>
      <c r="C22" s="326" t="s">
        <v>185</v>
      </c>
      <c r="D22" s="327">
        <v>1.37</v>
      </c>
      <c r="E22" s="327">
        <v>1</v>
      </c>
      <c r="F22" s="327" t="s">
        <v>184</v>
      </c>
      <c r="G22" s="326" t="s">
        <v>169</v>
      </c>
      <c r="H22" s="328">
        <v>97973</v>
      </c>
      <c r="I22" s="328">
        <f t="shared" si="1"/>
        <v>97973</v>
      </c>
      <c r="J22" s="265"/>
      <c r="K22" s="47"/>
      <c r="L22" s="336">
        <f t="shared" ref="L22:L24" si="8">B22</f>
        <v>1</v>
      </c>
      <c r="M22" s="337">
        <f t="shared" ref="M22:M24" si="9">D22+M$19</f>
        <v>1.4500000000000002</v>
      </c>
      <c r="N22" s="337">
        <f t="shared" ref="N22:N24" si="10">E22+N$19</f>
        <v>1.05</v>
      </c>
      <c r="O22" s="261">
        <f t="shared" ref="O22:O24" si="11">M22*N22</f>
        <v>1.5225000000000002</v>
      </c>
      <c r="P22" s="259">
        <f t="shared" ref="P22:P24" si="12">O22*L22</f>
        <v>1.5225000000000002</v>
      </c>
      <c r="Q22" s="252">
        <f t="shared" ref="Q22:Q24" si="13">Q$20*O22</f>
        <v>97973.412427545045</v>
      </c>
      <c r="R22" s="258">
        <f t="shared" ref="R22:R24" si="14">Q22+R$20</f>
        <v>100973.41242754504</v>
      </c>
      <c r="S22" s="308"/>
      <c r="T22" s="46"/>
      <c r="U22" s="9"/>
      <c r="X22" s="4"/>
    </row>
    <row r="23" spans="2:25" ht="17.399999999999999" x14ac:dyDescent="0.3">
      <c r="B23" s="333">
        <v>1</v>
      </c>
      <c r="C23" s="326" t="s">
        <v>186</v>
      </c>
      <c r="D23" s="327">
        <v>1.37</v>
      </c>
      <c r="E23" s="327">
        <v>0.3</v>
      </c>
      <c r="F23" s="327" t="s">
        <v>184</v>
      </c>
      <c r="G23" s="326" t="s">
        <v>169</v>
      </c>
      <c r="H23" s="328">
        <v>32658</v>
      </c>
      <c r="I23" s="328">
        <f t="shared" si="1"/>
        <v>32658</v>
      </c>
      <c r="J23" s="265"/>
      <c r="K23" s="47"/>
      <c r="L23" s="47">
        <f t="shared" si="8"/>
        <v>1</v>
      </c>
      <c r="M23" s="39">
        <f t="shared" si="9"/>
        <v>1.4500000000000002</v>
      </c>
      <c r="N23" s="39">
        <f t="shared" si="10"/>
        <v>0.35</v>
      </c>
      <c r="O23" s="261">
        <f t="shared" si="11"/>
        <v>0.50750000000000006</v>
      </c>
      <c r="P23" s="259">
        <f t="shared" si="12"/>
        <v>0.50750000000000006</v>
      </c>
      <c r="Q23" s="252">
        <f t="shared" si="13"/>
        <v>32657.804142515015</v>
      </c>
      <c r="R23" s="258">
        <f t="shared" si="14"/>
        <v>35657.804142515015</v>
      </c>
      <c r="S23" s="308"/>
      <c r="T23" s="46"/>
      <c r="U23" s="9"/>
      <c r="X23" s="4"/>
    </row>
    <row r="24" spans="2:25" ht="17.399999999999999" x14ac:dyDescent="0.3">
      <c r="B24" s="333">
        <v>1</v>
      </c>
      <c r="C24" s="326" t="s">
        <v>187</v>
      </c>
      <c r="D24" s="327">
        <v>1.37</v>
      </c>
      <c r="E24" s="327">
        <v>0.9</v>
      </c>
      <c r="F24" s="327" t="s">
        <v>184</v>
      </c>
      <c r="G24" s="326" t="s">
        <v>169</v>
      </c>
      <c r="H24" s="328">
        <v>88643</v>
      </c>
      <c r="I24" s="328">
        <f t="shared" si="1"/>
        <v>88643</v>
      </c>
      <c r="J24" s="265"/>
      <c r="K24" s="47"/>
      <c r="L24" s="47">
        <f t="shared" si="8"/>
        <v>1</v>
      </c>
      <c r="M24" s="39">
        <f t="shared" si="9"/>
        <v>1.4500000000000002</v>
      </c>
      <c r="N24" s="39">
        <f t="shared" si="10"/>
        <v>0.95000000000000007</v>
      </c>
      <c r="O24" s="261">
        <f t="shared" si="11"/>
        <v>1.3775000000000002</v>
      </c>
      <c r="P24" s="259">
        <f t="shared" si="12"/>
        <v>1.3775000000000002</v>
      </c>
      <c r="Q24" s="252">
        <f t="shared" si="13"/>
        <v>88642.611243969324</v>
      </c>
      <c r="R24" s="258">
        <f t="shared" si="14"/>
        <v>91642.611243969324</v>
      </c>
      <c r="S24" s="308"/>
      <c r="T24" s="46"/>
      <c r="U24" s="9"/>
      <c r="X24" s="4"/>
    </row>
    <row r="25" spans="2:25" ht="17.399999999999999" x14ac:dyDescent="0.3">
      <c r="B25" s="333">
        <v>1</v>
      </c>
      <c r="C25" s="326" t="s">
        <v>189</v>
      </c>
      <c r="D25" s="327">
        <v>1.1000000000000001</v>
      </c>
      <c r="E25" s="327">
        <v>1.1000000000000001</v>
      </c>
      <c r="F25" s="327" t="s">
        <v>184</v>
      </c>
      <c r="G25" s="326" t="s">
        <v>169</v>
      </c>
      <c r="H25" s="328">
        <v>87323</v>
      </c>
      <c r="I25" s="328">
        <f t="shared" si="1"/>
        <v>87323</v>
      </c>
      <c r="J25" s="265"/>
      <c r="K25" s="47"/>
      <c r="L25" s="47">
        <f t="shared" ref="L25:L29" si="15">B25</f>
        <v>1</v>
      </c>
      <c r="M25" s="39">
        <f t="shared" ref="M25:M29" si="16">D25+M$19</f>
        <v>1.1800000000000002</v>
      </c>
      <c r="N25" s="39">
        <f t="shared" ref="N25:N29" si="17">E25+N$19</f>
        <v>1.1500000000000001</v>
      </c>
      <c r="O25" s="261">
        <f t="shared" ref="O25:O29" si="18">M25*N25</f>
        <v>1.3570000000000004</v>
      </c>
      <c r="P25" s="259">
        <f t="shared" ref="P25:P29" si="19">O25*L25</f>
        <v>1.3570000000000004</v>
      </c>
      <c r="Q25" s="252">
        <f t="shared" ref="Q25:Q29" si="20">Q$20*O25</f>
        <v>87323.429007670697</v>
      </c>
      <c r="R25" s="258">
        <f t="shared" ref="R25:R29" si="21">Q25+R$20</f>
        <v>90323.429007670697</v>
      </c>
      <c r="S25" s="308"/>
      <c r="T25" s="46"/>
      <c r="U25" s="9"/>
      <c r="X25" s="4"/>
    </row>
    <row r="26" spans="2:25" ht="17.399999999999999" x14ac:dyDescent="0.3">
      <c r="B26" s="333">
        <v>1</v>
      </c>
      <c r="C26" s="326" t="s">
        <v>189</v>
      </c>
      <c r="D26" s="327">
        <v>0.75</v>
      </c>
      <c r="E26" s="327">
        <v>0.91</v>
      </c>
      <c r="F26" s="327" t="s">
        <v>184</v>
      </c>
      <c r="G26" s="326" t="s">
        <v>169</v>
      </c>
      <c r="H26" s="328">
        <v>51274</v>
      </c>
      <c r="I26" s="328">
        <f t="shared" si="1"/>
        <v>51274</v>
      </c>
      <c r="J26" s="265"/>
      <c r="K26" s="47"/>
      <c r="L26" s="47">
        <f t="shared" si="15"/>
        <v>1</v>
      </c>
      <c r="M26" s="39">
        <f t="shared" si="16"/>
        <v>0.83</v>
      </c>
      <c r="N26" s="39">
        <f t="shared" si="17"/>
        <v>0.96000000000000008</v>
      </c>
      <c r="O26" s="261">
        <f t="shared" si="18"/>
        <v>0.79680000000000006</v>
      </c>
      <c r="P26" s="259">
        <f t="shared" si="19"/>
        <v>0.79680000000000006</v>
      </c>
      <c r="Q26" s="252">
        <f t="shared" si="20"/>
        <v>51274.361262573322</v>
      </c>
      <c r="R26" s="258">
        <f t="shared" si="21"/>
        <v>54274.361262573322</v>
      </c>
      <c r="S26" s="308"/>
      <c r="T26" s="46"/>
      <c r="U26" s="9"/>
      <c r="X26" s="4"/>
    </row>
    <row r="27" spans="2:25" ht="17.399999999999999" x14ac:dyDescent="0.3">
      <c r="B27" s="333">
        <v>1</v>
      </c>
      <c r="C27" s="326" t="s">
        <v>190</v>
      </c>
      <c r="D27" s="327">
        <v>1.3</v>
      </c>
      <c r="E27" s="327">
        <v>0.2</v>
      </c>
      <c r="F27" s="327" t="s">
        <v>184</v>
      </c>
      <c r="G27" s="326" t="s">
        <v>169</v>
      </c>
      <c r="H27" s="328">
        <v>22201</v>
      </c>
      <c r="I27" s="328">
        <f t="shared" si="1"/>
        <v>22201</v>
      </c>
      <c r="J27" s="265"/>
      <c r="K27" s="47"/>
      <c r="L27" s="47">
        <f t="shared" si="15"/>
        <v>1</v>
      </c>
      <c r="M27" s="39">
        <f t="shared" si="16"/>
        <v>1.3800000000000001</v>
      </c>
      <c r="N27" s="39">
        <f t="shared" si="17"/>
        <v>0.25</v>
      </c>
      <c r="O27" s="261">
        <f t="shared" si="18"/>
        <v>0.34500000000000003</v>
      </c>
      <c r="P27" s="259">
        <f t="shared" si="19"/>
        <v>0.34500000000000003</v>
      </c>
      <c r="Q27" s="252">
        <f t="shared" si="20"/>
        <v>22200.871781611189</v>
      </c>
      <c r="R27" s="258">
        <f t="shared" si="21"/>
        <v>25200.871781611189</v>
      </c>
      <c r="S27" s="308"/>
      <c r="T27" s="46"/>
      <c r="U27" s="9"/>
      <c r="X27" s="4"/>
    </row>
    <row r="28" spans="2:25" ht="17.399999999999999" x14ac:dyDescent="0.3">
      <c r="B28" s="333">
        <v>1</v>
      </c>
      <c r="C28" s="326" t="s">
        <v>190</v>
      </c>
      <c r="D28" s="327">
        <v>1.3</v>
      </c>
      <c r="E28" s="327">
        <v>0.6</v>
      </c>
      <c r="F28" s="327" t="s">
        <v>184</v>
      </c>
      <c r="G28" s="326" t="s">
        <v>169</v>
      </c>
      <c r="H28" s="328">
        <v>57722</v>
      </c>
      <c r="I28" s="328">
        <f t="shared" si="1"/>
        <v>57722</v>
      </c>
      <c r="J28" s="265"/>
      <c r="K28" s="47"/>
      <c r="L28" s="47">
        <f t="shared" si="15"/>
        <v>1</v>
      </c>
      <c r="M28" s="39">
        <f t="shared" si="16"/>
        <v>1.3800000000000001</v>
      </c>
      <c r="N28" s="39">
        <f t="shared" si="17"/>
        <v>0.65</v>
      </c>
      <c r="O28" s="261">
        <f t="shared" si="18"/>
        <v>0.89700000000000013</v>
      </c>
      <c r="P28" s="259">
        <f t="shared" si="19"/>
        <v>0.89700000000000013</v>
      </c>
      <c r="Q28" s="252">
        <f t="shared" si="20"/>
        <v>57722.266632189101</v>
      </c>
      <c r="R28" s="258">
        <f t="shared" si="21"/>
        <v>60722.266632189101</v>
      </c>
      <c r="S28" s="308"/>
      <c r="T28" s="46"/>
      <c r="U28" s="9"/>
      <c r="X28" s="4"/>
    </row>
    <row r="29" spans="2:25" ht="17.399999999999999" x14ac:dyDescent="0.3">
      <c r="B29" s="333">
        <v>1</v>
      </c>
      <c r="C29" s="326" t="s">
        <v>190</v>
      </c>
      <c r="D29" s="327">
        <v>1.3</v>
      </c>
      <c r="E29" s="327">
        <v>0.15</v>
      </c>
      <c r="F29" s="327" t="s">
        <v>184</v>
      </c>
      <c r="G29" s="326" t="s">
        <v>169</v>
      </c>
      <c r="H29" s="328">
        <v>17761</v>
      </c>
      <c r="I29" s="328">
        <f t="shared" si="1"/>
        <v>17761</v>
      </c>
      <c r="J29" s="265"/>
      <c r="K29" s="47"/>
      <c r="L29" s="47">
        <f t="shared" si="15"/>
        <v>1</v>
      </c>
      <c r="M29" s="39">
        <f t="shared" si="16"/>
        <v>1.3800000000000001</v>
      </c>
      <c r="N29" s="39">
        <f t="shared" si="17"/>
        <v>0.2</v>
      </c>
      <c r="O29" s="261">
        <f t="shared" si="18"/>
        <v>0.27600000000000002</v>
      </c>
      <c r="P29" s="259">
        <f t="shared" si="19"/>
        <v>0.27600000000000002</v>
      </c>
      <c r="Q29" s="252">
        <f t="shared" si="20"/>
        <v>17760.697425288952</v>
      </c>
      <c r="R29" s="258">
        <f t="shared" si="21"/>
        <v>20760.697425288952</v>
      </c>
      <c r="S29" s="308"/>
      <c r="T29" s="46"/>
      <c r="U29" s="9"/>
      <c r="X29" s="4"/>
    </row>
    <row r="30" spans="2:25" ht="17.399999999999999" x14ac:dyDescent="0.3">
      <c r="B30" s="329">
        <v>2</v>
      </c>
      <c r="C30" s="326" t="s">
        <v>168</v>
      </c>
      <c r="D30" s="327">
        <v>0.7</v>
      </c>
      <c r="E30" s="327">
        <v>0.5</v>
      </c>
      <c r="F30" s="327" t="s">
        <v>183</v>
      </c>
      <c r="G30" s="326" t="s">
        <v>169</v>
      </c>
      <c r="H30" s="328">
        <v>23887</v>
      </c>
      <c r="I30" s="328">
        <f t="shared" ref="I30:I35" si="22">H30*B30</f>
        <v>47774</v>
      </c>
      <c r="J30" s="265"/>
      <c r="K30" s="47"/>
      <c r="L30" s="334"/>
      <c r="M30" s="335">
        <f t="shared" ref="M30:M35" si="23">D30+M$19</f>
        <v>0.77999999999999992</v>
      </c>
      <c r="N30" s="335">
        <f t="shared" ref="N30:N35" si="24">E30+N$19</f>
        <v>0.55000000000000004</v>
      </c>
      <c r="O30" s="261">
        <f t="shared" ref="O30:O35" si="25">M30*N30</f>
        <v>0.42899999999999999</v>
      </c>
      <c r="P30" s="259">
        <f t="shared" ref="P30:P35" si="26">O30*L30</f>
        <v>0</v>
      </c>
      <c r="Q30" s="252">
        <f t="shared" ref="Q30:Q35" si="27">Q$20*O30</f>
        <v>27606.301432786087</v>
      </c>
      <c r="R30" s="258">
        <f t="shared" ref="R30:R35" si="28">Q30+R$20</f>
        <v>30606.301432786087</v>
      </c>
      <c r="S30" s="308">
        <f t="shared" ref="S30:S35" si="29">M30*L30</f>
        <v>0</v>
      </c>
      <c r="T30" s="46"/>
      <c r="U30" s="9"/>
      <c r="X30" s="4"/>
    </row>
    <row r="31" spans="2:25" ht="17.399999999999999" x14ac:dyDescent="0.3">
      <c r="B31" s="329">
        <v>6</v>
      </c>
      <c r="C31" s="326" t="s">
        <v>168</v>
      </c>
      <c r="D31" s="327">
        <v>1.5</v>
      </c>
      <c r="E31" s="327">
        <v>0.6</v>
      </c>
      <c r="F31" s="327" t="s">
        <v>182</v>
      </c>
      <c r="G31" s="326" t="s">
        <v>169</v>
      </c>
      <c r="H31" s="328">
        <v>57183</v>
      </c>
      <c r="I31" s="328">
        <f t="shared" si="22"/>
        <v>343098</v>
      </c>
      <c r="J31" s="265"/>
      <c r="K31" s="47"/>
      <c r="L31" s="334"/>
      <c r="M31" s="335">
        <f t="shared" si="23"/>
        <v>1.58</v>
      </c>
      <c r="N31" s="335">
        <f t="shared" si="24"/>
        <v>0.65</v>
      </c>
      <c r="O31" s="261">
        <f t="shared" si="25"/>
        <v>1.0270000000000001</v>
      </c>
      <c r="P31" s="259">
        <f t="shared" si="26"/>
        <v>0</v>
      </c>
      <c r="Q31" s="252">
        <f t="shared" si="27"/>
        <v>66087.81252091215</v>
      </c>
      <c r="R31" s="258">
        <f t="shared" si="28"/>
        <v>69087.81252091215</v>
      </c>
      <c r="S31" s="308">
        <f t="shared" si="29"/>
        <v>0</v>
      </c>
      <c r="T31" s="46"/>
      <c r="U31" s="9"/>
      <c r="X31" s="4"/>
    </row>
    <row r="32" spans="2:25" ht="17.399999999999999" x14ac:dyDescent="0.3">
      <c r="B32" s="329">
        <v>1</v>
      </c>
      <c r="C32" s="326" t="s">
        <v>168</v>
      </c>
      <c r="D32" s="327">
        <v>1.34</v>
      </c>
      <c r="E32" s="327">
        <v>0.3</v>
      </c>
      <c r="F32" s="327" t="s">
        <v>181</v>
      </c>
      <c r="G32" s="326" t="s">
        <v>169</v>
      </c>
      <c r="H32" s="328">
        <v>27673</v>
      </c>
      <c r="I32" s="328">
        <f t="shared" si="22"/>
        <v>27673</v>
      </c>
      <c r="J32" s="265"/>
      <c r="K32" s="47"/>
      <c r="L32" s="47"/>
      <c r="M32" s="39">
        <f t="shared" si="23"/>
        <v>1.4200000000000002</v>
      </c>
      <c r="N32" s="39">
        <f t="shared" si="24"/>
        <v>0.35</v>
      </c>
      <c r="O32" s="261">
        <f t="shared" si="25"/>
        <v>0.497</v>
      </c>
      <c r="P32" s="259">
        <f t="shared" si="26"/>
        <v>0</v>
      </c>
      <c r="Q32" s="252">
        <f t="shared" si="27"/>
        <v>31982.125436118145</v>
      </c>
      <c r="R32" s="258">
        <f t="shared" si="28"/>
        <v>34982.125436118149</v>
      </c>
      <c r="S32" s="308">
        <f t="shared" si="29"/>
        <v>0</v>
      </c>
      <c r="T32" s="46"/>
      <c r="U32" s="9"/>
      <c r="X32" s="4"/>
    </row>
    <row r="33" spans="2:24" ht="17.399999999999999" x14ac:dyDescent="0.3">
      <c r="B33" s="329">
        <v>1</v>
      </c>
      <c r="C33" s="326" t="s">
        <v>168</v>
      </c>
      <c r="D33" s="327">
        <v>1.7</v>
      </c>
      <c r="E33" s="327">
        <v>0.5</v>
      </c>
      <c r="F33" s="327" t="s">
        <v>179</v>
      </c>
      <c r="G33" s="326" t="s">
        <v>169</v>
      </c>
      <c r="H33" s="328">
        <v>54511</v>
      </c>
      <c r="I33" s="328">
        <f t="shared" si="22"/>
        <v>54511</v>
      </c>
      <c r="J33" s="265"/>
      <c r="K33" s="47"/>
      <c r="L33" s="47"/>
      <c r="M33" s="39">
        <f t="shared" si="23"/>
        <v>1.78</v>
      </c>
      <c r="N33" s="39">
        <f t="shared" si="24"/>
        <v>0.55000000000000004</v>
      </c>
      <c r="O33" s="261">
        <f t="shared" si="25"/>
        <v>0.97900000000000009</v>
      </c>
      <c r="P33" s="259">
        <f t="shared" si="26"/>
        <v>0</v>
      </c>
      <c r="Q33" s="252">
        <f t="shared" si="27"/>
        <v>62998.995577383641</v>
      </c>
      <c r="R33" s="258">
        <f t="shared" si="28"/>
        <v>65998.995577383641</v>
      </c>
      <c r="S33" s="308">
        <f t="shared" si="29"/>
        <v>0</v>
      </c>
      <c r="T33" s="46"/>
      <c r="U33" s="9"/>
      <c r="X33" s="4"/>
    </row>
    <row r="34" spans="2:24" ht="17.399999999999999" x14ac:dyDescent="0.3">
      <c r="B34" s="329">
        <v>1</v>
      </c>
      <c r="C34" s="326" t="s">
        <v>168</v>
      </c>
      <c r="D34" s="327">
        <v>2.38</v>
      </c>
      <c r="E34" s="327">
        <v>0.4</v>
      </c>
      <c r="F34" s="327" t="s">
        <v>179</v>
      </c>
      <c r="G34" s="326" t="s">
        <v>169</v>
      </c>
      <c r="H34" s="328">
        <v>76315</v>
      </c>
      <c r="I34" s="328">
        <f t="shared" si="22"/>
        <v>76315</v>
      </c>
      <c r="J34" s="265"/>
      <c r="K34" s="47"/>
      <c r="L34" s="47"/>
      <c r="M34" s="39">
        <f t="shared" si="23"/>
        <v>2.46</v>
      </c>
      <c r="N34" s="39">
        <f t="shared" si="24"/>
        <v>0.45</v>
      </c>
      <c r="O34" s="261">
        <f t="shared" si="25"/>
        <v>1.107</v>
      </c>
      <c r="P34" s="259">
        <f t="shared" si="26"/>
        <v>0</v>
      </c>
      <c r="Q34" s="252">
        <f t="shared" si="27"/>
        <v>71235.840760126332</v>
      </c>
      <c r="R34" s="258">
        <f t="shared" si="28"/>
        <v>74235.840760126332</v>
      </c>
      <c r="S34" s="308">
        <f t="shared" si="29"/>
        <v>0</v>
      </c>
      <c r="T34" s="46"/>
      <c r="U34" s="9"/>
      <c r="X34" s="4"/>
    </row>
    <row r="35" spans="2:24" ht="17.399999999999999" x14ac:dyDescent="0.3">
      <c r="B35" s="331">
        <v>1</v>
      </c>
      <c r="C35" s="326" t="s">
        <v>180</v>
      </c>
      <c r="D35" s="327">
        <v>0.3</v>
      </c>
      <c r="E35" s="327">
        <v>0.5</v>
      </c>
      <c r="F35" s="327" t="s">
        <v>179</v>
      </c>
      <c r="G35" s="326" t="s">
        <v>169</v>
      </c>
      <c r="H35" s="328">
        <f t="shared" ref="H35" si="30">Q35</f>
        <v>13449.22377494707</v>
      </c>
      <c r="I35" s="328">
        <f t="shared" si="22"/>
        <v>13449.22377494707</v>
      </c>
      <c r="J35" s="265"/>
      <c r="K35" s="47"/>
      <c r="L35" s="47"/>
      <c r="M35" s="39">
        <f t="shared" si="23"/>
        <v>0.38</v>
      </c>
      <c r="N35" s="39">
        <f t="shared" si="24"/>
        <v>0.55000000000000004</v>
      </c>
      <c r="O35" s="261">
        <f t="shared" si="25"/>
        <v>0.20900000000000002</v>
      </c>
      <c r="P35" s="259">
        <f t="shared" si="26"/>
        <v>0</v>
      </c>
      <c r="Q35" s="252">
        <f t="shared" si="27"/>
        <v>13449.22377494707</v>
      </c>
      <c r="R35" s="258">
        <f t="shared" si="28"/>
        <v>16449.22377494707</v>
      </c>
      <c r="S35" s="308">
        <f t="shared" si="29"/>
        <v>0</v>
      </c>
      <c r="T35" s="46"/>
      <c r="U35" s="9"/>
      <c r="X35" s="4"/>
    </row>
    <row r="36" spans="2:24" ht="17.399999999999999" x14ac:dyDescent="0.3">
      <c r="B36" s="331">
        <v>2</v>
      </c>
      <c r="C36" s="326" t="s">
        <v>170</v>
      </c>
      <c r="D36" s="327"/>
      <c r="E36" s="327"/>
      <c r="F36" s="327"/>
      <c r="G36" s="326"/>
      <c r="H36" s="328">
        <v>10000</v>
      </c>
      <c r="I36" s="328">
        <f>H36*B36</f>
        <v>20000</v>
      </c>
      <c r="J36" s="265"/>
      <c r="K36" s="47"/>
      <c r="L36" s="47"/>
      <c r="M36" s="39">
        <f t="shared" ref="M36:M37" si="31">D36+M$19</f>
        <v>0.08</v>
      </c>
      <c r="N36" s="39">
        <f t="shared" ref="N36:N37" si="32">E36+N$19</f>
        <v>0.05</v>
      </c>
      <c r="O36" s="261">
        <f t="shared" ref="O36:O37" si="33">M36*N36</f>
        <v>4.0000000000000001E-3</v>
      </c>
      <c r="P36" s="259">
        <f t="shared" ref="P36:P37" si="34">O36*L36</f>
        <v>0</v>
      </c>
      <c r="Q36" s="252">
        <f t="shared" ref="Q36:Q37" si="35">Q$20*O36</f>
        <v>257.40141196070942</v>
      </c>
      <c r="R36" s="258">
        <f t="shared" ref="R36:R37" si="36">Q36+R$20</f>
        <v>3257.4014119607095</v>
      </c>
      <c r="S36" s="308"/>
      <c r="T36" s="46"/>
      <c r="U36" s="9"/>
      <c r="X36" s="4"/>
    </row>
    <row r="37" spans="2:24" ht="17.399999999999999" x14ac:dyDescent="0.3">
      <c r="B37" s="332">
        <v>1</v>
      </c>
      <c r="C37" s="326" t="s">
        <v>195</v>
      </c>
      <c r="D37" s="327">
        <v>1.3</v>
      </c>
      <c r="E37" s="327">
        <v>0.5</v>
      </c>
      <c r="F37" s="327" t="s">
        <v>178</v>
      </c>
      <c r="G37" s="326" t="s">
        <v>169</v>
      </c>
      <c r="H37" s="328">
        <v>41684</v>
      </c>
      <c r="I37" s="328">
        <f>H37*B37</f>
        <v>41684</v>
      </c>
      <c r="J37" s="265"/>
      <c r="K37" s="47"/>
      <c r="L37" s="47"/>
      <c r="M37" s="39">
        <f t="shared" si="31"/>
        <v>1.3800000000000001</v>
      </c>
      <c r="N37" s="39">
        <f t="shared" si="32"/>
        <v>0.55000000000000004</v>
      </c>
      <c r="O37" s="261">
        <f t="shared" si="33"/>
        <v>0.75900000000000012</v>
      </c>
      <c r="P37" s="259">
        <f t="shared" si="34"/>
        <v>0</v>
      </c>
      <c r="Q37" s="252">
        <f t="shared" si="35"/>
        <v>48841.91791954462</v>
      </c>
      <c r="R37" s="258">
        <f t="shared" si="36"/>
        <v>51841.91791954462</v>
      </c>
      <c r="S37" s="308"/>
      <c r="T37" s="46"/>
      <c r="U37" s="9"/>
      <c r="X37" s="4"/>
    </row>
    <row r="38" spans="2:24" ht="17.399999999999999" x14ac:dyDescent="0.3">
      <c r="B38" s="326">
        <v>1</v>
      </c>
      <c r="C38" s="326" t="s">
        <v>175</v>
      </c>
      <c r="D38" s="327"/>
      <c r="E38" s="327"/>
      <c r="F38" s="327"/>
      <c r="G38" s="326"/>
      <c r="H38" s="328">
        <v>750000</v>
      </c>
      <c r="I38" s="328">
        <f>H38*B38</f>
        <v>750000</v>
      </c>
      <c r="J38" s="265"/>
      <c r="K38" s="47"/>
      <c r="L38" s="47"/>
      <c r="M38" s="39"/>
      <c r="N38" s="39"/>
      <c r="O38" s="261"/>
      <c r="P38" s="259"/>
      <c r="Q38" s="252"/>
      <c r="R38" s="258"/>
      <c r="S38" s="308"/>
      <c r="T38" s="46"/>
      <c r="U38" s="9"/>
      <c r="X38" s="4"/>
    </row>
    <row r="39" spans="2:24" ht="18" thickBot="1" x14ac:dyDescent="0.35">
      <c r="B39" s="286"/>
      <c r="C39" s="286"/>
      <c r="D39" s="287"/>
      <c r="E39" s="287"/>
      <c r="F39" s="287"/>
      <c r="G39" s="286"/>
      <c r="H39" s="265"/>
      <c r="I39" s="233"/>
      <c r="J39" s="233"/>
      <c r="K39" s="47"/>
      <c r="L39" s="47"/>
      <c r="M39" s="39"/>
      <c r="N39" s="39"/>
      <c r="O39" s="261"/>
      <c r="P39" s="259"/>
      <c r="Q39" s="252"/>
      <c r="R39" s="258"/>
      <c r="S39" s="308"/>
      <c r="T39" s="14"/>
      <c r="U39" s="9"/>
      <c r="X39" s="4"/>
    </row>
    <row r="40" spans="2:24" ht="17.399999999999999" x14ac:dyDescent="0.3">
      <c r="B40" s="286"/>
      <c r="C40" s="286"/>
      <c r="D40" s="287"/>
      <c r="E40" s="287"/>
      <c r="F40" s="287"/>
      <c r="G40" s="286"/>
      <c r="H40" s="309" t="s">
        <v>29</v>
      </c>
      <c r="I40" s="310">
        <f>SUM(I21:I39)</f>
        <v>1930703.223774947</v>
      </c>
      <c r="J40" s="265"/>
      <c r="K40" s="47"/>
      <c r="L40" s="47"/>
      <c r="M40" s="39">
        <f>SUM(M21:M39)</f>
        <v>21.72</v>
      </c>
      <c r="N40" s="39"/>
      <c r="O40" s="261"/>
      <c r="P40" s="259"/>
      <c r="Q40" s="252"/>
      <c r="R40" s="258"/>
      <c r="S40" s="308"/>
      <c r="T40" s="14"/>
      <c r="U40" s="9"/>
      <c r="X40" s="4"/>
    </row>
    <row r="41" spans="2:24" ht="17.399999999999999" x14ac:dyDescent="0.3">
      <c r="B41" s="280"/>
      <c r="C41" s="283"/>
      <c r="D41" s="284"/>
      <c r="E41" s="284"/>
      <c r="F41" s="284"/>
      <c r="G41" s="285"/>
      <c r="H41" s="307" t="s">
        <v>52</v>
      </c>
      <c r="I41" s="304">
        <f>I40*19%</f>
        <v>366833.61251723993</v>
      </c>
      <c r="J41" s="265"/>
      <c r="K41" s="47"/>
      <c r="L41" s="47"/>
      <c r="M41" s="39"/>
      <c r="N41" s="12"/>
      <c r="O41" s="12"/>
      <c r="P41" s="253">
        <f>SUM(P21:P35)</f>
        <v>8.6433</v>
      </c>
      <c r="Q41" s="14"/>
      <c r="R41" s="12"/>
      <c r="S41" s="239"/>
      <c r="T41" s="14"/>
      <c r="U41" s="9"/>
      <c r="X41" s="4"/>
    </row>
    <row r="42" spans="2:24" ht="18" thickBot="1" x14ac:dyDescent="0.35">
      <c r="B42" s="276"/>
      <c r="C42" s="282"/>
      <c r="D42" s="272"/>
      <c r="E42" s="272"/>
      <c r="F42" s="272"/>
      <c r="G42" s="273"/>
      <c r="H42" s="281" t="s">
        <v>6</v>
      </c>
      <c r="I42" s="305">
        <f>I40+I41</f>
        <v>2297536.8362921868</v>
      </c>
      <c r="J42" s="265"/>
      <c r="K42" s="47"/>
      <c r="L42" s="47"/>
      <c r="M42" s="39"/>
      <c r="N42" s="12"/>
      <c r="O42" s="12"/>
      <c r="P42" s="253">
        <f>P41</f>
        <v>8.6433</v>
      </c>
      <c r="Q42" s="14"/>
      <c r="R42" s="12"/>
      <c r="S42" s="239">
        <f>SUM(S21:S41)</f>
        <v>1.36</v>
      </c>
      <c r="T42" s="14"/>
      <c r="U42" s="9"/>
      <c r="X42" s="4"/>
    </row>
    <row r="43" spans="2:24" ht="17.399999999999999" x14ac:dyDescent="0.3">
      <c r="B43" s="276"/>
      <c r="C43" s="271"/>
      <c r="D43" s="272"/>
      <c r="E43" s="272"/>
      <c r="F43" s="272"/>
      <c r="G43" s="273"/>
      <c r="J43" s="265"/>
      <c r="K43" s="47"/>
      <c r="L43" s="47"/>
      <c r="M43" s="14"/>
      <c r="N43" s="12"/>
      <c r="O43" s="12"/>
      <c r="P43" s="39">
        <f>P42*20%</f>
        <v>1.7286600000000001</v>
      </c>
      <c r="Q43" s="39" t="s">
        <v>131</v>
      </c>
      <c r="R43" s="42"/>
      <c r="S43" s="240"/>
      <c r="T43" s="14"/>
      <c r="U43" s="9"/>
      <c r="X43" s="4"/>
    </row>
    <row r="44" spans="2:24" ht="17.399999999999999" x14ac:dyDescent="0.3">
      <c r="B44" s="271"/>
      <c r="C44" s="271"/>
      <c r="D44" s="272"/>
      <c r="E44" s="272"/>
      <c r="F44" s="272"/>
      <c r="G44" s="273"/>
      <c r="H44" s="274"/>
      <c r="I44" s="275"/>
      <c r="J44" s="265"/>
      <c r="K44" s="47"/>
      <c r="L44" s="47"/>
      <c r="M44" s="14"/>
      <c r="N44" s="12"/>
      <c r="O44" s="12"/>
      <c r="P44" s="46">
        <f>P42+P43</f>
        <v>10.37196</v>
      </c>
      <c r="Q44" s="14"/>
      <c r="R44" s="14"/>
      <c r="S44" s="238">
        <v>40</v>
      </c>
      <c r="T44" s="14"/>
      <c r="U44" s="9"/>
      <c r="X44" s="4"/>
    </row>
    <row r="45" spans="2:24" ht="17.399999999999999" x14ac:dyDescent="0.35">
      <c r="B45" s="269"/>
      <c r="C45" s="230"/>
      <c r="D45" s="230"/>
      <c r="E45" s="233"/>
      <c r="F45" s="233"/>
      <c r="G45" s="234"/>
      <c r="H45" s="230"/>
      <c r="I45" s="275"/>
      <c r="J45" s="265"/>
      <c r="K45" s="47"/>
      <c r="L45" s="47"/>
      <c r="M45" s="14"/>
      <c r="N45" s="14"/>
      <c r="O45" s="14"/>
      <c r="P45" s="14"/>
      <c r="Q45" s="14"/>
      <c r="R45" s="14"/>
      <c r="S45" s="238"/>
      <c r="T45" s="14"/>
      <c r="U45" s="315" t="s">
        <v>22</v>
      </c>
      <c r="V45" s="312" t="s">
        <v>153</v>
      </c>
      <c r="W45" s="316">
        <v>44971</v>
      </c>
      <c r="X45" s="317"/>
    </row>
    <row r="46" spans="2:24" ht="17.399999999999999" x14ac:dyDescent="0.35">
      <c r="B46" s="235"/>
      <c r="C46" s="236"/>
      <c r="D46" s="237"/>
      <c r="E46" s="235"/>
      <c r="F46" s="235"/>
      <c r="G46" s="230"/>
      <c r="H46" s="230"/>
      <c r="J46" s="265"/>
      <c r="K46" s="47"/>
      <c r="L46" s="47"/>
      <c r="M46" s="39">
        <f>P44</f>
        <v>10.37196</v>
      </c>
      <c r="N46" s="12">
        <v>3500</v>
      </c>
      <c r="O46" s="12">
        <f t="shared" ref="O46:O51" si="37">M46*N46</f>
        <v>36301.86</v>
      </c>
      <c r="P46" s="14" t="s">
        <v>22</v>
      </c>
      <c r="Q46" s="14"/>
      <c r="R46" s="14"/>
      <c r="S46" s="241"/>
      <c r="T46" s="14"/>
      <c r="U46" s="315" t="s">
        <v>154</v>
      </c>
      <c r="V46" s="312">
        <v>3625</v>
      </c>
      <c r="W46" s="59" t="s">
        <v>155</v>
      </c>
      <c r="X46" s="317"/>
    </row>
    <row r="47" spans="2:24" ht="17.399999999999999" x14ac:dyDescent="0.35">
      <c r="B47" s="230"/>
      <c r="C47" s="230"/>
      <c r="D47" s="230"/>
      <c r="E47" s="230"/>
      <c r="F47" s="230"/>
      <c r="G47" s="230"/>
      <c r="H47" s="230"/>
      <c r="J47" s="265"/>
      <c r="K47" s="47"/>
      <c r="L47" s="47"/>
      <c r="M47" s="249">
        <v>3</v>
      </c>
      <c r="N47" s="12">
        <v>25000</v>
      </c>
      <c r="O47" s="12">
        <f t="shared" si="37"/>
        <v>75000</v>
      </c>
      <c r="P47" s="39" t="s">
        <v>32</v>
      </c>
      <c r="Q47" s="42"/>
      <c r="R47" s="14"/>
      <c r="S47" s="240"/>
      <c r="T47" s="14"/>
      <c r="U47" s="315"/>
      <c r="V47" s="59">
        <v>906.25</v>
      </c>
      <c r="W47" s="59" t="s">
        <v>156</v>
      </c>
      <c r="X47" s="317"/>
    </row>
    <row r="48" spans="2:24" s="230" customFormat="1" ht="17.399999999999999" x14ac:dyDescent="0.35">
      <c r="J48" s="262"/>
      <c r="K48" s="232"/>
      <c r="L48" s="250"/>
      <c r="M48" s="14"/>
      <c r="N48" s="250">
        <v>44673</v>
      </c>
      <c r="O48" s="12">
        <f t="shared" si="37"/>
        <v>0</v>
      </c>
      <c r="P48" s="39" t="s">
        <v>31</v>
      </c>
      <c r="Q48" s="42"/>
      <c r="S48" s="240"/>
      <c r="T48" s="256"/>
      <c r="U48" s="59"/>
      <c r="V48" s="59">
        <f>V47*20%</f>
        <v>181.25</v>
      </c>
      <c r="W48" s="317" t="s">
        <v>157</v>
      </c>
      <c r="X48" s="59"/>
    </row>
    <row r="49" spans="2:24" s="230" customFormat="1" ht="17.399999999999999" x14ac:dyDescent="0.35">
      <c r="B49" s="24" t="s">
        <v>152</v>
      </c>
      <c r="J49" s="262"/>
      <c r="K49" s="232"/>
      <c r="L49" s="250"/>
      <c r="M49" s="14">
        <v>3</v>
      </c>
      <c r="N49" s="250">
        <v>51185</v>
      </c>
      <c r="O49" s="12">
        <f t="shared" si="37"/>
        <v>153555</v>
      </c>
      <c r="P49" s="14" t="s">
        <v>142</v>
      </c>
      <c r="Q49" s="17"/>
      <c r="S49" s="238"/>
      <c r="T49" s="256"/>
      <c r="U49" s="59"/>
      <c r="V49" s="59">
        <f>V47+V48</f>
        <v>1087.5</v>
      </c>
      <c r="W49" s="317" t="s">
        <v>158</v>
      </c>
      <c r="X49" s="59"/>
    </row>
    <row r="50" spans="2:24" s="230" customFormat="1" ht="17.399999999999999" x14ac:dyDescent="0.35">
      <c r="B50" s="24" t="s">
        <v>145</v>
      </c>
      <c r="C50"/>
      <c r="D50"/>
      <c r="E50"/>
      <c r="F50"/>
      <c r="G50"/>
      <c r="J50" s="262"/>
      <c r="L50" s="250"/>
      <c r="M50" s="249"/>
      <c r="N50" s="250">
        <v>300</v>
      </c>
      <c r="O50" s="12">
        <f t="shared" si="37"/>
        <v>0</v>
      </c>
      <c r="P50" s="14" t="s">
        <v>33</v>
      </c>
      <c r="Q50" s="14"/>
      <c r="R50" s="230">
        <v>1.52</v>
      </c>
      <c r="S50" s="238"/>
      <c r="T50" s="238"/>
    </row>
    <row r="51" spans="2:24" s="230" customFormat="1" ht="17.399999999999999" x14ac:dyDescent="0.35">
      <c r="B51" s="29" t="s">
        <v>126</v>
      </c>
      <c r="C51"/>
      <c r="D51"/>
      <c r="E51"/>
      <c r="F51"/>
      <c r="G51" s="229" t="s">
        <v>16</v>
      </c>
      <c r="J51" s="303"/>
      <c r="L51" s="250"/>
      <c r="M51" s="266"/>
      <c r="N51" s="12">
        <v>1500</v>
      </c>
      <c r="O51" s="12">
        <f t="shared" si="37"/>
        <v>0</v>
      </c>
      <c r="P51" s="14" t="s">
        <v>23</v>
      </c>
      <c r="Q51" s="14"/>
      <c r="R51">
        <v>2.44</v>
      </c>
      <c r="S51"/>
      <c r="T51" s="238"/>
      <c r="X51" s="231"/>
    </row>
    <row r="52" spans="2:24" s="230" customFormat="1" ht="17.399999999999999" x14ac:dyDescent="0.35">
      <c r="L52" s="250"/>
      <c r="M52" s="14"/>
      <c r="N52" s="12"/>
      <c r="O52" s="12">
        <f>SUM(O46:O51)</f>
        <v>264856.86</v>
      </c>
      <c r="P52" s="39" t="s">
        <v>24</v>
      </c>
      <c r="Q52" s="14"/>
      <c r="R52">
        <f>R50*R51</f>
        <v>3.7088000000000001</v>
      </c>
      <c r="S52"/>
      <c r="T52" s="238"/>
      <c r="X52" s="231"/>
    </row>
    <row r="53" spans="2:24" s="230" customFormat="1" ht="17.399999999999999" x14ac:dyDescent="0.35">
      <c r="L53" s="250"/>
      <c r="M53" s="254" t="s">
        <v>34</v>
      </c>
      <c r="N53" s="12"/>
      <c r="O53" s="255">
        <f>O52*2.1</f>
        <v>556199.40599999996</v>
      </c>
      <c r="P53" s="14" t="s">
        <v>141</v>
      </c>
      <c r="Q53" s="14"/>
      <c r="R53" s="40">
        <f>P44/R52</f>
        <v>2.796581104400345</v>
      </c>
      <c r="S53"/>
      <c r="T53" s="257"/>
    </row>
    <row r="54" spans="2:24" s="230" customFormat="1" ht="17.399999999999999" x14ac:dyDescent="0.35">
      <c r="H54"/>
      <c r="I54" s="260"/>
      <c r="J54" s="260"/>
      <c r="L54" s="250"/>
      <c r="M54" s="14"/>
      <c r="N54" s="12"/>
      <c r="O54" s="12">
        <f>O53/P42</f>
        <v>64350.352990177358</v>
      </c>
      <c r="P54" s="45" t="s">
        <v>25</v>
      </c>
      <c r="Q54" s="14"/>
      <c r="R54" s="14"/>
      <c r="S54"/>
      <c r="T54" s="238"/>
      <c r="U54" s="59" t="s">
        <v>159</v>
      </c>
      <c r="V54" s="312">
        <v>43650</v>
      </c>
    </row>
    <row r="55" spans="2:24" s="230" customFormat="1" ht="17.399999999999999" x14ac:dyDescent="0.35">
      <c r="H55"/>
      <c r="L55" s="250"/>
      <c r="M55" s="13"/>
      <c r="N55" s="14"/>
      <c r="O55" s="17">
        <f>O53/O52</f>
        <v>2.1</v>
      </c>
      <c r="P55" s="15"/>
      <c r="Q55"/>
      <c r="R55"/>
      <c r="S55"/>
      <c r="T55" s="238"/>
      <c r="U55" s="59" t="s">
        <v>161</v>
      </c>
      <c r="V55" s="313" t="s">
        <v>160</v>
      </c>
      <c r="W55" s="59">
        <v>2.4</v>
      </c>
    </row>
    <row r="56" spans="2:24" s="230" customFormat="1" ht="17.399999999999999" x14ac:dyDescent="0.35">
      <c r="H56" s="23"/>
      <c r="L56" s="12"/>
      <c r="T56" s="238"/>
      <c r="U56" s="59" t="s">
        <v>162</v>
      </c>
      <c r="V56" s="314">
        <v>395.37</v>
      </c>
    </row>
    <row r="57" spans="2:24" s="230" customFormat="1" ht="17.399999999999999" x14ac:dyDescent="0.35">
      <c r="B57"/>
      <c r="C57" s="228"/>
      <c r="D57" s="22"/>
      <c r="E57" s="22"/>
      <c r="F57" s="22"/>
      <c r="G57" s="21"/>
      <c r="H57" s="23"/>
      <c r="L57" s="12"/>
      <c r="T57" s="238"/>
      <c r="U57" s="59" t="s">
        <v>157</v>
      </c>
      <c r="V57" s="59">
        <v>474.45</v>
      </c>
    </row>
    <row r="58" spans="2:24" ht="14.4" customHeight="1" x14ac:dyDescent="0.3">
      <c r="L58" s="12"/>
      <c r="U58" s="59"/>
      <c r="V58" s="59"/>
    </row>
    <row r="59" spans="2:24" x14ac:dyDescent="0.3">
      <c r="L59" s="250"/>
    </row>
    <row r="60" spans="2:24" x14ac:dyDescent="0.3">
      <c r="L60" s="250"/>
      <c r="T60" s="270"/>
    </row>
    <row r="61" spans="2:24" x14ac:dyDescent="0.3">
      <c r="L61" s="250"/>
    </row>
    <row r="62" spans="2:24" ht="15" customHeight="1" x14ac:dyDescent="0.3"/>
    <row r="64" spans="2:24" x14ac:dyDescent="0.3">
      <c r="O64">
        <v>40935</v>
      </c>
      <c r="P64" t="s">
        <v>17</v>
      </c>
      <c r="Q64" t="s">
        <v>27</v>
      </c>
    </row>
    <row r="66" spans="15:20" x14ac:dyDescent="0.3">
      <c r="O66" s="54"/>
      <c r="P66" s="54"/>
    </row>
    <row r="67" spans="15:20" x14ac:dyDescent="0.3">
      <c r="S67" s="18"/>
      <c r="T67" s="18"/>
    </row>
    <row r="68" spans="15:20" x14ac:dyDescent="0.3">
      <c r="S68" s="18"/>
      <c r="T68" s="18"/>
    </row>
    <row r="69" spans="15:20" x14ac:dyDescent="0.3">
      <c r="S69" s="18"/>
      <c r="T69" s="18"/>
    </row>
    <row r="70" spans="15:20" x14ac:dyDescent="0.3">
      <c r="S70" s="18"/>
      <c r="T70" s="18"/>
    </row>
    <row r="71" spans="15:20" x14ac:dyDescent="0.3">
      <c r="S71" s="18"/>
      <c r="T71" s="18"/>
    </row>
    <row r="72" spans="15:20" x14ac:dyDescent="0.3">
      <c r="S72" s="18"/>
      <c r="T72" s="18"/>
    </row>
    <row r="73" spans="15:20" x14ac:dyDescent="0.3">
      <c r="S73" s="18"/>
      <c r="T73" s="18"/>
    </row>
    <row r="74" spans="15:20" x14ac:dyDescent="0.3">
      <c r="S74" s="18"/>
      <c r="T74" s="18"/>
    </row>
    <row r="75" spans="15:20" x14ac:dyDescent="0.3">
      <c r="S75" s="18"/>
      <c r="T75" s="18"/>
    </row>
    <row r="78" spans="15:20" x14ac:dyDescent="0.3">
      <c r="O78" s="43"/>
    </row>
    <row r="79" spans="15:20" x14ac:dyDescent="0.3">
      <c r="O79" s="43"/>
    </row>
    <row r="80" spans="15:20" x14ac:dyDescent="0.3">
      <c r="O80" s="6"/>
    </row>
    <row r="81" spans="3:15" x14ac:dyDescent="0.3">
      <c r="O81" s="6"/>
    </row>
    <row r="89" spans="3:15" x14ac:dyDescent="0.3">
      <c r="C89" t="s">
        <v>149</v>
      </c>
    </row>
    <row r="90" spans="3:15" x14ac:dyDescent="0.3">
      <c r="C90" t="s">
        <v>148</v>
      </c>
    </row>
    <row r="93" spans="3:15" x14ac:dyDescent="0.3">
      <c r="C93" t="s">
        <v>148</v>
      </c>
    </row>
    <row r="170" spans="3:3" x14ac:dyDescent="0.3">
      <c r="C170" t="s">
        <v>148</v>
      </c>
    </row>
    <row r="171" spans="3:3" x14ac:dyDescent="0.3">
      <c r="C171" t="s">
        <v>150</v>
      </c>
    </row>
    <row r="172" spans="3:3" x14ac:dyDescent="0.3">
      <c r="C172" t="s">
        <v>151</v>
      </c>
    </row>
    <row r="597" spans="3:3" x14ac:dyDescent="0.3">
      <c r="C597" t="s">
        <v>148</v>
      </c>
    </row>
  </sheetData>
  <mergeCells count="2">
    <mergeCell ref="G17:I17"/>
    <mergeCell ref="B19:I19"/>
  </mergeCells>
  <phoneticPr fontId="34" type="noConversion"/>
  <hyperlinks>
    <hyperlink ref="G51" r:id="rId1" xr:uid="{00000000-0004-0000-0000-000000000000}"/>
    <hyperlink ref="C14" r:id="rId2" xr:uid="{009BCE2F-3410-407B-88F1-5CFA6CFC7755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'2229'!H10</f>
        <v>45761</v>
      </c>
    </row>
    <row r="6" spans="2:31" ht="16.2" thickBot="1" x14ac:dyDescent="0.35">
      <c r="B6" s="140" t="s">
        <v>2</v>
      </c>
      <c r="C6" s="139" t="str">
        <f>'2229'!C10</f>
        <v>CONSTRUCCIONES VIENTOS DEL SUR LTDA.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5" t="s">
        <v>99</v>
      </c>
      <c r="I7" s="346"/>
      <c r="J7" s="346"/>
      <c r="K7" s="347"/>
      <c r="N7" s="75"/>
      <c r="O7" s="34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11397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4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-282971.48416261195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'2229'!I40</f>
        <v>1930703.223774947</v>
      </c>
      <c r="E11" s="132">
        <f>D11*0.19</f>
        <v>366833.61251723993</v>
      </c>
      <c r="F11" s="131">
        <f>E11+D11</f>
        <v>2297536.8362921868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-176981.48416261195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141135.95078743962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-194981.48416261195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1789567.2729875073</v>
      </c>
      <c r="E13" s="221">
        <f>(D11/D12)-1</f>
        <v>12.679740796040818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-203981.48416261195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-242981.48416261195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232874.31879927535</v>
      </c>
      <c r="F15" s="216">
        <f>E15-D12</f>
        <v>91738.36801183573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-242981.48416261195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-202981.48416261195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'2229'!O48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'2229'!O47</f>
        <v>75000</v>
      </c>
      <c r="E19" s="123">
        <f>D19*0.19</f>
        <v>14250</v>
      </c>
      <c r="F19" s="120">
        <f>SUM(D19:E19)</f>
        <v>89250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'2229'!O46</f>
        <v>36301.86</v>
      </c>
      <c r="E20" s="121">
        <f>D20*0.19</f>
        <v>6897.3534</v>
      </c>
      <c r="F20" s="120">
        <f>SUM(D20:E20)</f>
        <v>43199.213400000001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111301.86</v>
      </c>
      <c r="E21" s="116">
        <f>SUM(E18:E20)</f>
        <v>21147.3534</v>
      </c>
      <c r="F21" s="115">
        <f>SUM(F18:F20)</f>
        <v>132449.21340000001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345686.25911723991</v>
      </c>
    </row>
    <row r="41" spans="2:16" ht="15" thickBot="1" x14ac:dyDescent="0.35">
      <c r="H41" s="348" t="s">
        <v>61</v>
      </c>
      <c r="I41" s="349"/>
      <c r="J41" s="349"/>
      <c r="K41" s="349"/>
      <c r="L41" s="349"/>
      <c r="M41" s="35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1930703.223774947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111301.86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1789567.2729875073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1789567.2729875073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2025-04-15T14:12:17Z</cp:lastPrinted>
  <dcterms:created xsi:type="dcterms:W3CDTF">2013-03-18T13:35:42Z</dcterms:created>
  <dcterms:modified xsi:type="dcterms:W3CDTF">2025-04-17T17:51:03Z</dcterms:modified>
</cp:coreProperties>
</file>