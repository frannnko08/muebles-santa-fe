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0C1362FA-0245-4216-9545-BA63F8314B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O23" i="1"/>
  <c r="P23" i="1" s="1"/>
  <c r="N23" i="1"/>
  <c r="M23" i="1"/>
  <c r="L23" i="1"/>
  <c r="H23" i="1"/>
  <c r="L22" i="1"/>
  <c r="M22" i="1"/>
  <c r="N22" i="1"/>
  <c r="H22" i="1"/>
  <c r="L21" i="1"/>
  <c r="N21" i="1"/>
  <c r="O22" i="1" l="1"/>
  <c r="P22" i="1" s="1"/>
  <c r="M21" i="1"/>
  <c r="S21" i="1" l="1"/>
  <c r="S27" i="1" s="1"/>
  <c r="T21" i="1"/>
  <c r="T26" i="1" s="1"/>
  <c r="O21" i="1"/>
  <c r="P21" i="1" s="1"/>
  <c r="P27" i="1" s="1"/>
  <c r="K41" i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O40" i="1" l="1"/>
  <c r="D20" i="3"/>
  <c r="E20" i="3" s="1"/>
  <c r="E21" i="3" s="1"/>
  <c r="Q20" i="1" l="1"/>
  <c r="D21" i="3"/>
  <c r="M43" i="3" s="1"/>
  <c r="D12" i="3" s="1"/>
  <c r="F20" i="3"/>
  <c r="F21" i="3" s="1"/>
  <c r="Q22" i="1" l="1"/>
  <c r="R22" i="1" s="1"/>
  <c r="Q23" i="1"/>
  <c r="R23" i="1" s="1"/>
  <c r="O41" i="1"/>
  <c r="E15" i="3"/>
  <c r="Q21" i="1" l="1"/>
  <c r="F15" i="3"/>
  <c r="R21" i="1" l="1"/>
  <c r="H21" i="1" l="1"/>
  <c r="H26" i="1" s="1"/>
  <c r="D11" i="3" l="1"/>
  <c r="X9" i="3" s="1"/>
  <c r="X15" i="3" s="1"/>
  <c r="H28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<sst xmlns="http://schemas.openxmlformats.org/spreadsheetml/2006/main" count="233" uniqueCount="174">
  <si>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</si>
  <si>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</si>
  <si>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</si>
  <si>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</si>
  <si>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</si>
  <si>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</si>
  <si>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</si>
  <si>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</si>
  <si>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</si>
  <si>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</si>
  <si>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</si>
  <si>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</si>
  <si>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</si>
  <si>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</si>
  <si>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</si>
  <si>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</si>
  <si>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</si>
  <si>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</si>
  <si>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</si>
  <si>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</si>
  <si>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</si>
  <si>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</si>
  <si>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</si>
  <si>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</si>
  <si>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</si>
  <si>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</si>
  <si>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</si>
  <si>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</si>
  <si>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</si>
  <si>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</si>
  <si>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</si>
  <si>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</si>
  <si>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</si>
  <si>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</si>
  <si>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</si>
  <si>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</si>
  <si>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</si>
  <si>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</si>
  <si>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</si>
  <si>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</si>
  <si>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</si>
  <si>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</si>
  <si>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</si>
  <si>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</si>
  <si>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</si>
  <si>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</si>
  <si>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</si>
  <si>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</si>
  <si>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</si>
  <si>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</si>
  <si>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</si>
  <si>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</si>
  <si>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</si>
  <si>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</si>
  <si>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</si>
  <si>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</si>
  <si>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</si>
  <si>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</si>
  <si>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</si>
  <si>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</si>
  <si>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</si>
  <si>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</si>
  <si>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</si>
  <si>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</si>
  <si>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</si>
  <si>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</si>
  <si>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</si>
  <si>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</si>
  <si>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</si>
  <si>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</si>
  <si>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</si>
  <si>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</si>
  <si>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</si>
  <si>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</si>
  <si>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</si>
  <si>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</si>
  <si>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</si>
  <si>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</si>
  <si>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</si>
  <si>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</si>
  <si>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</si>
  <si>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</si>
  <si>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</si>
  <si>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</si>
  <si>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</si>
  <si>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</si>
  <si>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</si>
  <si>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</si>
  <si>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</si>
  <si>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</si>
  <si>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</si>
  <si>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</si>
  <si>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</si>
  <si>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</si>
  <si>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</si>
  <si>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</si>
  <si>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</si>
  <si>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</si>
  <si>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</si>
  <si>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</si>
  <si>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</si>
  <si>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</si>
  <si>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</si>
  <si>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</si>
  <si>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</si>
  <si>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</si>
  <si>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</si>
  <si>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</si>
  <si>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</si>
  <si>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</si>
  <si>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</si>
  <si>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</si>
  <si>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</si>
  <si>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</si>
  <si>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</si>
  <si>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</si>
  <si>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</si>
  <si>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</si>
  <si>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</si>
  <si>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</si>
  <si>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</si>
  <si>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</si>
  <si>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</si>
  <si>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</si>
  <si>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</si>
  <si>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</si>
  <si>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</si>
  <si>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</si>
  <si>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</si>
  <si>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</si>
  <si>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</si>
  <si>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</si>
  <si>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</si>
  <si>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</si>
  <si>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</si>
  <si>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</si>
  <si>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</si>
  <si>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</si>
  <si>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</si>
  <si>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</si>
  <si>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</si>
  <si>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</si>
  <si>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</si>
  <si>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</si>
  <si>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</si>
  <si>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</si>
  <si>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</si>
  <si>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</si>
  <si>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</si>
  <si>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</si>
  <si>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</si>
  <si>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</si>
  <si>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</si>
  <si>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</si>
  <si>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</si>
  <si>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</si>
  <si>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</si>
  <si>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</si>
  <si>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</si>
  <si>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</si>
  <si>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</si>
  <si>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</si>
  <si>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</si>
  <si>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</si>
  <si>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</si>
  <si>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</si>
  <si>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</si>
  <si>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CUB C/R FRENTE 90°</t>
  </si>
  <si>
    <t>N° 11389</t>
  </si>
  <si>
    <t>MARIA GALLEGUILLOS</t>
  </si>
  <si>
    <t>56998712672</t>
  </si>
  <si>
    <t>5 DIAS HABILES</t>
  </si>
  <si>
    <t>POR TRANSPORTES</t>
  </si>
  <si>
    <t>GRANITINO NEGRO 3014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</si>
</sst>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6" zoomScale="93" zoomScaleNormal="93" workbookViewId="0">
      <selection activeCell="H36" sqref="H36"/>
    </sheetView>
  </sheetViews>
  <sheetFormatPr baseColWidth="10" defaultRowHeight="14.4" x14ac:dyDescent="0.3"/>
  <cols>
    <col min="1" max="1" width="6" customWidth="1"/>
    <col min="2" max="2" width="10.5546875" customWidth="1"/>
    <col min="3" max="3" width="30" customWidth="1"/>
    <col min="4" max="4" width="11.109375" customWidth="1"/>
    <col min="5" max="5" width="10.5546875" customWidth="1"/>
    <col min="6" max="6" width="30.8867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169</v>
      </c>
      <c r="D10" s="243"/>
      <c r="E10" s="243"/>
      <c r="F10" s="244" t="s">
        <v>0</v>
      </c>
      <c r="G10" s="276">
        <v>45757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172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165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69098.986496586775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167</v>
      </c>
      <c r="D21" s="331">
        <v>2.02</v>
      </c>
      <c r="E21" s="331">
        <v>0.61</v>
      </c>
      <c r="F21" s="330" t="s">
        <v>173</v>
      </c>
      <c r="G21" s="332">
        <v>91516</v>
      </c>
      <c r="H21" s="332">
        <f>G21*B21</f>
        <v>91516</v>
      </c>
      <c r="I21" s="320"/>
      <c r="J21" s="265"/>
      <c r="K21" s="47"/>
      <c r="L21" s="47">
        <f>B21</f>
        <v>1</v>
      </c>
      <c r="M21" s="39">
        <f>D21+M$19</f>
        <v>2.1</v>
      </c>
      <c r="N21" s="39">
        <f>E21+$N$19</f>
        <v>0.61</v>
      </c>
      <c r="O21" s="261">
        <f t="shared" ref="O21" si="1">M21*N21</f>
        <v>1.2809999999999999</v>
      </c>
      <c r="P21" s="259">
        <f t="shared" ref="P21" si="2">O21*L21</f>
        <v>1.2809999999999999</v>
      </c>
      <c r="Q21" s="252">
        <f t="shared" ref="Q21" si="3">Q$20*O21</f>
        <v>88515.801702127646</v>
      </c>
      <c r="R21" s="319">
        <f t="shared" ref="R21" si="4">Q21+R$20</f>
        <v>91515.801702127646</v>
      </c>
      <c r="S21" s="297">
        <f>M21*L21</f>
        <v>2.1</v>
      </c>
      <c r="T21" s="46">
        <f>N21*2*L21*2</f>
        <v>2.44</v>
      </c>
      <c r="U21" s="9"/>
      <c r="X21" s="4"/>
    </row>
    <row r="22" spans="2:25" ht="17.399999999999999" x14ac:dyDescent="0.3">
      <c r="B22" s="330">
        <v>1</v>
      </c>
      <c r="C22" s="330" t="s">
        <v>167</v>
      </c>
      <c r="D22" s="331">
        <v>1.51</v>
      </c>
      <c r="E22" s="331">
        <v>0.61</v>
      </c>
      <c r="F22" s="330" t="s">
        <v>173</v>
      </c>
      <c r="G22" s="332">
        <v>70019</v>
      </c>
      <c r="H22" s="332">
        <f>G22*B22</f>
        <v>70019</v>
      </c>
      <c r="I22" s="320"/>
      <c r="J22" s="265"/>
      <c r="K22" s="47"/>
      <c r="L22" s="47">
        <f>B22</f>
        <v>1</v>
      </c>
      <c r="M22" s="39">
        <f>D22+M$19</f>
        <v>1.59</v>
      </c>
      <c r="N22" s="39">
        <f>E22+$N$19</f>
        <v>0.61</v>
      </c>
      <c r="O22" s="261">
        <f t="shared" ref="O22" si="5">M22*N22</f>
        <v>0.96989999999999998</v>
      </c>
      <c r="P22" s="259">
        <f t="shared" ref="P22" si="6">O22*L22</f>
        <v>0.96989999999999998</v>
      </c>
      <c r="Q22" s="252">
        <f t="shared" ref="Q22" si="7">Q$20*O22</f>
        <v>67019.107003039506</v>
      </c>
      <c r="R22" s="319">
        <f t="shared" ref="R22" si="8">Q22+R$20</f>
        <v>70019.107003039506</v>
      </c>
      <c r="S22" s="297"/>
      <c r="T22" s="46"/>
      <c r="U22" s="9"/>
      <c r="X22" s="4"/>
    </row>
    <row r="23" spans="2:25" ht="17.399999999999999" x14ac:dyDescent="0.3">
      <c r="B23" s="330">
        <v>1</v>
      </c>
      <c r="C23" s="330" t="s">
        <v>167</v>
      </c>
      <c r="D23" s="331">
        <v>2.81</v>
      </c>
      <c r="E23" s="331">
        <v>0.61</v>
      </c>
      <c r="F23" s="330" t="s">
        <v>173</v>
      </c>
      <c r="G23" s="332">
        <v>124815</v>
      </c>
      <c r="H23" s="332">
        <f>G23*B23</f>
        <v>124815</v>
      </c>
      <c r="I23" s="320"/>
      <c r="J23" s="265"/>
      <c r="K23" s="47"/>
      <c r="L23" s="47">
        <f>B23</f>
        <v>1</v>
      </c>
      <c r="M23" s="39">
        <f>D23+M$19</f>
        <v>2.89</v>
      </c>
      <c r="N23" s="39">
        <f>E23+$N$19</f>
        <v>0.61</v>
      </c>
      <c r="O23" s="261">
        <f t="shared" ref="O23" si="9">M23*N23</f>
        <v>1.7629000000000001</v>
      </c>
      <c r="P23" s="259">
        <f t="shared" ref="P23" si="10">O23*L23</f>
        <v>1.7629000000000001</v>
      </c>
      <c r="Q23" s="252">
        <f t="shared" ref="Q23" si="11">Q$20*O23</f>
        <v>121814.60329483284</v>
      </c>
      <c r="R23" s="319">
        <f t="shared" ref="R23" si="12">Q23+R$20</f>
        <v>124814.60329483284</v>
      </c>
      <c r="S23" s="297"/>
      <c r="T23" s="46"/>
      <c r="U23" s="9"/>
      <c r="X23" s="4"/>
    </row>
    <row r="24" spans="2:25" ht="17.399999999999999" x14ac:dyDescent="0.3">
      <c r="B24" s="345"/>
      <c r="C24" s="345"/>
      <c r="D24" s="346"/>
      <c r="E24" s="346"/>
      <c r="F24" s="345"/>
      <c r="G24" s="320"/>
      <c r="H24" s="320"/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1"/>
      <c r="I25" s="323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4" t="s">
        <v>28</v>
      </c>
      <c r="H26" s="325">
        <f>SUM(H21:H25)</f>
        <v>286350</v>
      </c>
      <c r="I26" s="322"/>
      <c r="J26" s="265"/>
      <c r="K26" s="47">
        <v>2600000</v>
      </c>
      <c r="L26" s="47"/>
      <c r="M26" s="39"/>
      <c r="N26" s="39"/>
      <c r="O26" s="261"/>
      <c r="P26" s="259"/>
      <c r="Q26" s="252"/>
      <c r="R26" s="258"/>
      <c r="S26" s="297"/>
      <c r="T26" s="46">
        <f>SUM(T21:T25)</f>
        <v>2.44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51</v>
      </c>
      <c r="H27" s="294"/>
      <c r="I27" s="322"/>
      <c r="J27" s="265"/>
      <c r="K27" s="47"/>
      <c r="L27" s="47"/>
      <c r="M27" s="39">
        <f>SUM(M21:M23)</f>
        <v>6.58</v>
      </c>
      <c r="N27" s="12"/>
      <c r="O27" s="12"/>
      <c r="P27" s="253">
        <f>SUM(P21:P25)</f>
        <v>4.0137999999999998</v>
      </c>
      <c r="Q27" s="14"/>
      <c r="R27" s="12"/>
      <c r="S27" s="239">
        <f>SUM(S21:S26)</f>
        <v>2.1</v>
      </c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286350</v>
      </c>
      <c r="I28" s="322"/>
      <c r="J28" s="265"/>
      <c r="K28" s="47"/>
      <c r="L28" s="47"/>
      <c r="M28" s="39"/>
      <c r="N28" s="12"/>
      <c r="O28" s="12"/>
      <c r="P28" s="253">
        <f>P27</f>
        <v>4.0137999999999998</v>
      </c>
      <c r="Q28" s="14"/>
      <c r="R28" s="12"/>
      <c r="S28" s="239"/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0.80276000000000003</v>
      </c>
      <c r="Q29" s="39" t="s">
        <v>130</v>
      </c>
      <c r="R29" s="42"/>
      <c r="S29" s="240"/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4.81656</v>
      </c>
      <c r="Q30" s="14"/>
      <c r="R30" s="14"/>
      <c r="S30" s="238"/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/>
      <c r="T31" s="14"/>
      <c r="U31" s="302" t="s">
        <v>21</v>
      </c>
      <c r="V31" s="299" t="s">
        <v>151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4.81656</v>
      </c>
      <c r="N32" s="12">
        <v>3500</v>
      </c>
      <c r="O32" s="12">
        <f t="shared" ref="O32:O37" si="13">M32*N32</f>
        <v>16857.96</v>
      </c>
      <c r="P32" s="14" t="s">
        <v>21</v>
      </c>
      <c r="Q32" s="14"/>
      <c r="R32" s="14"/>
      <c r="S32" s="241"/>
      <c r="T32" s="14"/>
      <c r="U32" s="302" t="s">
        <v>152</v>
      </c>
      <c r="V32" s="299">
        <v>3625</v>
      </c>
      <c r="W32" s="59" t="s">
        <v>153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1.5</v>
      </c>
      <c r="N33" s="12">
        <v>25000</v>
      </c>
      <c r="O33" s="12">
        <f t="shared" si="13"/>
        <v>37500</v>
      </c>
      <c r="P33" s="39" t="s">
        <v>31</v>
      </c>
      <c r="Q33" s="42"/>
      <c r="R33" s="14"/>
      <c r="S33" s="240"/>
      <c r="T33" s="14"/>
      <c r="U33" s="302"/>
      <c r="V33" s="59">
        <v>906.25</v>
      </c>
      <c r="W33" s="59" t="s">
        <v>154</v>
      </c>
      <c r="X33" s="304"/>
    </row>
    <row r="34" spans="1:24" s="230" customFormat="1" ht="17.399999999999999" x14ac:dyDescent="0.35">
      <c r="B34" s="24" t="s">
        <v>150</v>
      </c>
      <c r="J34" s="262"/>
      <c r="K34" s="232"/>
      <c r="L34" s="250"/>
      <c r="M34" s="14">
        <v>1</v>
      </c>
      <c r="N34" s="250">
        <v>61840</v>
      </c>
      <c r="O34" s="12">
        <f t="shared" si="13"/>
        <v>61840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4" t="s">
        <v>155</v>
      </c>
      <c r="X34" s="59"/>
    </row>
    <row r="35" spans="1:24" s="230" customFormat="1" ht="17.399999999999999" x14ac:dyDescent="0.35">
      <c r="B35" s="24" t="s">
        <v>166</v>
      </c>
      <c r="C35"/>
      <c r="D35"/>
      <c r="E35"/>
      <c r="F35"/>
      <c r="J35" s="262"/>
      <c r="K35" s="232"/>
      <c r="L35" s="250"/>
      <c r="M35" s="14"/>
      <c r="N35" s="250">
        <v>26100</v>
      </c>
      <c r="O35" s="12">
        <f t="shared" si="13"/>
        <v>0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4" t="s">
        <v>156</v>
      </c>
      <c r="X35" s="59"/>
    </row>
    <row r="36" spans="1:24" s="230" customFormat="1" ht="17.399999999999999" x14ac:dyDescent="0.35">
      <c r="B36" s="29" t="s">
        <v>125</v>
      </c>
      <c r="C36"/>
      <c r="D36"/>
      <c r="E36"/>
      <c r="F36" s="229" t="s">
        <v>15</v>
      </c>
      <c r="J36" s="262"/>
      <c r="K36" s="260"/>
      <c r="L36" s="250"/>
      <c r="M36" s="249"/>
      <c r="N36" s="250">
        <v>900</v>
      </c>
      <c r="O36" s="12">
        <f t="shared" si="13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/>
      <c r="K37" s="260"/>
      <c r="L37" s="250"/>
      <c r="M37" s="266">
        <v>6.58</v>
      </c>
      <c r="N37" s="12">
        <v>1500</v>
      </c>
      <c r="O37" s="12">
        <f t="shared" si="13"/>
        <v>9870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126067.95999999999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50"/>
      <c r="M39" s="254" t="s">
        <v>33</v>
      </c>
      <c r="N39" s="12"/>
      <c r="O39" s="255">
        <f>O38*2.2</f>
        <v>277349.51199999999</v>
      </c>
      <c r="P39" s="14" t="s">
        <v>140</v>
      </c>
      <c r="Q39" s="14"/>
      <c r="R39" s="40">
        <f>P30/R38</f>
        <v>1.2986842105263157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K40" s="230">
        <v>31030</v>
      </c>
      <c r="L40" s="250"/>
      <c r="M40" s="14"/>
      <c r="N40" s="12"/>
      <c r="O40" s="12">
        <f>O39/P28</f>
        <v>69098.986496586775</v>
      </c>
      <c r="P40" s="45" t="s">
        <v>24</v>
      </c>
      <c r="Q40" s="14"/>
      <c r="R40" s="14"/>
      <c r="S40"/>
      <c r="T40" s="238"/>
      <c r="U40" s="59" t="s">
        <v>157</v>
      </c>
      <c r="V40" s="299">
        <v>43650</v>
      </c>
    </row>
    <row r="41" spans="1:24" s="230" customFormat="1" ht="17.399999999999999" x14ac:dyDescent="0.35">
      <c r="G41"/>
      <c r="K41" s="230">
        <f>K40/1.19</f>
        <v>26075.63025210084</v>
      </c>
      <c r="L41" s="250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159</v>
      </c>
      <c r="V41" s="300" t="s">
        <v>158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160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155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147</v>
      </c>
    </row>
    <row r="76" spans="3:15" x14ac:dyDescent="0.3">
      <c r="C76" t="s">
        <v>146</v>
      </c>
    </row>
    <row r="79" spans="3:15" x14ac:dyDescent="0.3">
      <c r="C79" t="s">
        <v>146</v>
      </c>
    </row>
    <row r="156" spans="3:3" x14ac:dyDescent="0.3">
      <c r="C156" t="s">
        <v>146</v>
      </c>
    </row>
    <row r="157" spans="3:3" x14ac:dyDescent="0.3">
      <c r="C157" t="s">
        <v>148</v>
      </c>
    </row>
    <row r="158" spans="3:3" x14ac:dyDescent="0.3">
      <c r="C158" t="s">
        <v>149</v>
      </c>
    </row>
    <row r="583" spans="3:3" x14ac:dyDescent="0.3">
      <c r="C583" t="s">
        <v>146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45757</v>
      </c>
    </row>
    <row r="6" spans="2:31" ht="16.2" thickBot="1" x14ac:dyDescent="0.35">
      <c r="B6" s="140" t="s">
        <v>2</v>
      </c>
      <c r="C6" s="139" t="str">
        <f>'2229'!C10</f>
        <v>MARIA GALLEGUILLOS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11389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-7566.1860334541125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286350</v>
      </c>
      <c r="E11" s="132">
        <f>D11*0.19</f>
        <v>54406.5</v>
      </c>
      <c r="F11" s="131">
        <f>E11+D11</f>
        <v>340756.5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98423.813966545888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146032.0507874396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80423.813966545888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140317.9492125604</v>
      </c>
      <c r="E13" s="221">
        <f>(D11/D12)-1</f>
        <v>0.96087090783107265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71423.813966545888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32423.813966545888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240952.88379927533</v>
      </c>
      <c r="F15" s="216">
        <f>E15-D12</f>
        <v>94920.833011835726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32423.813966545888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72423.813966545888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61840</v>
      </c>
      <c r="E18" s="123">
        <f>D18*0.19</f>
        <v>11749.6</v>
      </c>
      <c r="F18" s="120">
        <f>SUM(D18:E18)</f>
        <v>73589.600000000006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16857.96</v>
      </c>
      <c r="E20" s="121">
        <f>D20*0.19</f>
        <v>3203.0124000000001</v>
      </c>
      <c r="F20" s="120">
        <f>SUM(D20:E20)</f>
        <v>20060.972399999999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116197.95999999999</v>
      </c>
      <c r="E21" s="116">
        <f>SUM(E18:E20)</f>
        <v>22077.612399999998</v>
      </c>
      <c r="F21" s="115">
        <f>SUM(F18:F20)</f>
        <v>138275.5724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32328.887600000002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286350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116197.95999999999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140317.9492125604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140317.9492125604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2025-03-04T21:04:33Z</cp:lastPrinted>
  <dcterms:created xsi:type="dcterms:W3CDTF">2013-03-18T13:35:42Z</dcterms:created>
  <dcterms:modified xsi:type="dcterms:W3CDTF">2025-04-10T12:50:47Z</dcterms:modified>
</cp:coreProperties>
</file>