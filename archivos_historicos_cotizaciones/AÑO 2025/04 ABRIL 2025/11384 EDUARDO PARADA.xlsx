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342298FC-6F41-4B80-9A1D-ABE8E65E1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L22" i="1"/>
  <c r="M22" i="1"/>
  <c r="N22" i="1"/>
  <c r="O22" i="1" s="1"/>
  <c r="P22" i="1" s="1"/>
  <c r="H22" i="1"/>
  <c r="L21" i="1"/>
  <c r="N21" i="1"/>
  <c r="M21" i="1" l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<sst xmlns="http://schemas.openxmlformats.org/spreadsheetml/2006/main" count="231" uniqueCount="174">
  <si>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</si>
  <si>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</si>
  <si>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</si>
  <si>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</si>
  <si>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</si>
  <si>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</si>
  <si>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</si>
  <si>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</si>
  <si>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</si>
  <si>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</si>
  <si>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</si>
  <si>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</si>
  <si>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</si>
  <si>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</si>
  <si>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</si>
  <si>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</si>
  <si>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</si>
  <si>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</si>
  <si>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</si>
  <si>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</si>
  <si>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</si>
  <si>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</si>
  <si>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</si>
  <si>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</si>
  <si>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</si>
  <si>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</si>
  <si>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</si>
  <si>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</si>
  <si>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</si>
  <si>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</si>
  <si>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</si>
  <si>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</si>
  <si>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</si>
  <si>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</si>
  <si>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</si>
  <si>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</si>
  <si>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</si>
  <si>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</si>
  <si>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</si>
  <si>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</si>
  <si>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</si>
  <si>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</si>
  <si>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</si>
  <si>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</si>
  <si>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</si>
  <si>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</si>
  <si>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</si>
  <si>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</si>
  <si>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</si>
  <si>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</si>
  <si>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</si>
  <si>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</si>
  <si>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</si>
  <si>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</si>
  <si>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</si>
  <si>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</si>
  <si>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</si>
  <si>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</si>
  <si>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</si>
  <si>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</si>
  <si>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</si>
  <si>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</si>
  <si>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</si>
  <si>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</si>
  <si>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</si>
  <si>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</si>
  <si>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</si>
  <si>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</si>
  <si>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</si>
  <si>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</si>
  <si>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</si>
  <si>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</si>
  <si>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</si>
  <si>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</si>
  <si>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</si>
  <si>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</si>
  <si>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</si>
  <si>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</si>
  <si>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</si>
  <si>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</si>
  <si>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</si>
  <si>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</si>
  <si>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</si>
  <si>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</si>
  <si>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</si>
  <si>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</si>
  <si>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</si>
  <si>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</si>
  <si>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</si>
  <si>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</si>
  <si>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</si>
  <si>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</si>
  <si>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</si>
  <si>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</si>
  <si>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</si>
  <si>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</si>
  <si>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</si>
  <si>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</si>
  <si>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</si>
  <si>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</si>
  <si>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</si>
  <si>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</si>
  <si>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</si>
  <si>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</si>
  <si>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</si>
  <si>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</si>
  <si>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</si>
  <si>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</si>
  <si>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</si>
  <si>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</si>
  <si>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</si>
  <si>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</si>
  <si>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</si>
  <si>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</si>
  <si>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</si>
  <si>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</si>
  <si>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</si>
  <si>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</si>
  <si>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</si>
  <si>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</si>
  <si>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</si>
  <si>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</si>
  <si>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</si>
  <si>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</si>
  <si>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</si>
  <si>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</si>
  <si>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</si>
  <si>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</si>
  <si>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</si>
  <si>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</si>
  <si>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</si>
  <si>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</si>
  <si>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</si>
  <si>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</si>
  <si>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</si>
  <si>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</si>
  <si>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</si>
  <si>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</si>
  <si>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</si>
  <si>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</si>
  <si>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</si>
  <si>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</si>
  <si>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</si>
  <si>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</si>
  <si>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</si>
  <si>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</si>
  <si>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</si>
  <si>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</si>
  <si>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</si>
  <si>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</si>
  <si>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</si>
  <si>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</si>
  <si>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</si>
  <si>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</si>
  <si>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</si>
  <si>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</si>
  <si>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</si>
  <si>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</si>
  <si>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</si>
  <si>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</si>
  <si>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</si>
  <si>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</si>
  <si>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</si>
  <si>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</si>
  <si>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</si>
  <si>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</si>
  <si>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</si>
  <si>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CUB C/R FRENTE 180°</t>
  </si>
  <si>
    <t>RUT : 77.054.606-0 CORREO: FRANCODONOSO@TOPMOBILI.CL</t>
  </si>
  <si>
    <t>N° 11384</t>
  </si>
  <si>
    <t>EDUARDO PARADA</t>
  </si>
  <si>
    <t>56979368390</t>
  </si>
  <si>
    <t>CLASSIC 3111 F6 BRILLO</t>
  </si>
  <si>
    <t>CUB C/R FRENTE 180° 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</si>
</sst>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21" borderId="1" xfId="0" applyFont="1" applyFill="1" applyBorder="1" applyAlignment="1">
      <alignment horizontal="center" vertical="center"/>
    </xf>
    <xf numFmtId="166" fontId="32" fillId="21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DEBE LLEVAR UNION DE LAMINADO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>
        <v>45754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66960.61813745425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45">
        <v>1</v>
      </c>
      <c r="C21" s="345" t="s">
        <v>173</v>
      </c>
      <c r="D21" s="346">
        <v>3.11</v>
      </c>
      <c r="E21" s="346">
        <v>0.61</v>
      </c>
      <c r="F21" s="345" t="s">
        <v>172</v>
      </c>
      <c r="G21" s="332">
        <v>133299</v>
      </c>
      <c r="H21" s="332">
        <f>G21*B21</f>
        <v>133299</v>
      </c>
      <c r="I21" s="320"/>
      <c r="J21" s="265"/>
      <c r="K21" s="47"/>
      <c r="L21" s="47">
        <f>B21</f>
        <v>1</v>
      </c>
      <c r="M21" s="39">
        <f>D21+M$19</f>
        <v>3.19</v>
      </c>
      <c r="N21" s="39">
        <f>E21+$N$19</f>
        <v>0.61</v>
      </c>
      <c r="O21" s="261">
        <f t="shared" ref="O21" si="1">M21*N21</f>
        <v>1.9459</v>
      </c>
      <c r="P21" s="259">
        <f t="shared" ref="P21" si="2">O21*L21</f>
        <v>1.9459</v>
      </c>
      <c r="Q21" s="252">
        <f t="shared" ref="Q21" si="3">Q$20*O21</f>
        <v>130298.66683367222</v>
      </c>
      <c r="R21" s="319">
        <f t="shared" ref="R21" si="4">Q21+R$20</f>
        <v>133298.66683367221</v>
      </c>
      <c r="S21" s="297">
        <f>M21*L21</f>
        <v>3.19</v>
      </c>
      <c r="T21" s="46">
        <f>N21*2*L21*2</f>
        <v>2.44</v>
      </c>
      <c r="U21" s="9"/>
      <c r="X21" s="4"/>
    </row>
    <row r="22" spans="1:25" ht="17.399999999999999" x14ac:dyDescent="0.3">
      <c r="B22" s="330">
        <v>1</v>
      </c>
      <c r="C22" s="330" t="s">
        <v>167</v>
      </c>
      <c r="D22" s="331">
        <v>1.3</v>
      </c>
      <c r="E22" s="331">
        <v>0.55000000000000004</v>
      </c>
      <c r="F22" s="330" t="s">
        <v>172</v>
      </c>
      <c r="G22" s="332">
        <v>53823</v>
      </c>
      <c r="H22" s="332">
        <f>G22*B22</f>
        <v>53823</v>
      </c>
      <c r="I22" s="320"/>
      <c r="J22" s="265"/>
      <c r="K22" s="47"/>
      <c r="L22" s="47">
        <f>B22</f>
        <v>1</v>
      </c>
      <c r="M22" s="39">
        <f>D22+M$19</f>
        <v>1.3800000000000001</v>
      </c>
      <c r="N22" s="39">
        <f>E22+$N$19</f>
        <v>0.55000000000000004</v>
      </c>
      <c r="O22" s="261">
        <f t="shared" ref="O22" si="5">M22*N22</f>
        <v>0.75900000000000012</v>
      </c>
      <c r="P22" s="259">
        <f t="shared" ref="P22" si="6">O22*L22</f>
        <v>0.75900000000000012</v>
      </c>
      <c r="Q22" s="252">
        <f t="shared" ref="Q22" si="7">Q$20*O22</f>
        <v>50823.109166327784</v>
      </c>
      <c r="R22" s="319">
        <f t="shared" ref="R22" si="8">Q22+R$20</f>
        <v>53823.109166327784</v>
      </c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187122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35553.18</v>
      </c>
      <c r="I25" s="322"/>
      <c r="J25" s="265"/>
      <c r="K25" s="47"/>
      <c r="L25" s="47"/>
      <c r="M25" s="39">
        <f>SUM(M21:M22)</f>
        <v>4.57</v>
      </c>
      <c r="N25" s="12"/>
      <c r="O25" s="12"/>
      <c r="P25" s="253">
        <f>SUM(P21:P23)</f>
        <v>2.7049000000000003</v>
      </c>
      <c r="Q25" s="14"/>
      <c r="R25" s="12"/>
      <c r="S25" s="239">
        <f>SUM(S21:S24)</f>
        <v>3.19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222675.18</v>
      </c>
      <c r="I26" s="322"/>
      <c r="J26" s="265"/>
      <c r="K26" s="47"/>
      <c r="L26" s="47"/>
      <c r="M26" s="39"/>
      <c r="N26" s="12"/>
      <c r="O26" s="12"/>
      <c r="P26" s="253">
        <f>P25</f>
        <v>2.7049000000000003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0.54098000000000013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3.2458800000000005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3.2458800000000005</v>
      </c>
      <c r="N30" s="12">
        <v>3500</v>
      </c>
      <c r="O30" s="12">
        <f t="shared" ref="O30:O35" si="9">M30*N30</f>
        <v>11360.580000000002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25000</v>
      </c>
      <c r="O31" s="12">
        <f t="shared" si="9"/>
        <v>25000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168</v>
      </c>
      <c r="C33"/>
      <c r="D33"/>
      <c r="E33"/>
      <c r="F33"/>
      <c r="J33" s="262"/>
      <c r="K33" s="232"/>
      <c r="L33" s="250"/>
      <c r="M33" s="14">
        <v>1.5</v>
      </c>
      <c r="N33" s="250">
        <v>26075</v>
      </c>
      <c r="O33" s="12">
        <f t="shared" si="9"/>
        <v>39112.5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4.57</v>
      </c>
      <c r="N35" s="12">
        <v>1500</v>
      </c>
      <c r="O35" s="12">
        <f t="shared" si="9"/>
        <v>6855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82328.08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181121.77600000001</v>
      </c>
      <c r="P37" s="14" t="s">
        <v>140</v>
      </c>
      <c r="Q37" s="14"/>
      <c r="R37" s="40">
        <f>P28/R36</f>
        <v>0.87518334771354633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66960.61813745425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45754</v>
      </c>
    </row>
    <row r="6" spans="2:31" ht="16.2" thickBot="1" x14ac:dyDescent="0.35">
      <c r="B6" s="140" t="s">
        <v>2</v>
      </c>
      <c r="C6" s="139" t="str">
        <f>'2229'!C10</f>
        <v>EDUARDO PARADA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-12983.465533454104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187122</v>
      </c>
      <c r="E11" s="132">
        <f>D11*0.19</f>
        <v>35553.18</v>
      </c>
      <c r="F11" s="131">
        <f>E11+D11</f>
        <v>222675.18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93006.534466545898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66194.670787439623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75006.534466545898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120927.32921256038</v>
      </c>
      <c r="E13" s="221">
        <f>(D11/D12)-1</f>
        <v>1.8268438799382354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66006.534466545898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27006.534466545898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109221.20679927537</v>
      </c>
      <c r="F15" s="216">
        <f>E15-D12</f>
        <v>43026.536011835749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27006.534466545898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67006.534466545898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11360.580000000002</v>
      </c>
      <c r="E20" s="121">
        <f>D20*0.19</f>
        <v>2158.5102000000002</v>
      </c>
      <c r="F20" s="120">
        <f>SUM(D20:E20)</f>
        <v>13519.090200000002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36360.58</v>
      </c>
      <c r="E21" s="116">
        <f>SUM(E18:E20)</f>
        <v>6908.5102000000006</v>
      </c>
      <c r="F21" s="115">
        <f>SUM(F18:F20)</f>
        <v>43269.090200000006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28644.6698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187122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36360.58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120927.32921256038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120927.32921256038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2025-04-07T19:27:19Z</dcterms:modified>
</cp:coreProperties>
</file>