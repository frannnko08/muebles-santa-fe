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5 MAYO 2025\"/>
    </mc:Choice>
  </mc:AlternateContent>
  <xr:revisionPtr revIDLastSave="0" documentId="13_ncr:1_{F54E9513-949F-451A-AC73-909A12D3B9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7" i="1" l="1"/>
  <c r="L21" i="1"/>
  <c r="N21" i="1"/>
  <c r="T21" i="1" l="1"/>
  <c r="M21" i="1"/>
  <c r="S21" i="1" s="1"/>
  <c r="T24" i="1" l="1"/>
  <c r="M25" i="1"/>
  <c r="S25" i="1"/>
  <c r="S27" i="1" s="1"/>
  <c r="O21" i="1"/>
  <c r="P21" i="1" s="1"/>
  <c r="P25" i="1" s="1"/>
  <c r="K39" i="1"/>
  <c r="S28" i="1" l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8" i="1" l="1"/>
  <c r="D20" i="3"/>
  <c r="E20" i="3" s="1"/>
  <c r="E21" i="3" s="1"/>
  <c r="Q20" i="1" l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l="1"/>
  <c r="D11" i="3" l="1"/>
  <c r="X9" i="3" s="1"/>
  <c r="X15" i="3" s="1"/>
  <c r="H26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<sst xmlns="http://schemas.openxmlformats.org/spreadsheetml/2006/main" count="229" uniqueCount="173">
  <si>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</si>
  <si>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</si>
  <si>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</si>
  <si>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</si>
  <si>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</si>
  <si>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</si>
  <si>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</si>
  <si>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</si>
  <si>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</si>
  <si>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</si>
  <si>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</si>
  <si>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</si>
  <si>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</si>
  <si>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</si>
  <si>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</si>
  <si>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</si>
  <si>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</si>
  <si>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</si>
  <si>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</si>
  <si>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</si>
  <si>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</si>
  <si>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</si>
  <si>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</si>
  <si>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</si>
  <si>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</si>
  <si>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</si>
  <si>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</si>
  <si>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</si>
  <si>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</si>
  <si>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</si>
  <si>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</si>
  <si>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</si>
  <si>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</si>
  <si>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</si>
  <si>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</si>
  <si>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</si>
  <si>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</si>
  <si>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</si>
  <si>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</si>
  <si>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</si>
  <si>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</si>
  <si>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</si>
  <si>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</si>
  <si>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</si>
  <si>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</si>
  <si>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</si>
  <si>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</si>
  <si>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</si>
  <si>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</si>
  <si>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</si>
  <si>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</si>
  <si>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</si>
  <si>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</si>
  <si>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</si>
  <si>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</si>
  <si>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</si>
  <si>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</si>
  <si>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</si>
  <si>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</si>
  <si>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</si>
  <si>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</si>
  <si>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</si>
  <si>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</si>
  <si>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</si>
  <si>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</si>
  <si>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</si>
  <si>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</si>
  <si>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</si>
  <si>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</si>
  <si>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</si>
  <si>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</si>
  <si>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</si>
  <si>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</si>
  <si>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</si>
  <si>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</si>
  <si>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</si>
  <si>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</si>
  <si>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</si>
  <si>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</si>
  <si>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</si>
  <si>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</si>
  <si>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</si>
  <si>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</si>
  <si>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</si>
  <si>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</si>
  <si>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</si>
  <si>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</si>
  <si>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</si>
  <si>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</si>
  <si>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</si>
  <si>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</si>
  <si>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</si>
  <si>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</si>
  <si>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</si>
  <si>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</si>
  <si>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</si>
  <si>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</si>
  <si>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</si>
  <si>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</si>
  <si>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</si>
  <si>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</si>
  <si>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</si>
  <si>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</si>
  <si>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</si>
  <si>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</si>
  <si>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</si>
  <si>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</si>
  <si>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</si>
  <si>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</si>
  <si>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</si>
  <si>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</si>
  <si>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</si>
  <si>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</si>
  <si>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</si>
  <si>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</si>
  <si>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</si>
  <si>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</si>
  <si>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</si>
  <si>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</si>
  <si>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</si>
  <si>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</si>
  <si>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</si>
  <si>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</si>
  <si>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</si>
  <si>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</si>
  <si>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</si>
  <si>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</si>
  <si>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</si>
  <si>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</si>
  <si>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</si>
  <si>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</si>
  <si>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</si>
  <si>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</si>
  <si>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</si>
  <si>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</si>
  <si>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</si>
  <si>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</si>
  <si>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</si>
  <si>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</si>
  <si>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</si>
  <si>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</si>
  <si>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</si>
  <si>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</si>
  <si>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</si>
  <si>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</si>
  <si>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</si>
  <si>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</si>
  <si>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</si>
  <si>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</si>
  <si>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</si>
  <si>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</si>
  <si>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</si>
  <si>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</si>
  <si>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</si>
  <si>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</si>
  <si>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</si>
  <si>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</si>
  <si>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</si>
  <si>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</si>
  <si>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</si>
  <si>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</si>
  <si>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</si>
  <si>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</si>
  <si>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</si>
  <si>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</si>
  <si>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</si>
  <si>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</si>
  <si>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7 DIAS HABILES</t>
  </si>
  <si>
    <t>JUAN GONZALEZ</t>
  </si>
  <si>
    <t>+569 4219 4105</t>
  </si>
  <si>
    <t>N° 11446</t>
  </si>
  <si>
    <t>CUB CON RESPALDO 3O CMS Y FRENTE 90°</t>
  </si>
  <si>
    <t>WHITE ASHWOOD 10159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</si>
</sst>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4" fillId="20" borderId="3" xfId="0" applyFont="1" applyFill="1" applyBorder="1" applyAlignment="1">
      <alignment horizontal="center"/>
    </xf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20" borderId="40" xfId="0" applyFont="1" applyFill="1" applyBorder="1" applyAlignment="1">
      <alignment horizontal="center" vertical="center"/>
    </xf>
    <xf numFmtId="0" fontId="5" fillId="20" borderId="39" xfId="0" applyFont="1" applyFill="1" applyBorder="1" applyAlignment="1">
      <alignment horizontal="center" vertical="center"/>
    </xf>
    <xf numFmtId="0" fontId="5" fillId="20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solidFill>
          <a:schemeClr val="bg2">
            <a:lumMod val="90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</a:t>
          </a:r>
          <a:r>
            <a:rPr lang="es-CL" sz="1200" b="1" baseline="0"/>
            <a:t> ENTREGAN CON SOBRED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3.5546875" customWidth="1"/>
    <col min="5" max="5" width="10.5546875" customWidth="1"/>
    <col min="6" max="6" width="32.8867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8.10937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7" t="s">
        <v>126</v>
      </c>
      <c r="C8" s="328"/>
      <c r="D8" s="329" t="s">
        <v>170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3" t="s">
        <v>162</v>
      </c>
      <c r="C10" s="278" t="s">
        <v>168</v>
      </c>
      <c r="D10" s="243"/>
      <c r="E10" s="243"/>
      <c r="F10" s="244" t="s">
        <v>0</v>
      </c>
      <c r="G10" s="276">
        <v>45805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6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4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5"/>
      <c r="H13" s="289"/>
      <c r="Q13" s="19"/>
      <c r="R13" s="25"/>
      <c r="S13" s="19"/>
    </row>
    <row r="14" spans="2:24" x14ac:dyDescent="0.3">
      <c r="B14" s="246" t="s">
        <v>139</v>
      </c>
      <c r="C14" s="312"/>
      <c r="D14" s="247"/>
      <c r="E14" s="247"/>
      <c r="F14" s="313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7" t="s">
        <v>169</v>
      </c>
      <c r="D15" s="308"/>
      <c r="F15" t="s">
        <v>134</v>
      </c>
      <c r="G15" s="306" t="s">
        <v>135</v>
      </c>
      <c r="H15" s="289"/>
    </row>
    <row r="16" spans="2:24" ht="16.8" x14ac:dyDescent="0.4">
      <c r="B16" s="314" t="s">
        <v>3</v>
      </c>
      <c r="C16" s="304"/>
      <c r="D16" s="247"/>
      <c r="E16" s="247"/>
      <c r="F16" s="315" t="s">
        <v>129</v>
      </c>
      <c r="G16" s="316" t="s">
        <v>163</v>
      </c>
      <c r="H16" s="248"/>
    </row>
    <row r="17" spans="1:25" ht="15" thickBot="1" x14ac:dyDescent="0.35">
      <c r="B17" s="309" t="s">
        <v>13</v>
      </c>
      <c r="C17" s="310" t="s">
        <v>166</v>
      </c>
      <c r="D17" s="311"/>
      <c r="E17" s="119"/>
      <c r="F17" s="333" t="s">
        <v>165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>
        <v>0.3</v>
      </c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30" t="s">
        <v>7</v>
      </c>
      <c r="C20" s="331" t="s">
        <v>1</v>
      </c>
      <c r="D20" s="331" t="s">
        <v>10</v>
      </c>
      <c r="E20" s="331" t="s">
        <v>11</v>
      </c>
      <c r="F20" s="331" t="s">
        <v>8</v>
      </c>
      <c r="G20" s="331" t="s">
        <v>5</v>
      </c>
      <c r="H20" s="332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>E20</f>
        <v>ANCHO</v>
      </c>
      <c r="O20" s="261" t="s">
        <v>132</v>
      </c>
      <c r="P20" s="259" t="s">
        <v>16</v>
      </c>
      <c r="Q20" s="252">
        <f>O38</f>
        <v>58122.502951593851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24">
        <v>5</v>
      </c>
      <c r="C21" s="324" t="s">
        <v>171</v>
      </c>
      <c r="D21" s="325">
        <v>3</v>
      </c>
      <c r="E21" s="325">
        <v>0.8</v>
      </c>
      <c r="F21" s="324" t="s">
        <v>172</v>
      </c>
      <c r="G21" s="326">
        <v>199199</v>
      </c>
      <c r="H21" s="326">
        <f>G21*B21</f>
        <v>995995</v>
      </c>
      <c r="I21" s="318"/>
      <c r="J21" s="265"/>
      <c r="K21" s="47"/>
      <c r="L21" s="47">
        <f>B21</f>
        <v>5</v>
      </c>
      <c r="M21" s="267">
        <f>D21+M$19</f>
        <v>3.08</v>
      </c>
      <c r="N21" s="267">
        <f>E21+$N$19</f>
        <v>1.1000000000000001</v>
      </c>
      <c r="O21" s="261">
        <f t="shared" ref="O21" si="0">M21*N21</f>
        <v>3.3880000000000003</v>
      </c>
      <c r="P21" s="259">
        <f t="shared" ref="P21" si="1">O21*L21</f>
        <v>16.940000000000001</v>
      </c>
      <c r="Q21" s="252">
        <f t="shared" ref="Q21" si="2">Q$20*O21</f>
        <v>196919.03999999998</v>
      </c>
      <c r="R21" s="317">
        <f t="shared" ref="R21" si="3">Q21+R$20</f>
        <v>199919.03999999998</v>
      </c>
      <c r="S21" s="295">
        <f>M21*L21</f>
        <v>15.4</v>
      </c>
      <c r="T21" s="46">
        <f>N21*2*L21</f>
        <v>11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18"/>
      <c r="H22" s="318"/>
      <c r="I22" s="318"/>
      <c r="J22" s="265"/>
      <c r="K22" s="47"/>
      <c r="L22" s="47"/>
      <c r="M22" s="39"/>
      <c r="N22" s="39"/>
      <c r="O22" s="261"/>
      <c r="P22" s="259"/>
      <c r="Q22" s="252"/>
      <c r="R22" s="317"/>
      <c r="S22" s="295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19"/>
      <c r="I23" s="321"/>
      <c r="J23" s="233"/>
      <c r="K23" s="47"/>
      <c r="L23" s="47"/>
      <c r="M23" s="39"/>
      <c r="N23" s="39"/>
      <c r="O23" s="261"/>
      <c r="P23" s="259"/>
      <c r="Q23" s="252"/>
      <c r="R23" s="258"/>
      <c r="S23" s="295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2" t="s">
        <v>28</v>
      </c>
      <c r="H24" s="323">
        <f>SUM(H21:H23)</f>
        <v>995995</v>
      </c>
      <c r="I24" s="320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5"/>
      <c r="T24" s="46">
        <f>SUM(T21:T23)</f>
        <v>11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4" t="s">
        <v>51</v>
      </c>
      <c r="H25" s="292">
        <f>H24*19%</f>
        <v>189239.05</v>
      </c>
      <c r="I25" s="320"/>
      <c r="J25" s="265"/>
      <c r="K25" s="47"/>
      <c r="L25" s="47"/>
      <c r="M25" s="39">
        <f>SUM(M21:M21)</f>
        <v>3.08</v>
      </c>
      <c r="N25" s="12"/>
      <c r="O25" s="12"/>
      <c r="P25" s="253">
        <f>SUM(P21:P23)</f>
        <v>16.940000000000001</v>
      </c>
      <c r="Q25" s="14"/>
      <c r="R25" s="12"/>
      <c r="S25" s="239">
        <f>SUM(S21:S24)</f>
        <v>15.4</v>
      </c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3">
        <f>H24+H25</f>
        <v>1185234.05</v>
      </c>
      <c r="I26" s="320"/>
      <c r="J26" s="265"/>
      <c r="K26" s="47"/>
      <c r="L26" s="47"/>
      <c r="M26" s="39"/>
      <c r="N26" s="12"/>
      <c r="O26" s="12"/>
      <c r="P26" s="253">
        <f>P25</f>
        <v>16.940000000000001</v>
      </c>
      <c r="Q26" s="14"/>
      <c r="R26" s="12"/>
      <c r="S26" s="239"/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3.3880000000000003</v>
      </c>
      <c r="Q27" s="39" t="s">
        <v>130</v>
      </c>
      <c r="R27" s="42"/>
      <c r="S27" s="240">
        <f>S25+T24</f>
        <v>26.4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20.328000000000003</v>
      </c>
      <c r="Q28" s="14"/>
      <c r="R28" s="14"/>
      <c r="S28" s="238">
        <f>S27*20%</f>
        <v>5.28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31.68</v>
      </c>
      <c r="T29" s="14"/>
      <c r="U29" s="300" t="s">
        <v>21</v>
      </c>
      <c r="V29" s="297" t="s">
        <v>152</v>
      </c>
      <c r="W29" s="301">
        <v>44971</v>
      </c>
      <c r="X29" s="302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20.328000000000003</v>
      </c>
      <c r="N30" s="12">
        <v>3500</v>
      </c>
      <c r="O30" s="12">
        <f t="shared" ref="O30:O35" si="4">M30*N30</f>
        <v>71148.000000000015</v>
      </c>
      <c r="P30" s="14" t="s">
        <v>21</v>
      </c>
      <c r="Q30" s="14"/>
      <c r="R30" s="14"/>
      <c r="S30" s="241"/>
      <c r="T30" s="14"/>
      <c r="U30" s="300" t="s">
        <v>153</v>
      </c>
      <c r="V30" s="297">
        <v>3625</v>
      </c>
      <c r="W30" s="59" t="s">
        <v>154</v>
      </c>
      <c r="X30" s="302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6</v>
      </c>
      <c r="N31" s="12">
        <v>23500</v>
      </c>
      <c r="O31" s="12">
        <f t="shared" si="4"/>
        <v>141000</v>
      </c>
      <c r="P31" s="39" t="s">
        <v>31</v>
      </c>
      <c r="Q31" s="42"/>
      <c r="R31" s="14"/>
      <c r="S31" s="240"/>
      <c r="T31" s="14"/>
      <c r="U31" s="300"/>
      <c r="V31" s="59">
        <v>906.25</v>
      </c>
      <c r="W31" s="59" t="s">
        <v>155</v>
      </c>
      <c r="X31" s="302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36000</v>
      </c>
      <c r="O32" s="12">
        <f t="shared" si="4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2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/>
      <c r="L33" s="250"/>
      <c r="M33" s="14">
        <v>5</v>
      </c>
      <c r="N33" s="250">
        <v>35000</v>
      </c>
      <c r="O33" s="12">
        <f t="shared" si="4"/>
        <v>175000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2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4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1"/>
      <c r="K35" s="260"/>
      <c r="L35" s="250"/>
      <c r="M35" s="266">
        <v>15.4</v>
      </c>
      <c r="N35" s="12">
        <v>1500</v>
      </c>
      <c r="O35" s="12">
        <f t="shared" si="4"/>
        <v>23100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410248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O36*2.4</f>
        <v>984595.2</v>
      </c>
      <c r="P37" s="14" t="s">
        <v>140</v>
      </c>
      <c r="Q37" s="14"/>
      <c r="R37" s="40">
        <f>P28/R36</f>
        <v>5.4810181190681631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30840</v>
      </c>
      <c r="L38" s="250"/>
      <c r="M38" s="14"/>
      <c r="N38" s="12"/>
      <c r="O38" s="12">
        <f>O37/P26</f>
        <v>58122.502951593851</v>
      </c>
      <c r="P38" s="45" t="s">
        <v>24</v>
      </c>
      <c r="Q38" s="14"/>
      <c r="R38" s="14"/>
      <c r="S38"/>
      <c r="T38" s="238"/>
      <c r="U38" s="59" t="s">
        <v>158</v>
      </c>
      <c r="V38" s="297">
        <v>43650</v>
      </c>
    </row>
    <row r="39" spans="2:24" s="230" customFormat="1" ht="17.399999999999999" x14ac:dyDescent="0.35">
      <c r="G39"/>
      <c r="K39" s="230">
        <f>K38/1.19</f>
        <v>25915.966386554624</v>
      </c>
      <c r="L39" s="250"/>
      <c r="M39" s="13"/>
      <c r="N39" s="14"/>
      <c r="O39" s="17">
        <f>O37/O36</f>
        <v>2.4</v>
      </c>
      <c r="P39" s="15"/>
      <c r="Q39"/>
      <c r="R39"/>
      <c r="S39"/>
      <c r="T39" s="238"/>
      <c r="U39" s="59" t="s">
        <v>160</v>
      </c>
      <c r="V39" s="298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299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45805</v>
      </c>
    </row>
    <row r="6" spans="2:31" ht="16.2" thickBot="1" x14ac:dyDescent="0.35">
      <c r="B6" s="140" t="s">
        <v>2</v>
      </c>
      <c r="C6" s="139" t="str">
        <f>'2229'!C10</f>
        <v>JUAN GONZALEZ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11446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-99454.091700120785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995995</v>
      </c>
      <c r="E11" s="132">
        <f>D11*0.19</f>
        <v>189239.05</v>
      </c>
      <c r="F11" s="131">
        <f>E11+D11</f>
        <v>1185234.05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6535.9082998792146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241982.09078743961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-11464.091700120785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754012.90921256039</v>
      </c>
      <c r="E13" s="221">
        <f>(D11/D12)-1</f>
        <v>3.1159864218005113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-20464.091700120785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-59464.091700120785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399270.44979927532</v>
      </c>
      <c r="F15" s="216">
        <f>E15-D12</f>
        <v>157288.35901183571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-59464.091700120785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-19464.091700120785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141000</v>
      </c>
      <c r="E19" s="123">
        <f>D19*0.19</f>
        <v>26790</v>
      </c>
      <c r="F19" s="120">
        <f>SUM(D19:E19)</f>
        <v>167790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71148.000000000015</v>
      </c>
      <c r="E20" s="121">
        <f>D20*0.19</f>
        <v>13518.120000000003</v>
      </c>
      <c r="F20" s="120">
        <f>SUM(D20:E20)</f>
        <v>84666.120000000024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212148</v>
      </c>
      <c r="E21" s="116">
        <f>SUM(E18:E20)</f>
        <v>40308.120000000003</v>
      </c>
      <c r="F21" s="115">
        <f>SUM(F18:F20)</f>
        <v>252456.12000000002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148930.93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995995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212148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754012.90921256039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754012.90921256039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2024-11-15T12:18:00Z</cp:lastPrinted>
  <dcterms:created xsi:type="dcterms:W3CDTF">2013-03-18T13:35:42Z</dcterms:created>
  <dcterms:modified xsi:type="dcterms:W3CDTF">2025-05-28T19:09:10Z</dcterms:modified>
</cp:coreProperties>
</file>