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502163BC-986D-42A7-87DB-12F0477F6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O38" i="1"/>
  <c r="P26" i="1"/>
  <c r="L22" i="1"/>
  <c r="M22" i="1"/>
  <c r="N22" i="1"/>
  <c r="O22" i="1"/>
  <c r="P22" i="1" s="1"/>
  <c r="L21" i="1"/>
  <c r="N21" i="1"/>
  <c r="M21" i="1" l="1"/>
  <c r="M26" i="1" s="1"/>
  <c r="S21" i="1" l="1"/>
  <c r="S26" i="1" s="1"/>
  <c r="T21" i="1"/>
  <c r="T25" i="1" s="1"/>
  <c r="O21" i="1"/>
  <c r="P21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9" i="1" l="1"/>
  <c r="D20" i="3"/>
  <c r="E20" i="3" s="1"/>
  <c r="E21" i="3" s="1"/>
  <c r="Q20" i="1" l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<sst xmlns="http://schemas.openxmlformats.org/spreadsheetml/2006/main" count="237" uniqueCount="180">
  <si>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</si>
  <si>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</si>
  <si>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</si>
  <si>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</si>
  <si>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</si>
  <si>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</si>
  <si>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</si>
  <si>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</si>
  <si>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</si>
  <si>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</si>
  <si>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</si>
  <si>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</si>
  <si>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</si>
  <si>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</si>
  <si>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</si>
  <si>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</si>
  <si>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</si>
  <si>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</si>
  <si>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</si>
  <si>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</si>
  <si>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</si>
  <si>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</si>
  <si>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</si>
  <si>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</si>
  <si>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</si>
  <si>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</si>
  <si>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</si>
  <si>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</si>
  <si>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</si>
  <si>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</si>
  <si>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</si>
  <si>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</si>
  <si>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</si>
  <si>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</si>
  <si>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</si>
  <si>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</si>
  <si>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</si>
  <si>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</si>
  <si>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</si>
  <si>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</si>
  <si>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</si>
  <si>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</si>
  <si>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</si>
  <si>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</si>
  <si>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</si>
  <si>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</si>
  <si>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</si>
  <si>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</si>
  <si>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</si>
  <si>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</si>
  <si>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</si>
  <si>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</si>
  <si>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</si>
  <si>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</si>
  <si>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</si>
  <si>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</si>
  <si>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</si>
  <si>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</si>
  <si>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</si>
  <si>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</si>
  <si>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</si>
  <si>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</si>
  <si>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</si>
  <si>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</si>
  <si>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</si>
  <si>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</si>
  <si>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</si>
  <si>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</si>
  <si>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</si>
  <si>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</si>
  <si>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</si>
  <si>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</si>
  <si>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</si>
  <si>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</si>
  <si>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</si>
  <si>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</si>
  <si>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</si>
  <si>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</si>
  <si>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</si>
  <si>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</si>
  <si>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</si>
  <si>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</si>
  <si>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</si>
  <si>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</si>
  <si>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</si>
  <si>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</si>
  <si>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</si>
  <si>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</si>
  <si>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</si>
  <si>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</si>
  <si>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</si>
  <si>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</si>
  <si>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</si>
  <si>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</si>
  <si>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</si>
  <si>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</si>
  <si>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</si>
  <si>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</si>
  <si>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</si>
  <si>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</si>
  <si>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</si>
  <si>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</si>
  <si>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</si>
  <si>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</si>
  <si>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</si>
  <si>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</si>
  <si>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</si>
  <si>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</si>
  <si>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</si>
  <si>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</si>
  <si>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</si>
  <si>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</si>
  <si>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</si>
  <si>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</si>
  <si>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</si>
  <si>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</si>
  <si>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</si>
  <si>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</si>
  <si>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</si>
  <si>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</si>
  <si>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</si>
  <si>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</si>
  <si>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</si>
  <si>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</si>
  <si>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</si>
  <si>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</si>
  <si>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</si>
  <si>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</si>
  <si>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</si>
  <si>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</si>
  <si>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</si>
  <si>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</si>
  <si>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</si>
  <si>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</si>
  <si>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</si>
  <si>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</si>
  <si>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</si>
  <si>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</si>
  <si>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</si>
  <si>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</si>
  <si>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</si>
  <si>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</si>
  <si>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</si>
  <si>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</si>
  <si>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</si>
  <si>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</si>
  <si>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</si>
  <si>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</si>
  <si>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</si>
  <si>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</si>
  <si>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</si>
  <si>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</si>
  <si>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</si>
  <si>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</si>
  <si>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</si>
  <si>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</si>
  <si>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</si>
  <si>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</si>
  <si>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</si>
  <si>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</si>
  <si>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</si>
  <si>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</si>
  <si>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</si>
  <si>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</si>
  <si>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</si>
  <si>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</si>
  <si>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EMBALAJE</t>
  </si>
  <si>
    <t>PLAZO ENTREGA</t>
  </si>
  <si>
    <t>FECHA</t>
  </si>
  <si>
    <t>DESPACHO</t>
  </si>
  <si>
    <t>ANDRES</t>
  </si>
  <si>
    <t>+569 8494 4601</t>
  </si>
  <si>
    <t>STATUS SPA</t>
  </si>
  <si>
    <t>77.393.671-4</t>
  </si>
  <si>
    <t>VENTA DE MOBILIARIO</t>
  </si>
  <si>
    <t>APOQUINDO 6410 OF 605</t>
  </si>
  <si>
    <t>CUB SIN RESPALDO FTE. 90°</t>
  </si>
  <si>
    <t>HUMO 2108 MT</t>
  </si>
  <si>
    <t>CUB CON RESPALDO 90°</t>
  </si>
  <si>
    <t>N° 11435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</si>
</sst>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 CON SOBRE MEDIDA EN EL LARGO,</a:t>
          </a:r>
          <a:r>
            <a:rPr lang="es-CL" sz="1200" b="1" baseline="0"/>
            <a:t> PERO PUEDE PEDIR TERMNACIONES, ESO TIENE UN RECARGO, PUEDE SOLICITARLO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3.33203125" customWidth="1"/>
    <col min="4" max="4" width="11.109375" customWidth="1"/>
    <col min="5" max="5" width="10.5546875" customWidth="1"/>
    <col min="6" max="6" width="28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159</v>
      </c>
      <c r="C10" s="278" t="s">
        <v>172</v>
      </c>
      <c r="D10" s="243"/>
      <c r="E10" s="243"/>
      <c r="F10" s="244" t="s">
        <v>168</v>
      </c>
      <c r="G10" s="276">
        <v>45791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173</v>
      </c>
      <c r="F11" t="s">
        <v>167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142</v>
      </c>
      <c r="C12" s="306" t="s">
        <v>174</v>
      </c>
      <c r="D12" s="247"/>
      <c r="E12" s="247"/>
      <c r="F12" s="247" t="s">
        <v>126</v>
      </c>
      <c r="G12" s="277" t="s">
        <v>133</v>
      </c>
      <c r="H12" s="248"/>
      <c r="Q12" s="19"/>
      <c r="R12" s="25"/>
      <c r="S12" s="19"/>
    </row>
    <row r="13" spans="2:24" x14ac:dyDescent="0.3">
      <c r="B13" s="287" t="s">
        <v>143</v>
      </c>
      <c r="C13" t="s">
        <v>170</v>
      </c>
      <c r="F13" t="s">
        <v>166</v>
      </c>
      <c r="G13" s="307" t="s">
        <v>133</v>
      </c>
      <c r="H13" s="289"/>
      <c r="Q13" s="19"/>
      <c r="R13" s="25"/>
      <c r="S13" s="19"/>
    </row>
    <row r="14" spans="2:24" x14ac:dyDescent="0.3">
      <c r="B14" s="246" t="s">
        <v>137</v>
      </c>
      <c r="C14" s="314"/>
      <c r="D14" s="247"/>
      <c r="E14" s="247"/>
      <c r="F14" s="247" t="s">
        <v>134</v>
      </c>
      <c r="G14" s="290" t="s">
        <v>133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169</v>
      </c>
      <c r="G15" s="308" t="s">
        <v>133</v>
      </c>
      <c r="H15" s="289"/>
    </row>
    <row r="16" spans="2:24" ht="16.8" x14ac:dyDescent="0.4">
      <c r="B16" s="315" t="s">
        <v>3</v>
      </c>
      <c r="C16" s="306" t="s">
        <v>175</v>
      </c>
      <c r="D16" s="247"/>
      <c r="E16" s="247"/>
      <c r="F16" s="316" t="s">
        <v>128</v>
      </c>
      <c r="G16" s="317" t="s">
        <v>160</v>
      </c>
      <c r="H16" s="248"/>
    </row>
    <row r="17" spans="1:25" ht="15" thickBot="1" x14ac:dyDescent="0.35">
      <c r="B17" s="311" t="s">
        <v>13</v>
      </c>
      <c r="C17" s="312" t="s">
        <v>163</v>
      </c>
      <c r="D17" s="313"/>
      <c r="E17" s="119"/>
      <c r="F17" s="332" t="s">
        <v>162</v>
      </c>
      <c r="G17" s="332"/>
      <c r="H17" s="33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O39</f>
        <v>71146.976744186046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29">
        <v>1</v>
      </c>
      <c r="C21" s="329" t="s">
        <v>176</v>
      </c>
      <c r="D21" s="330">
        <v>2</v>
      </c>
      <c r="E21" s="330">
        <v>0.6</v>
      </c>
      <c r="F21" s="329" t="s">
        <v>177</v>
      </c>
      <c r="G21" s="331">
        <v>91791</v>
      </c>
      <c r="H21" s="331">
        <f>G21*B21</f>
        <v>91791</v>
      </c>
      <c r="I21" s="319"/>
      <c r="J21" s="265"/>
      <c r="K21" s="47"/>
      <c r="L21" s="47">
        <f>B21</f>
        <v>1</v>
      </c>
      <c r="M21" s="39">
        <f>D21+M$19</f>
        <v>2.08</v>
      </c>
      <c r="N21" s="39">
        <f>E21+$N$19</f>
        <v>0.6</v>
      </c>
      <c r="O21" s="261">
        <f t="shared" ref="O21" si="1">M21*N21</f>
        <v>1.248</v>
      </c>
      <c r="P21" s="259">
        <f t="shared" ref="P21" si="2">O21*L21</f>
        <v>1.248</v>
      </c>
      <c r="Q21" s="252">
        <f t="shared" ref="Q21" si="3">Q$20*O21</f>
        <v>88791.426976744187</v>
      </c>
      <c r="R21" s="318">
        <f t="shared" ref="R21" si="4">Q21+R$20</f>
        <v>91791.426976744187</v>
      </c>
      <c r="S21" s="297">
        <f>M21*L21</f>
        <v>2.08</v>
      </c>
      <c r="T21" s="46">
        <f>N21*2*L21*2</f>
        <v>2.4</v>
      </c>
      <c r="U21" s="9"/>
      <c r="X21" s="4"/>
    </row>
    <row r="22" spans="1:25" ht="17.399999999999999" x14ac:dyDescent="0.3">
      <c r="B22" s="329">
        <v>1</v>
      </c>
      <c r="C22" s="329" t="s">
        <v>178</v>
      </c>
      <c r="D22" s="330">
        <v>3</v>
      </c>
      <c r="E22" s="330">
        <v>0.6</v>
      </c>
      <c r="F22" s="329" t="s">
        <v>177</v>
      </c>
      <c r="G22" s="331">
        <v>134480</v>
      </c>
      <c r="H22" s="331">
        <f>G22*B22</f>
        <v>134480</v>
      </c>
      <c r="I22" s="319"/>
      <c r="J22" s="265"/>
      <c r="K22" s="47"/>
      <c r="L22" s="47">
        <f>B22</f>
        <v>1</v>
      </c>
      <c r="M22" s="39">
        <f>D22+M$19</f>
        <v>3.08</v>
      </c>
      <c r="N22" s="39">
        <f>E22+$N$19</f>
        <v>0.6</v>
      </c>
      <c r="O22" s="261">
        <f t="shared" ref="O22" si="5">M22*N22</f>
        <v>1.8479999999999999</v>
      </c>
      <c r="P22" s="259">
        <f t="shared" ref="P22" si="6">O22*L22</f>
        <v>1.8479999999999999</v>
      </c>
      <c r="Q22" s="252">
        <f t="shared" ref="Q22" si="7">Q$20*O22</f>
        <v>131479.61302325581</v>
      </c>
      <c r="R22" s="318">
        <f t="shared" ref="R22" si="8">Q22+R$20</f>
        <v>134479.61302325581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9"/>
      <c r="H23" s="319"/>
      <c r="I23" s="319"/>
      <c r="J23" s="265"/>
      <c r="K23" s="47"/>
      <c r="L23" s="47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f>SUM(H21:H24)</f>
        <v>226271</v>
      </c>
      <c r="I25" s="321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42991.49</v>
      </c>
      <c r="I26" s="321"/>
      <c r="J26" s="265"/>
      <c r="K26" s="47"/>
      <c r="L26" s="47"/>
      <c r="M26" s="39">
        <f>SUM(M21:M21)</f>
        <v>2.08</v>
      </c>
      <c r="N26" s="12"/>
      <c r="O26" s="12"/>
      <c r="P26" s="253">
        <f>SUM(P21:P24)</f>
        <v>3.0960000000000001</v>
      </c>
      <c r="Q26" s="14"/>
      <c r="R26" s="12"/>
      <c r="S26" s="239">
        <f>SUM(S21:S25)</f>
        <v>2.08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269262.49</v>
      </c>
      <c r="I27" s="321"/>
      <c r="J27" s="265"/>
      <c r="K27" s="47"/>
      <c r="L27" s="47"/>
      <c r="M27" s="39"/>
      <c r="N27" s="12"/>
      <c r="O27" s="12"/>
      <c r="P27" s="253">
        <f>P26</f>
        <v>3.0960000000000001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0.61920000000000008</v>
      </c>
      <c r="Q28" s="39" t="s">
        <v>129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3.7152000000000003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2" t="s">
        <v>21</v>
      </c>
      <c r="V30" s="299" t="s">
        <v>149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3.7152000000000003</v>
      </c>
      <c r="N31" s="12">
        <v>3500</v>
      </c>
      <c r="O31" s="12">
        <f t="shared" ref="O31:O36" si="9">M31*N31</f>
        <v>13003.2</v>
      </c>
      <c r="P31" s="14" t="s">
        <v>21</v>
      </c>
      <c r="Q31" s="14"/>
      <c r="R31" s="14"/>
      <c r="S31" s="241"/>
      <c r="T31" s="14"/>
      <c r="U31" s="302" t="s">
        <v>150</v>
      </c>
      <c r="V31" s="299">
        <v>3625</v>
      </c>
      <c r="W31" s="59" t="s">
        <v>151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23500</v>
      </c>
      <c r="O32" s="12">
        <f t="shared" si="9"/>
        <v>23500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152</v>
      </c>
      <c r="X32" s="304"/>
    </row>
    <row r="33" spans="2:24" s="230" customFormat="1" ht="17.399999999999999" x14ac:dyDescent="0.35">
      <c r="B33" s="24" t="s">
        <v>148</v>
      </c>
      <c r="J33" s="262"/>
      <c r="K33" s="232"/>
      <c r="L33" s="250"/>
      <c r="M33" s="14">
        <v>1</v>
      </c>
      <c r="N33" s="250">
        <v>59000</v>
      </c>
      <c r="O33" s="12">
        <f t="shared" si="9"/>
        <v>59000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153</v>
      </c>
      <c r="X33" s="59"/>
    </row>
    <row r="34" spans="2:24" s="230" customFormat="1" ht="17.399999999999999" x14ac:dyDescent="0.35">
      <c r="B34" s="24" t="s">
        <v>164</v>
      </c>
      <c r="C34"/>
      <c r="D34"/>
      <c r="E34"/>
      <c r="F34"/>
      <c r="J34" s="262"/>
      <c r="K34" s="232"/>
      <c r="L34" s="250"/>
      <c r="M34" s="14"/>
      <c r="N34" s="250">
        <v>26937</v>
      </c>
      <c r="O34" s="12">
        <f t="shared" si="9"/>
        <v>0</v>
      </c>
      <c r="P34" s="14" t="s">
        <v>139</v>
      </c>
      <c r="Q34" s="17"/>
      <c r="S34" s="238"/>
      <c r="T34" s="256"/>
      <c r="U34" s="59"/>
      <c r="V34" s="59">
        <f>V32+V33</f>
        <v>1087.5</v>
      </c>
      <c r="W34" s="304" t="s">
        <v>154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3.08</v>
      </c>
      <c r="N36" s="12">
        <v>1500</v>
      </c>
      <c r="O36" s="12">
        <f t="shared" si="9"/>
        <v>4620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100123.2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220271.04</v>
      </c>
      <c r="P38" s="14" t="s">
        <v>138</v>
      </c>
      <c r="Q38" s="14"/>
      <c r="R38" s="40">
        <f>P29/R37</f>
        <v>1.0017256255392579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70040</v>
      </c>
      <c r="L39" s="250"/>
      <c r="M39" s="14"/>
      <c r="N39" s="12"/>
      <c r="O39" s="12">
        <f>O38/P27</f>
        <v>71146.976744186046</v>
      </c>
      <c r="P39" s="45" t="s">
        <v>24</v>
      </c>
      <c r="Q39" s="14"/>
      <c r="R39" s="14"/>
      <c r="S39"/>
      <c r="T39" s="238"/>
      <c r="U39" s="59" t="s">
        <v>155</v>
      </c>
      <c r="V39" s="299">
        <v>43650</v>
      </c>
    </row>
    <row r="40" spans="2:24" s="230" customFormat="1" ht="17.399999999999999" x14ac:dyDescent="0.35">
      <c r="G40"/>
      <c r="K40" s="230">
        <f>K39/1.19</f>
        <v>58857.142857142862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300" t="s">
        <v>156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158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45791</v>
      </c>
    </row>
    <row r="6" spans="2:31" ht="16.2" thickBot="1" x14ac:dyDescent="0.35">
      <c r="B6" s="140" t="s">
        <v>2</v>
      </c>
      <c r="C6" s="139" t="str">
        <f>'2229'!C10</f>
        <v>STATUS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11435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-3244.0783667874398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226271</v>
      </c>
      <c r="E11" s="132">
        <f>D11*0.19</f>
        <v>42991.49</v>
      </c>
      <c r="F11" s="131">
        <f>E11+D11</f>
        <v>269262.49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102745.92163321257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125337.29078743962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84745.921633212565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100933.70921256038</v>
      </c>
      <c r="E13" s="221">
        <f>(D11/D12)-1</f>
        <v>0.80529672038096445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75745.921633212565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36745.921633212558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206806.52979927536</v>
      </c>
      <c r="F15" s="216">
        <f>E15-D12</f>
        <v>81469.239011835743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36745.921633212558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76745.921633212565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59000</v>
      </c>
      <c r="E18" s="123">
        <f>D18*0.19</f>
        <v>11210</v>
      </c>
      <c r="F18" s="120">
        <f>SUM(D18:E18)</f>
        <v>70210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13003.2</v>
      </c>
      <c r="E20" s="121">
        <f>D20*0.19</f>
        <v>2470.6080000000002</v>
      </c>
      <c r="F20" s="120">
        <f>SUM(D20:E20)</f>
        <v>15473.808000000001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95503.2</v>
      </c>
      <c r="E21" s="116">
        <f>SUM(E18:E20)</f>
        <v>18145.608</v>
      </c>
      <c r="F21" s="115">
        <f>SUM(F18:F20)</f>
        <v>113648.808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24845.881999999998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226271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95503.2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100933.70921256038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100933.70921256038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2025-05-13T13:46:52Z</cp:lastPrinted>
  <dcterms:created xsi:type="dcterms:W3CDTF">2013-03-18T13:35:42Z</dcterms:created>
  <dcterms:modified xsi:type="dcterms:W3CDTF">2025-05-14T16:24:08Z</dcterms:modified>
</cp:coreProperties>
</file>