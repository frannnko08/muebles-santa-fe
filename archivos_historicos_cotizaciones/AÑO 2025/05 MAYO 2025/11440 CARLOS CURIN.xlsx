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5 MAYO 2025\"/>
    </mc:Choice>
  </mc:AlternateContent>
  <xr:revisionPtr revIDLastSave="0" documentId="13_ncr:1_{9DFD9302-7B83-4B9C-B79F-529AACECE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3" i="1"/>
  <c r="O27" i="1"/>
  <c r="L23" i="1"/>
  <c r="N23" i="1" s="1"/>
  <c r="M23" i="1"/>
  <c r="K22" i="1"/>
  <c r="K23" i="1"/>
  <c r="M21" i="1"/>
  <c r="H21" i="1"/>
  <c r="L22" i="1"/>
  <c r="M22" i="1"/>
  <c r="H22" i="1"/>
  <c r="K21" i="1"/>
  <c r="O23" i="1" l="1"/>
  <c r="N22" i="1"/>
  <c r="O22" i="1" s="1"/>
  <c r="J41" i="1"/>
  <c r="L21" i="1"/>
  <c r="R21" i="1" l="1"/>
  <c r="L26" i="1"/>
  <c r="S21" i="1"/>
  <c r="N21" i="1"/>
  <c r="O21" i="1" s="1"/>
  <c r="U34" i="1"/>
  <c r="U35" i="1" s="1"/>
  <c r="R28" i="1" l="1"/>
  <c r="N33" i="1"/>
  <c r="O28" i="1" l="1"/>
  <c r="O29" i="1" s="1"/>
  <c r="O30" i="1" s="1"/>
  <c r="L32" i="1" s="1"/>
  <c r="M20" i="1"/>
  <c r="K20" i="1"/>
  <c r="N34" i="1" l="1"/>
  <c r="Q38" i="1"/>
  <c r="N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N32" i="1" l="1"/>
  <c r="Q39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P23" i="1" s="1"/>
  <c r="Q23" i="1" s="1"/>
  <c r="E15" i="3"/>
  <c r="P22" i="1" l="1"/>
  <c r="Q22" i="1" s="1"/>
  <c r="P21" i="1"/>
  <c r="H27" i="1" s="1"/>
  <c r="F15" i="3"/>
  <c r="Q21" i="1" l="1"/>
  <c r="D11" i="3" l="1"/>
  <c r="X9" i="3" s="1"/>
  <c r="X15" i="3" s="1"/>
  <c r="H28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<sst xmlns="http://schemas.openxmlformats.org/spreadsheetml/2006/main" count="234" uniqueCount="174">
  <si>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</si>
  <si>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</si>
  <si>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</si>
  <si>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</si>
  <si>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</si>
  <si>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</si>
  <si>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</si>
  <si>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</si>
  <si>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</si>
  <si>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</si>
  <si>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</si>
  <si>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</si>
  <si>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</si>
  <si>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</si>
  <si>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</si>
  <si>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</si>
  <si>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</si>
  <si>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</si>
  <si>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</si>
  <si>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</si>
  <si>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</si>
  <si>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</si>
  <si>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</si>
  <si>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</si>
  <si>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</si>
  <si>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</si>
  <si>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</si>
  <si>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</si>
  <si>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</si>
  <si>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</si>
  <si>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</si>
  <si>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</si>
  <si>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</si>
  <si>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</si>
  <si>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</si>
  <si>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</si>
  <si>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</si>
  <si>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</si>
  <si>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</si>
  <si>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</si>
  <si>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</si>
  <si>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</si>
  <si>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</si>
  <si>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</si>
  <si>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</si>
  <si>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</si>
  <si>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</si>
  <si>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</si>
  <si>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</si>
  <si>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</si>
  <si>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</si>
  <si>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</si>
  <si>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</si>
  <si>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</si>
  <si>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</si>
  <si>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</si>
  <si>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</si>
  <si>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</si>
  <si>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</si>
  <si>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</si>
  <si>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</si>
  <si>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</si>
  <si>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</si>
  <si>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</si>
  <si>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</si>
  <si>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</si>
  <si>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</si>
  <si>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</si>
  <si>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</si>
  <si>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</si>
  <si>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</si>
  <si>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</si>
  <si>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</si>
  <si>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</si>
  <si>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</si>
  <si>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</si>
  <si>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</si>
  <si>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</si>
  <si>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</si>
  <si>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</si>
  <si>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</si>
  <si>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</si>
  <si>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</si>
  <si>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</si>
  <si>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</si>
  <si>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</si>
  <si>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</si>
  <si>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</si>
  <si>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</si>
  <si>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</si>
  <si>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</si>
  <si>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</si>
  <si>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</si>
  <si>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</si>
  <si>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</si>
  <si>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</si>
  <si>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</si>
  <si>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</si>
  <si>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</si>
  <si>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</si>
  <si>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</si>
  <si>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</si>
  <si>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</si>
  <si>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</si>
  <si>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</si>
  <si>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</si>
  <si>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</si>
  <si>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</si>
  <si>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</si>
  <si>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</si>
  <si>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</si>
  <si>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</si>
  <si>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</si>
  <si>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</si>
  <si>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</si>
  <si>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</si>
  <si>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</si>
  <si>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</si>
  <si>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</si>
  <si>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</si>
  <si>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</si>
  <si>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</si>
  <si>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</si>
  <si>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</si>
  <si>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</si>
  <si>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</si>
  <si>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</si>
  <si>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</si>
  <si>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</si>
  <si>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</si>
  <si>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</si>
  <si>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</si>
  <si>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</si>
  <si>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</si>
  <si>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</si>
  <si>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</si>
  <si>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</si>
  <si>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</si>
  <si>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</si>
  <si>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</si>
  <si>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</si>
  <si>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</si>
  <si>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</si>
  <si>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</si>
  <si>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</si>
  <si>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</si>
  <si>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</si>
  <si>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</si>
  <si>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</si>
  <si>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</si>
  <si>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</si>
  <si>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</si>
  <si>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</si>
  <si>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</si>
  <si>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</si>
  <si>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</si>
  <si>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</si>
  <si>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</si>
  <si>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</si>
  <si>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</si>
  <si>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</si>
  <si>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</si>
  <si>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</si>
  <si>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</si>
  <si>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</si>
  <si>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</si>
  <si>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</si>
  <si>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</si>
  <si>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</si>
  <si>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N° 11440</t>
  </si>
  <si>
    <t>CARLOS CURIN</t>
  </si>
  <si>
    <t>569 8725 9962</t>
  </si>
  <si>
    <t xml:space="preserve">CUB C/R FRENTE 90° </t>
  </si>
  <si>
    <t>CLASSIC 3111 BR 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</si>
</sst>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4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32" fillId="0" borderId="0" xfId="0" quotePrefix="1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8193</xdr:colOff>
      <xdr:row>24</xdr:row>
      <xdr:rowOff>222558</xdr:rowOff>
    </xdr:from>
    <xdr:to>
      <xdr:col>5</xdr:col>
      <xdr:colOff>1635063</xdr:colOff>
      <xdr:row>28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870" y="4794558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18MM,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J26" sqref="J26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170</v>
      </c>
      <c r="D10" s="243"/>
      <c r="E10" s="243"/>
      <c r="F10" s="244" t="s">
        <v>0</v>
      </c>
      <c r="G10" s="277">
        <v>45797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171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32" t="s">
        <v>167</v>
      </c>
      <c r="G17" s="332"/>
      <c r="H17" s="333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4" t="s">
        <v>148</v>
      </c>
      <c r="C19" s="335"/>
      <c r="D19" s="335"/>
      <c r="E19" s="335"/>
      <c r="F19" s="335"/>
      <c r="G19" s="335"/>
      <c r="H19" s="336"/>
      <c r="I19" s="264"/>
      <c r="J19" s="5"/>
      <c r="K19" s="250"/>
      <c r="L19" s="14">
        <v>0.05</v>
      </c>
      <c r="M19" s="14">
        <v>0.12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N40</f>
        <v>77869.960317460325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9">
        <v>1</v>
      </c>
      <c r="C21" s="329" t="s">
        <v>172</v>
      </c>
      <c r="D21" s="330">
        <v>1.6</v>
      </c>
      <c r="E21" s="330">
        <v>0.6</v>
      </c>
      <c r="F21" s="329" t="s">
        <v>173</v>
      </c>
      <c r="G21" s="331">
        <v>80091</v>
      </c>
      <c r="H21" s="331">
        <f t="shared" ref="H21:H23" si="1">G21*B21</f>
        <v>80091</v>
      </c>
      <c r="I21" s="265"/>
      <c r="J21" s="47"/>
      <c r="K21" s="324">
        <f t="shared" ref="K21:K23" si="2">B21</f>
        <v>1</v>
      </c>
      <c r="L21" s="325">
        <f t="shared" ref="L21" si="3">D21+L$19</f>
        <v>1.6500000000000001</v>
      </c>
      <c r="M21" s="325">
        <f>E21</f>
        <v>0.6</v>
      </c>
      <c r="N21" s="261">
        <f t="shared" ref="N21" si="4">L21*M21</f>
        <v>0.99</v>
      </c>
      <c r="O21" s="259">
        <f t="shared" ref="O21" si="5">N21*K21</f>
        <v>0.99</v>
      </c>
      <c r="P21" s="252">
        <f>P$20*N21</f>
        <v>77091.260714285716</v>
      </c>
      <c r="Q21" s="258">
        <f t="shared" ref="Q21" si="6">P21+Q$20</f>
        <v>80091.260714285716</v>
      </c>
      <c r="R21" s="308">
        <f>L21*K21</f>
        <v>1.6500000000000001</v>
      </c>
      <c r="S21" s="46">
        <f>M21*K21*2</f>
        <v>1.2</v>
      </c>
      <c r="T21" s="9"/>
      <c r="W21" s="4"/>
    </row>
    <row r="22" spans="2:24" ht="17.399999999999999" x14ac:dyDescent="0.3">
      <c r="B22" s="329">
        <v>1</v>
      </c>
      <c r="C22" s="329" t="s">
        <v>172</v>
      </c>
      <c r="D22" s="330">
        <v>1.8</v>
      </c>
      <c r="E22" s="330">
        <v>0.6</v>
      </c>
      <c r="F22" s="329" t="s">
        <v>173</v>
      </c>
      <c r="G22" s="331">
        <v>106723</v>
      </c>
      <c r="H22" s="331">
        <f t="shared" si="1"/>
        <v>106723</v>
      </c>
      <c r="I22" s="265"/>
      <c r="J22" s="47"/>
      <c r="K22" s="324">
        <f t="shared" si="2"/>
        <v>1</v>
      </c>
      <c r="L22" s="325">
        <f t="shared" ref="L22" si="7">D22+L$19</f>
        <v>1.85</v>
      </c>
      <c r="M22" s="325">
        <f t="shared" ref="M22" si="8">E22+M$19</f>
        <v>0.72</v>
      </c>
      <c r="N22" s="261">
        <f t="shared" ref="N22" si="9">L22*M22</f>
        <v>1.3320000000000001</v>
      </c>
      <c r="O22" s="259">
        <f t="shared" ref="O22" si="10">N22*K22</f>
        <v>1.3320000000000001</v>
      </c>
      <c r="P22" s="252">
        <f>P$20*N22</f>
        <v>103722.78714285715</v>
      </c>
      <c r="Q22" s="258">
        <f t="shared" ref="Q22" si="11">P22+Q$20</f>
        <v>106722.78714285715</v>
      </c>
      <c r="R22" s="308"/>
      <c r="S22" s="46"/>
      <c r="T22" s="9"/>
      <c r="W22" s="4"/>
    </row>
    <row r="23" spans="2:24" ht="17.399999999999999" x14ac:dyDescent="0.3">
      <c r="B23" s="329">
        <v>1</v>
      </c>
      <c r="C23" s="329" t="s">
        <v>172</v>
      </c>
      <c r="D23" s="330">
        <v>1.3</v>
      </c>
      <c r="E23" s="330">
        <v>0.4</v>
      </c>
      <c r="F23" s="329" t="s">
        <v>173</v>
      </c>
      <c r="G23" s="331">
        <v>57665</v>
      </c>
      <c r="H23" s="331">
        <f t="shared" si="1"/>
        <v>57665</v>
      </c>
      <c r="I23" s="265"/>
      <c r="J23" s="47"/>
      <c r="K23" s="324">
        <f t="shared" si="2"/>
        <v>1</v>
      </c>
      <c r="L23" s="325">
        <f t="shared" ref="L23" si="12">D23+L$19</f>
        <v>1.35</v>
      </c>
      <c r="M23" s="325">
        <f t="shared" ref="M23" si="13">E23+M$19</f>
        <v>0.52</v>
      </c>
      <c r="N23" s="261">
        <f t="shared" ref="N23" si="14">L23*M23</f>
        <v>0.70200000000000007</v>
      </c>
      <c r="O23" s="259">
        <f t="shared" ref="O23" si="15">N23*K23</f>
        <v>0.70200000000000007</v>
      </c>
      <c r="P23" s="252">
        <f>P$20*N23</f>
        <v>54664.712142857155</v>
      </c>
      <c r="Q23" s="258">
        <f t="shared" ref="Q23" si="16">P23+Q$20</f>
        <v>57664.712142857155</v>
      </c>
      <c r="R23" s="308"/>
      <c r="S23" s="46"/>
      <c r="T23" s="9"/>
      <c r="W23" s="4"/>
    </row>
    <row r="24" spans="2:24" ht="17.399999999999999" x14ac:dyDescent="0.3">
      <c r="B24" s="327"/>
      <c r="C24" s="328"/>
      <c r="D24" s="327"/>
      <c r="E24" s="327"/>
      <c r="F24" s="327"/>
      <c r="G24" s="327"/>
      <c r="H24" s="327"/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29</v>
      </c>
      <c r="H26" s="310">
        <f>SUM(H21:H25)</f>
        <v>244479</v>
      </c>
      <c r="I26" s="265"/>
      <c r="J26" s="47"/>
      <c r="K26" s="47"/>
      <c r="L26" s="39">
        <f>SUM(L21:L25)</f>
        <v>4.8499999999999996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52</v>
      </c>
      <c r="H27" s="304">
        <f>H26*19%</f>
        <v>46451.01</v>
      </c>
      <c r="I27" s="265"/>
      <c r="J27" s="47"/>
      <c r="K27" s="47"/>
      <c r="L27" s="39"/>
      <c r="M27" s="12"/>
      <c r="N27" s="12"/>
      <c r="O27" s="253">
        <f>SUM(O21:O23)</f>
        <v>3.024</v>
      </c>
      <c r="P27" s="14"/>
      <c r="Q27" s="12"/>
      <c r="R27" s="239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290930.01</v>
      </c>
      <c r="I28" s="265"/>
      <c r="J28" s="47"/>
      <c r="K28" s="47"/>
      <c r="L28" s="39"/>
      <c r="M28" s="12"/>
      <c r="N28" s="12"/>
      <c r="O28" s="253">
        <f>O27</f>
        <v>3.024</v>
      </c>
      <c r="P28" s="14"/>
      <c r="Q28" s="12"/>
      <c r="R28" s="239">
        <f>SUM(R21:R27)</f>
        <v>1.6500000000000001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0.6048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3.6288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15" t="s">
        <v>22</v>
      </c>
      <c r="U31" s="312" t="s">
        <v>153</v>
      </c>
      <c r="V31" s="316">
        <v>44971</v>
      </c>
      <c r="W31" s="31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3.6288</v>
      </c>
      <c r="M32" s="12">
        <v>3500</v>
      </c>
      <c r="N32" s="12">
        <f t="shared" ref="N32:N37" si="17">L32*M32</f>
        <v>12700.8</v>
      </c>
      <c r="O32" s="14" t="s">
        <v>22</v>
      </c>
      <c r="P32" s="14"/>
      <c r="Q32" s="14"/>
      <c r="R32" s="241"/>
      <c r="S32" s="14"/>
      <c r="T32" s="315" t="s">
        <v>154</v>
      </c>
      <c r="U32" s="312">
        <v>3625</v>
      </c>
      <c r="V32" s="59" t="s">
        <v>155</v>
      </c>
      <c r="W32" s="31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7"/>
        <v>25000</v>
      </c>
      <c r="O33" s="39" t="s">
        <v>32</v>
      </c>
      <c r="P33" s="42"/>
      <c r="Q33" s="14"/>
      <c r="R33" s="240"/>
      <c r="S33" s="14"/>
      <c r="T33" s="315"/>
      <c r="U33" s="59">
        <v>906.25</v>
      </c>
      <c r="V33" s="59" t="s">
        <v>156</v>
      </c>
      <c r="W33" s="317"/>
    </row>
    <row r="34" spans="2:23" s="230" customFormat="1" ht="17.399999999999999" x14ac:dyDescent="0.35">
      <c r="I34" s="262"/>
      <c r="J34" s="232"/>
      <c r="K34" s="250"/>
      <c r="L34" s="14"/>
      <c r="M34" s="250">
        <v>65700</v>
      </c>
      <c r="N34" s="12">
        <f t="shared" si="17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17" t="s">
        <v>157</v>
      </c>
      <c r="W34" s="59"/>
    </row>
    <row r="35" spans="2:23" s="230" customFormat="1" ht="17.399999999999999" x14ac:dyDescent="0.35">
      <c r="B35" s="24" t="s">
        <v>152</v>
      </c>
      <c r="I35" s="262"/>
      <c r="J35" s="232"/>
      <c r="K35" s="250"/>
      <c r="L35" s="14">
        <v>2</v>
      </c>
      <c r="M35" s="250">
        <v>31030</v>
      </c>
      <c r="N35" s="12">
        <f t="shared" si="17"/>
        <v>62060</v>
      </c>
      <c r="O35" s="14" t="s">
        <v>142</v>
      </c>
      <c r="P35" s="17"/>
      <c r="R35" s="238"/>
      <c r="S35" s="256"/>
      <c r="T35" s="59"/>
      <c r="U35" s="59">
        <f>U33+U34</f>
        <v>1087.5</v>
      </c>
      <c r="V35" s="317" t="s">
        <v>158</v>
      </c>
      <c r="W35" s="59"/>
    </row>
    <row r="36" spans="2:23" s="230" customFormat="1" ht="17.399999999999999" x14ac:dyDescent="0.35">
      <c r="B36" s="24" t="s">
        <v>145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17"/>
        <v>0</v>
      </c>
      <c r="O36" s="14" t="s">
        <v>33</v>
      </c>
      <c r="P36" s="14"/>
      <c r="Q36" s="230">
        <v>1.52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303"/>
      <c r="K37" s="250"/>
      <c r="L37" s="266">
        <v>4.8499999999999996</v>
      </c>
      <c r="M37" s="12">
        <v>1500</v>
      </c>
      <c r="N37" s="12">
        <f t="shared" si="17"/>
        <v>7274.9999999999991</v>
      </c>
      <c r="O37" s="14" t="s">
        <v>23</v>
      </c>
      <c r="P37" s="14"/>
      <c r="Q37">
        <v>2.44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107035.8</v>
      </c>
      <c r="O38" s="39" t="s">
        <v>24</v>
      </c>
      <c r="P38" s="14"/>
      <c r="Q38">
        <f>Q36*Q37</f>
        <v>3.7088000000000001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235478.76000000004</v>
      </c>
      <c r="O39" s="14" t="s">
        <v>141</v>
      </c>
      <c r="P39" s="14"/>
      <c r="Q39" s="40">
        <f>O30/Q38</f>
        <v>0.97842968075927517</v>
      </c>
      <c r="R39"/>
      <c r="S39" s="257"/>
    </row>
    <row r="40" spans="2:23" s="230" customFormat="1" ht="17.399999999999999" x14ac:dyDescent="0.35">
      <c r="G40"/>
      <c r="H40" s="260"/>
      <c r="I40" s="260"/>
      <c r="J40" s="230">
        <v>42960</v>
      </c>
      <c r="K40" s="250"/>
      <c r="L40" s="14"/>
      <c r="M40" s="12"/>
      <c r="N40" s="12">
        <f>N39/O28</f>
        <v>77869.960317460325</v>
      </c>
      <c r="O40" s="45" t="s">
        <v>25</v>
      </c>
      <c r="P40" s="14"/>
      <c r="Q40" s="14"/>
      <c r="R40"/>
      <c r="S40" s="238"/>
      <c r="T40" s="59" t="s">
        <v>159</v>
      </c>
      <c r="U40" s="312">
        <v>43650</v>
      </c>
    </row>
    <row r="41" spans="2:23" s="230" customFormat="1" ht="17.399999999999999" x14ac:dyDescent="0.35">
      <c r="G41"/>
      <c r="J41" s="230">
        <f>J40/1.19</f>
        <v>36100.840336134454</v>
      </c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161</v>
      </c>
      <c r="U41" s="313" t="s">
        <v>160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162</v>
      </c>
      <c r="U42" s="31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157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149</v>
      </c>
    </row>
    <row r="76" spans="3:14" x14ac:dyDescent="0.3">
      <c r="C76" t="s">
        <v>148</v>
      </c>
    </row>
    <row r="79" spans="3:14" x14ac:dyDescent="0.3">
      <c r="C79" t="s">
        <v>148</v>
      </c>
    </row>
    <row r="156" spans="3:3" x14ac:dyDescent="0.3">
      <c r="C156" t="s">
        <v>148</v>
      </c>
    </row>
    <row r="157" spans="3:3" x14ac:dyDescent="0.3">
      <c r="C157" t="s">
        <v>150</v>
      </c>
    </row>
    <row r="158" spans="3:3" x14ac:dyDescent="0.3">
      <c r="C158" t="s">
        <v>151</v>
      </c>
    </row>
    <row r="583" spans="3:3" x14ac:dyDescent="0.3">
      <c r="C583" t="s">
        <v>148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45797</v>
      </c>
    </row>
    <row r="6" spans="2:31" ht="16.2" thickBot="1" x14ac:dyDescent="0.35">
      <c r="B6" s="140" t="s">
        <v>2</v>
      </c>
      <c r="C6" s="139" t="str">
        <f>'2229'!C10</f>
        <v>CARLOS CURIN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8" t="s">
        <v>99</v>
      </c>
      <c r="I7" s="339"/>
      <c r="J7" s="339"/>
      <c r="K7" s="340"/>
      <c r="N7" s="75"/>
      <c r="O7" s="337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11440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7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-22174.405033454106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244479</v>
      </c>
      <c r="E11" s="132">
        <f>D11*0.19</f>
        <v>46451.01</v>
      </c>
      <c r="F11" s="131">
        <f>E11+D11</f>
        <v>290930.01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83815.59496654589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67534.890787439625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65815.59496654589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176944.10921256038</v>
      </c>
      <c r="E13" s="221">
        <f>(D11/D12)-1</f>
        <v>2.6200399104734919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56815.59496654589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17815.594966545894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111432.56979927537</v>
      </c>
      <c r="F15" s="216">
        <f>E15-D12</f>
        <v>43897.679011835746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17815.594966545894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57815.59496654589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12700.8</v>
      </c>
      <c r="E20" s="121">
        <f>D20*0.19</f>
        <v>2413.152</v>
      </c>
      <c r="F20" s="120">
        <f>SUM(D20:E20)</f>
        <v>15113.951999999999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37700.800000000003</v>
      </c>
      <c r="E21" s="116">
        <f>SUM(E18:E20)</f>
        <v>7163.152</v>
      </c>
      <c r="F21" s="115">
        <f>SUM(F18:F20)</f>
        <v>44863.951999999997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39287.858</v>
      </c>
    </row>
    <row r="41" spans="2:16" ht="15" thickBot="1" x14ac:dyDescent="0.35">
      <c r="H41" s="341" t="s">
        <v>61</v>
      </c>
      <c r="I41" s="342"/>
      <c r="J41" s="342"/>
      <c r="K41" s="342"/>
      <c r="L41" s="342"/>
      <c r="M41" s="343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244479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37700.800000000003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176944.10921256038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176944.10921256038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2025-05-16T21:28:24Z</cp:lastPrinted>
  <dcterms:created xsi:type="dcterms:W3CDTF">2013-03-18T13:35:42Z</dcterms:created>
  <dcterms:modified xsi:type="dcterms:W3CDTF">2025-05-20T14:22:03Z</dcterms:modified>
</cp:coreProperties>
</file>