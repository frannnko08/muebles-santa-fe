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67A9FC59-A66F-438E-B862-B17D4539B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O37" i="1"/>
  <c r="N21" i="1" l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4" i="1" l="1"/>
  <c r="H25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<sst xmlns="http://schemas.openxmlformats.org/spreadsheetml/2006/main" count="233" uniqueCount="177">
  <si>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</si>
  <si>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</si>
  <si>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</si>
  <si>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</si>
  <si>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</si>
  <si>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</si>
  <si>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</si>
  <si>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</si>
  <si>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</si>
  <si>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</si>
  <si>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</si>
  <si>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</si>
  <si>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</si>
  <si>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</si>
  <si>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</si>
  <si>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</si>
  <si>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</si>
  <si>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</si>
  <si>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</si>
  <si>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</si>
  <si>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</si>
  <si>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</si>
  <si>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</si>
  <si>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</si>
  <si>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</si>
  <si>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</si>
  <si>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</si>
  <si>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</si>
  <si>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</si>
  <si>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</si>
  <si>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</si>
  <si>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</si>
  <si>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</si>
  <si>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</si>
  <si>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</si>
  <si>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</si>
  <si>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</si>
  <si>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</si>
  <si>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</si>
  <si>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</si>
  <si>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</si>
  <si>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</si>
  <si>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</si>
  <si>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</si>
  <si>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</si>
  <si>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</si>
  <si>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</si>
  <si>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</si>
  <si>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</si>
  <si>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</si>
  <si>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</si>
  <si>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</si>
  <si>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</si>
  <si>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</si>
  <si>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</si>
  <si>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</si>
  <si>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</si>
  <si>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</si>
  <si>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</si>
  <si>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</si>
  <si>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</si>
  <si>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</si>
  <si>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</si>
  <si>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</si>
  <si>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</si>
  <si>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</si>
  <si>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</si>
  <si>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</si>
  <si>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</si>
  <si>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</si>
  <si>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</si>
  <si>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</si>
  <si>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</si>
  <si>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</si>
  <si>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</si>
  <si>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</si>
  <si>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</si>
  <si>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</si>
  <si>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</si>
  <si>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</si>
  <si>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</si>
  <si>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</si>
  <si>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</si>
  <si>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</si>
  <si>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</si>
  <si>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</si>
  <si>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</si>
  <si>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</si>
  <si>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</si>
  <si>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</si>
  <si>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</si>
  <si>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</si>
  <si>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</si>
  <si>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</si>
  <si>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</si>
  <si>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</si>
  <si>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</si>
  <si>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</si>
  <si>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</si>
  <si>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</si>
  <si>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</si>
  <si>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</si>
  <si>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</si>
  <si>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</si>
  <si>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</si>
  <si>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</si>
  <si>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</si>
  <si>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</si>
  <si>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</si>
  <si>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</si>
  <si>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</si>
  <si>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</si>
  <si>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</si>
  <si>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</si>
  <si>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</si>
  <si>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</si>
  <si>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</si>
  <si>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</si>
  <si>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</si>
  <si>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</si>
  <si>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</si>
  <si>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</si>
  <si>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</si>
  <si>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</si>
  <si>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</si>
  <si>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</si>
  <si>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</si>
  <si>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</si>
  <si>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</si>
  <si>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</si>
  <si>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</si>
  <si>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</si>
  <si>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</si>
  <si>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</si>
  <si>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</si>
  <si>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</si>
  <si>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</si>
  <si>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</si>
  <si>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</si>
  <si>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</si>
  <si>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</si>
  <si>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</si>
  <si>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</si>
  <si>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</si>
  <si>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</si>
  <si>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</si>
  <si>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</si>
  <si>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</si>
  <si>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</si>
  <si>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</si>
  <si>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</si>
  <si>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</si>
  <si>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</si>
  <si>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</si>
  <si>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</si>
  <si>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</si>
  <si>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</si>
  <si>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</si>
  <si>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</si>
  <si>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</si>
  <si>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</si>
  <si>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</si>
  <si>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</si>
  <si>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</si>
  <si>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</si>
  <si>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</si>
  <si>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7 DIAS HABILES</t>
  </si>
  <si>
    <t>N° 11414</t>
  </si>
  <si>
    <t>ALEJANDRO RODRIGUEZ</t>
  </si>
  <si>
    <t>CUB C/R 90° R8</t>
  </si>
  <si>
    <t>77.834.856-K</t>
  </si>
  <si>
    <t>MOBILIARI M SPA</t>
  </si>
  <si>
    <t>FAC. DE MUEBLES</t>
  </si>
  <si>
    <t>FEDERICO MISTRAL PONENTE 149 MAIPU</t>
  </si>
  <si>
    <t>56982224604</t>
  </si>
  <si>
    <t>MOBILIARIOMAGNO@GMAIL.COM</t>
  </si>
  <si>
    <t>DUSKBERG MARBLE 40476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</si>
</sst>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 CUBIERTA SE ENTREGA CON SOBR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OBILIARIOMAGNO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J9" sqref="J9"/>
    </sheetView>
  </sheetViews>
  <sheetFormatPr baseColWidth="10" defaultRowHeight="14.4" x14ac:dyDescent="0.3"/>
  <cols>
    <col min="1" max="1" width="6" customWidth="1"/>
    <col min="2" max="2" width="10.5546875" customWidth="1"/>
    <col min="3" max="3" width="48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4" t="s">
        <v>160</v>
      </c>
      <c r="C10" s="278" t="s">
        <v>171</v>
      </c>
      <c r="D10" s="243"/>
      <c r="E10" s="243"/>
      <c r="F10" s="244" t="s">
        <v>0</v>
      </c>
      <c r="G10" s="276">
        <v>45776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 t="s">
        <v>170</v>
      </c>
      <c r="F11" t="s">
        <v>122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5" t="s">
        <v>172</v>
      </c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168</v>
      </c>
      <c r="G13" s="306"/>
      <c r="H13" s="289"/>
      <c r="Q13" s="19"/>
      <c r="R13" s="25"/>
      <c r="S13" s="19"/>
    </row>
    <row r="14" spans="2:24" x14ac:dyDescent="0.3">
      <c r="B14" s="246" t="s">
        <v>138</v>
      </c>
      <c r="C14" s="313" t="s">
        <v>175</v>
      </c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174</v>
      </c>
      <c r="D15" s="309"/>
      <c r="F15" t="s">
        <v>133</v>
      </c>
      <c r="G15" s="307" t="s">
        <v>134</v>
      </c>
      <c r="H15" s="289"/>
    </row>
    <row r="16" spans="2:24" ht="16.8" x14ac:dyDescent="0.4">
      <c r="B16" s="315" t="s">
        <v>3</v>
      </c>
      <c r="C16" s="305" t="s">
        <v>173</v>
      </c>
      <c r="D16" s="247"/>
      <c r="E16" s="247"/>
      <c r="F16" s="316" t="s">
        <v>128</v>
      </c>
      <c r="G16" s="317" t="s">
        <v>161</v>
      </c>
      <c r="H16" s="248"/>
    </row>
    <row r="17" spans="1:25" ht="15" thickBot="1" x14ac:dyDescent="0.35">
      <c r="B17" s="310" t="s">
        <v>13</v>
      </c>
      <c r="C17" s="311" t="s">
        <v>164</v>
      </c>
      <c r="D17" s="312"/>
      <c r="E17" s="119"/>
      <c r="F17" s="332" t="s">
        <v>163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80350.594405594398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169</v>
      </c>
      <c r="D21" s="331">
        <v>3</v>
      </c>
      <c r="E21" s="331">
        <v>0.52</v>
      </c>
      <c r="F21" s="329" t="s">
        <v>176</v>
      </c>
      <c r="G21" s="330">
        <v>128690</v>
      </c>
      <c r="H21" s="330">
        <f>G21*B21</f>
        <v>128690</v>
      </c>
      <c r="I21" s="319"/>
      <c r="J21" s="265">
        <v>210000</v>
      </c>
      <c r="K21" s="47"/>
      <c r="L21" s="47">
        <v>1</v>
      </c>
      <c r="M21" s="39">
        <f>D21+M$19</f>
        <v>3.08</v>
      </c>
      <c r="N21" s="39">
        <f>E21+$N$19</f>
        <v>0.52</v>
      </c>
      <c r="O21" s="261">
        <f t="shared" ref="O21" si="1">M21*N21</f>
        <v>1.6016000000000001</v>
      </c>
      <c r="P21" s="259">
        <f t="shared" ref="P21" si="2">O21*L21</f>
        <v>1.6016000000000001</v>
      </c>
      <c r="Q21" s="252">
        <f t="shared" ref="Q21" si="3">Q$20*O21</f>
        <v>128689.512</v>
      </c>
      <c r="R21" s="318">
        <f t="shared" ref="R21" si="4">Q21+R$20</f>
        <v>131689.51199999999</v>
      </c>
      <c r="S21" s="297">
        <f>M21*L21</f>
        <v>3.08</v>
      </c>
      <c r="T21" s="46">
        <f>N21*2*L21*2</f>
        <v>2.08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27</v>
      </c>
      <c r="H24" s="324">
        <f>SUM(H21:H23)</f>
        <v>128690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2.08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24451.1</v>
      </c>
      <c r="I25" s="321"/>
      <c r="J25" s="265"/>
      <c r="K25" s="47"/>
      <c r="L25" s="47"/>
      <c r="M25" s="39">
        <f>SUM(M21:M21)</f>
        <v>3.08</v>
      </c>
      <c r="N25" s="12"/>
      <c r="O25" s="12"/>
      <c r="P25" s="253">
        <f>SUM(P21:P23)</f>
        <v>1.6016000000000001</v>
      </c>
      <c r="Q25" s="14"/>
      <c r="R25" s="12"/>
      <c r="S25" s="239">
        <f>SUM(S21:S24)</f>
        <v>3.08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153141.1</v>
      </c>
      <c r="I26" s="321"/>
      <c r="J26" s="265"/>
      <c r="K26" s="47"/>
      <c r="L26" s="47"/>
      <c r="M26" s="39"/>
      <c r="N26" s="12"/>
      <c r="O26" s="12"/>
      <c r="P26" s="253">
        <f>P25</f>
        <v>1.6016000000000001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0.32032000000000005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1.9219200000000001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1" t="s">
        <v>21</v>
      </c>
      <c r="V29" s="298" t="s">
        <v>150</v>
      </c>
      <c r="W29" s="302">
        <v>44971</v>
      </c>
      <c r="X29" s="303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1.9219200000000001</v>
      </c>
      <c r="N30" s="12">
        <v>3500</v>
      </c>
      <c r="O30" s="12">
        <f t="shared" ref="O30:O35" si="5">M30*N30</f>
        <v>6726.72</v>
      </c>
      <c r="P30" s="14" t="s">
        <v>21</v>
      </c>
      <c r="Q30" s="14"/>
      <c r="R30" s="14"/>
      <c r="S30" s="241"/>
      <c r="T30" s="14"/>
      <c r="U30" s="301" t="s">
        <v>151</v>
      </c>
      <c r="V30" s="298">
        <v>3625</v>
      </c>
      <c r="W30" s="59" t="s">
        <v>152</v>
      </c>
      <c r="X30" s="303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25000</v>
      </c>
      <c r="O31" s="12">
        <f t="shared" si="5"/>
        <v>12500</v>
      </c>
      <c r="P31" s="39" t="s">
        <v>30</v>
      </c>
      <c r="Q31" s="42"/>
      <c r="R31" s="14"/>
      <c r="S31" s="240"/>
      <c r="T31" s="14"/>
      <c r="U31" s="301"/>
      <c r="V31" s="59">
        <v>906.25</v>
      </c>
      <c r="W31" s="59" t="s">
        <v>153</v>
      </c>
      <c r="X31" s="303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69000</v>
      </c>
      <c r="O32" s="12">
        <f t="shared" si="5"/>
        <v>0</v>
      </c>
      <c r="P32" s="39" t="s">
        <v>29</v>
      </c>
      <c r="Q32" s="42"/>
      <c r="S32" s="240"/>
      <c r="T32" s="256"/>
      <c r="U32" s="59"/>
      <c r="V32" s="59">
        <f>V31*20%</f>
        <v>181.25</v>
      </c>
      <c r="W32" s="303" t="s">
        <v>154</v>
      </c>
      <c r="X32" s="59"/>
    </row>
    <row r="33" spans="2:24" s="230" customFormat="1" ht="17.399999999999999" x14ac:dyDescent="0.35">
      <c r="B33" s="24" t="s">
        <v>165</v>
      </c>
      <c r="C33"/>
      <c r="D33"/>
      <c r="E33"/>
      <c r="F33"/>
      <c r="J33" s="262"/>
      <c r="K33" s="232"/>
      <c r="L33" s="250"/>
      <c r="M33" s="14">
        <v>1</v>
      </c>
      <c r="N33" s="250">
        <v>42054</v>
      </c>
      <c r="O33" s="12">
        <f t="shared" si="5"/>
        <v>42054</v>
      </c>
      <c r="P33" s="14" t="s">
        <v>140</v>
      </c>
      <c r="Q33" s="17"/>
      <c r="S33" s="238"/>
      <c r="T33" s="256"/>
      <c r="U33" s="59"/>
      <c r="V33" s="59">
        <f>V31+V32</f>
        <v>1087.5</v>
      </c>
      <c r="W33" s="303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31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61280.72</v>
      </c>
      <c r="P36" s="39">
        <v>0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O36*2.1</f>
        <v>128689.512</v>
      </c>
      <c r="P37" s="14" t="s">
        <v>139</v>
      </c>
      <c r="Q37" s="14"/>
      <c r="R37" s="40">
        <f>P28/R36</f>
        <v>0.51820534943917174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80350.594405594398</v>
      </c>
      <c r="P38" s="45" t="s">
        <v>23</v>
      </c>
      <c r="Q38" s="14"/>
      <c r="R38" s="14"/>
      <c r="S38"/>
      <c r="T38" s="238"/>
      <c r="U38" s="59" t="s">
        <v>156</v>
      </c>
      <c r="V38" s="298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158</v>
      </c>
      <c r="V39" s="299" t="s">
        <v>157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159</v>
      </c>
      <c r="V40" s="300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25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79692516-EFFF-42E3-8278-5E791A65820D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45776</v>
      </c>
    </row>
    <row r="6" spans="2:31" ht="16.2" thickBot="1" x14ac:dyDescent="0.35">
      <c r="B6" s="140" t="s">
        <v>2</v>
      </c>
      <c r="C6" s="139" t="str">
        <f>'2229'!C10</f>
        <v>MOBILIARI M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97</v>
      </c>
      <c r="I7" s="339"/>
      <c r="J7" s="339"/>
      <c r="K7" s="340"/>
      <c r="N7" s="75"/>
      <c r="O7" s="337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11414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7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-7956.6103667874386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128690</v>
      </c>
      <c r="E11" s="132">
        <f>D11*0.19</f>
        <v>24451.1</v>
      </c>
      <c r="F11" s="131">
        <f>E11+D11</f>
        <v>153141.1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98033.389633212559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49060.810787439616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80033.389633212559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79629.189212560392</v>
      </c>
      <c r="E13" s="221">
        <f>(D11/D12)-1</f>
        <v>1.6230712035632884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71033.389633212559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32033.389633212562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80950.337799275367</v>
      </c>
      <c r="F15" s="216">
        <f>E15-D12</f>
        <v>31889.527011835751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32033.389633212562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72033.389633212559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6726.72</v>
      </c>
      <c r="E20" s="121">
        <f>D20*0.19</f>
        <v>1278.0768</v>
      </c>
      <c r="F20" s="120">
        <f>SUM(D20:E20)</f>
        <v>8004.7968000000001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19226.72</v>
      </c>
      <c r="E21" s="116">
        <f>SUM(E18:E20)</f>
        <v>3653.0767999999998</v>
      </c>
      <c r="F21" s="115">
        <f>SUM(F18:F20)</f>
        <v>22879.7968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20798.0232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128690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19226.72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79629.189212560392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79629.189212560392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2025-04-30T20:40:40Z</cp:lastPrinted>
  <dcterms:created xsi:type="dcterms:W3CDTF">2013-03-18T13:35:42Z</dcterms:created>
  <dcterms:modified xsi:type="dcterms:W3CDTF">2025-05-02T12:43:21Z</dcterms:modified>
</cp:coreProperties>
</file>