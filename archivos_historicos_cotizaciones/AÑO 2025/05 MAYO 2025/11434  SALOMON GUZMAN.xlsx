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5 MAYO 2025\"/>
    </mc:Choice>
  </mc:AlternateContent>
  <xr:revisionPtr revIDLastSave="0" documentId="13_ncr:1_{F9605092-2C94-4BF9-987F-DF787CAF433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L21" i="1"/>
  <c r="N21" i="1"/>
  <c r="M21" i="1" l="1"/>
  <c r="M25" i="1" s="1"/>
  <c r="S21" i="1" l="1"/>
  <c r="S25" i="1" s="1"/>
  <c r="T21" i="1"/>
  <c r="T24" i="1" s="1"/>
  <c r="O21" i="1"/>
  <c r="P21" i="1" s="1"/>
  <c r="P25" i="1" s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O38" i="1" l="1"/>
  <c r="D20" i="3"/>
  <c r="E20" i="3" s="1"/>
  <c r="E21" i="3" s="1"/>
  <c r="Q20" i="1" l="1"/>
  <c r="D21" i="3"/>
  <c r="M43" i="3" s="1"/>
  <c r="D12" i="3" s="1"/>
  <c r="F20" i="3"/>
  <c r="F21" i="3" s="1"/>
  <c r="O39" i="1" l="1"/>
  <c r="E15" i="3"/>
  <c r="Q21" i="1" l="1"/>
  <c r="G21" i="1" s="1"/>
  <c r="F15" i="3"/>
  <c r="R21" i="1" l="1"/>
  <c r="H21" i="1" l="1"/>
  <c r="H24" i="1" s="1"/>
  <c r="D11" i="3" l="1"/>
  <c r="X9" i="3" s="1"/>
  <c r="X15" i="3" s="1"/>
  <c r="H26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<sst xmlns="http://schemas.openxmlformats.org/spreadsheetml/2006/main" count="231" uniqueCount="175">
  <si>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</si>
  <si>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</si>
  <si>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</si>
  <si>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</si>
  <si>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</si>
  <si>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</si>
  <si>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</si>
  <si>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</si>
  <si>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</si>
  <si>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</si>
  <si>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</si>
  <si>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</si>
  <si>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</si>
  <si>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</si>
  <si>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</si>
  <si>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</si>
  <si>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</si>
  <si>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</si>
  <si>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</si>
  <si>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</si>
  <si>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</si>
  <si>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</si>
  <si>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</si>
  <si>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</si>
  <si>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</si>
  <si>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</si>
  <si>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</si>
  <si>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</si>
  <si>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</si>
  <si>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</si>
  <si>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</si>
  <si>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</si>
  <si>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</si>
  <si>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</si>
  <si>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</si>
  <si>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</si>
  <si>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</si>
  <si>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</si>
  <si>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</si>
  <si>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</si>
  <si>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</si>
  <si>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</si>
  <si>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</si>
  <si>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</si>
  <si>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</si>
  <si>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</si>
  <si>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</si>
  <si>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</si>
  <si>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</si>
  <si>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</si>
  <si>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</si>
  <si>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</si>
  <si>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</si>
  <si>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</si>
  <si>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</si>
  <si>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</si>
  <si>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</si>
  <si>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</si>
  <si>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</si>
  <si>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</si>
  <si>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</si>
  <si>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</si>
  <si>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</si>
  <si>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</si>
  <si>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</si>
  <si>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</si>
  <si>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</si>
  <si>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</si>
  <si>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</si>
  <si>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</si>
  <si>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</si>
  <si>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</si>
  <si>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</si>
  <si>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</si>
  <si>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</si>
  <si>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</si>
  <si>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</si>
  <si>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</si>
  <si>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</si>
  <si>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</si>
  <si>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</si>
  <si>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</si>
  <si>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</si>
  <si>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</si>
  <si>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</si>
  <si>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</si>
  <si>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</si>
  <si>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</si>
  <si>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</si>
  <si>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</si>
  <si>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</si>
  <si>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</si>
  <si>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</si>
  <si>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</si>
  <si>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</si>
  <si>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</si>
  <si>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</si>
  <si>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</si>
  <si>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</si>
  <si>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</si>
  <si>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</si>
  <si>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</si>
  <si>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</si>
  <si>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</si>
  <si>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</si>
  <si>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</si>
  <si>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</si>
  <si>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</si>
  <si>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</si>
  <si>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</si>
  <si>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</si>
  <si>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</si>
  <si>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</si>
  <si>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</si>
  <si>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</si>
  <si>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</si>
  <si>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</si>
  <si>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</si>
  <si>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</si>
  <si>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</si>
  <si>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</si>
  <si>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</si>
  <si>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</si>
  <si>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</si>
  <si>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</si>
  <si>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</si>
  <si>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</si>
  <si>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</si>
  <si>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</si>
  <si>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</si>
  <si>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</si>
  <si>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</si>
  <si>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</si>
  <si>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</si>
  <si>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</si>
  <si>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</si>
  <si>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</si>
  <si>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</si>
  <si>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</si>
  <si>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</si>
  <si>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</si>
  <si>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</si>
  <si>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</si>
  <si>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</si>
  <si>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</si>
  <si>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</si>
  <si>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</si>
  <si>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</si>
  <si>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</si>
  <si>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</si>
  <si>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</si>
  <si>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</si>
  <si>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</si>
  <si>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</si>
  <si>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</si>
  <si>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</si>
  <si>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</si>
  <si>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</si>
  <si>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</si>
  <si>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</si>
  <si>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</si>
  <si>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</si>
  <si>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</si>
  <si>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</si>
  <si>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</si>
  <si>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</si>
  <si>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EMBALAJE</t>
  </si>
  <si>
    <t>PLAZO ENTREGA</t>
  </si>
  <si>
    <t>FECHA</t>
  </si>
  <si>
    <t>DESPACHO</t>
  </si>
  <si>
    <t>N° 11434</t>
  </si>
  <si>
    <t>SALOMON GUZMAN</t>
  </si>
  <si>
    <t>+569 8820 4356</t>
  </si>
  <si>
    <t>CUB CON RESPALDO FRENTE 9CMS</t>
  </si>
  <si>
    <t>GRANITO CINZA PP 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</si>
</sst>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 CUBIERTAS SE ENTREGA CON SOBRE MEDIDA EN EL LARGO</a:t>
          </a:r>
        </a:p>
        <a:p>
          <a:pPr algn="l"/>
          <a:r>
            <a:rPr lang="es-CL" sz="1200" b="1"/>
            <a:t>UNION</a:t>
          </a:r>
          <a:r>
            <a:rPr lang="es-CL" sz="1200" b="1" baseline="0"/>
            <a:t> DE LAMINADO AL LADO DERECHO MIRANDOLA DESDE EL FRENTE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9" zoomScale="93" zoomScaleNormal="93" workbookViewId="0">
      <selection activeCell="I21" sqref="I2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33203125" customWidth="1"/>
    <col min="4" max="4" width="11.109375" customWidth="1"/>
    <col min="5" max="5" width="10.5546875" customWidth="1"/>
    <col min="6" max="6" width="34.5546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8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159</v>
      </c>
      <c r="C10" s="278" t="s">
        <v>171</v>
      </c>
      <c r="D10" s="243"/>
      <c r="E10" s="243"/>
      <c r="F10" s="244" t="s">
        <v>168</v>
      </c>
      <c r="G10" s="276">
        <v>45791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167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142</v>
      </c>
      <c r="C12" s="306"/>
      <c r="D12" s="247"/>
      <c r="E12" s="247"/>
      <c r="F12" s="247" t="s">
        <v>126</v>
      </c>
      <c r="G12" s="277" t="s">
        <v>133</v>
      </c>
      <c r="H12" s="248"/>
      <c r="Q12" s="19"/>
      <c r="R12" s="25"/>
      <c r="S12" s="19"/>
    </row>
    <row r="13" spans="2:24" x14ac:dyDescent="0.3">
      <c r="B13" s="287" t="s">
        <v>143</v>
      </c>
      <c r="F13" t="s">
        <v>166</v>
      </c>
      <c r="G13" s="307" t="s">
        <v>133</v>
      </c>
      <c r="H13" s="289"/>
      <c r="Q13" s="19"/>
      <c r="R13" s="25"/>
      <c r="S13" s="19"/>
    </row>
    <row r="14" spans="2:24" x14ac:dyDescent="0.3">
      <c r="B14" s="246" t="s">
        <v>137</v>
      </c>
      <c r="C14" s="314"/>
      <c r="D14" s="247"/>
      <c r="E14" s="247"/>
      <c r="F14" s="247" t="s">
        <v>134</v>
      </c>
      <c r="G14" s="290" t="s">
        <v>133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169</v>
      </c>
      <c r="G15" s="308" t="s">
        <v>133</v>
      </c>
      <c r="H15" s="289"/>
    </row>
    <row r="16" spans="2:24" ht="16.8" x14ac:dyDescent="0.4">
      <c r="B16" s="315" t="s">
        <v>3</v>
      </c>
      <c r="C16" s="306"/>
      <c r="D16" s="247"/>
      <c r="E16" s="247"/>
      <c r="F16" s="316" t="s">
        <v>128</v>
      </c>
      <c r="G16" s="317" t="s">
        <v>160</v>
      </c>
      <c r="H16" s="248"/>
    </row>
    <row r="17" spans="1:25" ht="15" thickBot="1" x14ac:dyDescent="0.35">
      <c r="B17" s="311" t="s">
        <v>13</v>
      </c>
      <c r="C17" s="312" t="s">
        <v>163</v>
      </c>
      <c r="D17" s="313"/>
      <c r="E17" s="119"/>
      <c r="F17" s="332" t="s">
        <v>162</v>
      </c>
      <c r="G17" s="332"/>
      <c r="H17" s="33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4" t="s">
        <v>95</v>
      </c>
      <c r="C19" s="335"/>
      <c r="D19" s="335"/>
      <c r="E19" s="335"/>
      <c r="F19" s="335"/>
      <c r="G19" s="335"/>
      <c r="H19" s="336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O38</f>
        <v>109780.34252220899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29">
        <v>1</v>
      </c>
      <c r="C21" s="329" t="s">
        <v>173</v>
      </c>
      <c r="D21" s="330">
        <v>3.5</v>
      </c>
      <c r="E21" s="330">
        <v>0.61</v>
      </c>
      <c r="F21" s="329" t="s">
        <v>174</v>
      </c>
      <c r="G21" s="331">
        <f>Q21</f>
        <v>239738.31200000001</v>
      </c>
      <c r="H21" s="331">
        <f>G21*B21</f>
        <v>239738.31200000001</v>
      </c>
      <c r="I21" s="319"/>
      <c r="J21" s="265"/>
      <c r="K21" s="47"/>
      <c r="L21" s="47">
        <f>B21</f>
        <v>1</v>
      </c>
      <c r="M21" s="39">
        <f>D21+M$19</f>
        <v>3.58</v>
      </c>
      <c r="N21" s="39">
        <f>E21+$N$19</f>
        <v>0.61</v>
      </c>
      <c r="O21" s="261">
        <f t="shared" ref="O21" si="1">M21*N21</f>
        <v>2.1838000000000002</v>
      </c>
      <c r="P21" s="259">
        <f t="shared" ref="P21" si="2">O21*L21</f>
        <v>2.1838000000000002</v>
      </c>
      <c r="Q21" s="252">
        <f t="shared" ref="Q21" si="3">Q$20*O21</f>
        <v>239738.31200000001</v>
      </c>
      <c r="R21" s="318">
        <f t="shared" ref="R21" si="4">Q21+R$20</f>
        <v>242738.31200000001</v>
      </c>
      <c r="S21" s="297">
        <f>M21*L21</f>
        <v>3.58</v>
      </c>
      <c r="T21" s="46">
        <f>N21*2*L21*2</f>
        <v>2.44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19"/>
      <c r="H22" s="319"/>
      <c r="I22" s="319"/>
      <c r="J22" s="265"/>
      <c r="K22" s="47"/>
      <c r="L22" s="47"/>
      <c r="M22" s="39"/>
      <c r="N22" s="39"/>
      <c r="O22" s="261"/>
      <c r="P22" s="259"/>
      <c r="Q22" s="252"/>
      <c r="R22" s="318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239738.31200000001</v>
      </c>
      <c r="I24" s="321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2.44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/>
      <c r="I25" s="321"/>
      <c r="J25" s="265"/>
      <c r="K25" s="47"/>
      <c r="L25" s="47"/>
      <c r="M25" s="39">
        <f>SUM(M21:M21)</f>
        <v>3.58</v>
      </c>
      <c r="N25" s="12"/>
      <c r="O25" s="12"/>
      <c r="P25" s="253">
        <f>SUM(P21:P23)</f>
        <v>2.1838000000000002</v>
      </c>
      <c r="Q25" s="14"/>
      <c r="R25" s="12"/>
      <c r="S25" s="239">
        <f>SUM(S21:S24)</f>
        <v>3.58</v>
      </c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239738.31200000001</v>
      </c>
      <c r="I26" s="321"/>
      <c r="J26" s="265"/>
      <c r="K26" s="47"/>
      <c r="L26" s="47"/>
      <c r="M26" s="39"/>
      <c r="N26" s="12"/>
      <c r="O26" s="12"/>
      <c r="P26" s="253">
        <f>P25</f>
        <v>2.1838000000000002</v>
      </c>
      <c r="Q26" s="14"/>
      <c r="R26" s="12"/>
      <c r="S26" s="239"/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0.43676000000000004</v>
      </c>
      <c r="Q27" s="39" t="s">
        <v>129</v>
      </c>
      <c r="R27" s="42"/>
      <c r="S27" s="240"/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2.6205600000000002</v>
      </c>
      <c r="Q28" s="14"/>
      <c r="R28" s="14"/>
      <c r="S28" s="238"/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/>
      <c r="T29" s="14"/>
      <c r="U29" s="302" t="s">
        <v>21</v>
      </c>
      <c r="V29" s="299" t="s">
        <v>149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2.6205600000000002</v>
      </c>
      <c r="N30" s="12">
        <v>3500</v>
      </c>
      <c r="O30" s="12">
        <f t="shared" ref="O30:O35" si="5">M30*N30</f>
        <v>9171.9600000000009</v>
      </c>
      <c r="P30" s="14" t="s">
        <v>21</v>
      </c>
      <c r="Q30" s="14"/>
      <c r="R30" s="14"/>
      <c r="S30" s="241"/>
      <c r="T30" s="14"/>
      <c r="U30" s="302" t="s">
        <v>150</v>
      </c>
      <c r="V30" s="299">
        <v>3625</v>
      </c>
      <c r="W30" s="59" t="s">
        <v>151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</v>
      </c>
      <c r="N31" s="12">
        <v>23500</v>
      </c>
      <c r="O31" s="12">
        <f t="shared" si="5"/>
        <v>18800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152</v>
      </c>
      <c r="X31" s="304"/>
    </row>
    <row r="32" spans="1:25" s="230" customFormat="1" ht="17.399999999999999" x14ac:dyDescent="0.35">
      <c r="B32" s="24" t="s">
        <v>148</v>
      </c>
      <c r="J32" s="262"/>
      <c r="K32" s="232"/>
      <c r="L32" s="250"/>
      <c r="M32" s="14"/>
      <c r="N32" s="250">
        <v>62300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153</v>
      </c>
      <c r="X32" s="59"/>
    </row>
    <row r="33" spans="2:24" s="230" customFormat="1" ht="17.399999999999999" x14ac:dyDescent="0.35">
      <c r="B33" s="24" t="s">
        <v>164</v>
      </c>
      <c r="C33"/>
      <c r="D33"/>
      <c r="E33"/>
      <c r="F33"/>
      <c r="J33" s="262"/>
      <c r="K33" s="232"/>
      <c r="L33" s="250"/>
      <c r="M33" s="14">
        <v>2</v>
      </c>
      <c r="N33" s="250">
        <v>37815</v>
      </c>
      <c r="O33" s="12">
        <f t="shared" si="5"/>
        <v>75630</v>
      </c>
      <c r="P33" s="14" t="s">
        <v>139</v>
      </c>
      <c r="Q33" s="17"/>
      <c r="S33" s="238"/>
      <c r="T33" s="256"/>
      <c r="U33" s="59"/>
      <c r="V33" s="59">
        <f>V31+V32</f>
        <v>1087.5</v>
      </c>
      <c r="W33" s="304" t="s">
        <v>154</v>
      </c>
      <c r="X33" s="59"/>
    </row>
    <row r="34" spans="2:24" s="230" customFormat="1" ht="17.399999999999999" x14ac:dyDescent="0.35">
      <c r="B34" s="29" t="s">
        <v>124</v>
      </c>
      <c r="C34"/>
      <c r="D34"/>
      <c r="E34"/>
      <c r="F34" s="229" t="s">
        <v>15</v>
      </c>
      <c r="J34" s="262">
        <f>239000/2</f>
        <v>119500</v>
      </c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>
        <v>3.58</v>
      </c>
      <c r="N35" s="12">
        <v>1500</v>
      </c>
      <c r="O35" s="12">
        <f t="shared" si="5"/>
        <v>5370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108971.95999999999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239738.31200000001</v>
      </c>
      <c r="P37" s="14" t="s">
        <v>138</v>
      </c>
      <c r="Q37" s="14"/>
      <c r="R37" s="40">
        <f>P28/R36</f>
        <v>0.70657894736842108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L38" s="250"/>
      <c r="M38" s="14"/>
      <c r="N38" s="12"/>
      <c r="O38" s="12">
        <f>O37/P26</f>
        <v>109780.34252220899</v>
      </c>
      <c r="P38" s="45" t="s">
        <v>24</v>
      </c>
      <c r="Q38" s="14"/>
      <c r="R38" s="14"/>
      <c r="S38"/>
      <c r="T38" s="238"/>
      <c r="U38" s="59" t="s">
        <v>155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300" t="s">
        <v>156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158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45791</v>
      </c>
    </row>
    <row r="6" spans="2:31" ht="16.2" thickBot="1" x14ac:dyDescent="0.35">
      <c r="B6" s="140" t="s">
        <v>2</v>
      </c>
      <c r="C6" s="139" t="str">
        <f>'2229'!C10</f>
        <v>SALOMON GUZMAN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98</v>
      </c>
      <c r="I7" s="339"/>
      <c r="J7" s="339"/>
      <c r="K7" s="340"/>
      <c r="N7" s="75"/>
      <c r="O7" s="3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11434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-24059.721366787442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239738.31200000001</v>
      </c>
      <c r="E11" s="132">
        <f>D11*0.19</f>
        <v>45550.279280000002</v>
      </c>
      <c r="F11" s="131">
        <f>E11+D11</f>
        <v>285288.59127999999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81930.278633212554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57806.050787439613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63930.278633212554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181932.26121256041</v>
      </c>
      <c r="E13" s="221">
        <f>(D11/D12)-1</f>
        <v>3.1472875025064253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54930.278633212554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15930.278633212558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95379.98379927536</v>
      </c>
      <c r="F15" s="216">
        <f>E15-D12</f>
        <v>37573.933011835747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15930.278633212558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55930.278633212554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18800</v>
      </c>
      <c r="E19" s="123">
        <f>D19*0.19</f>
        <v>3572</v>
      </c>
      <c r="F19" s="120">
        <f>SUM(D19:E19)</f>
        <v>22372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9171.9600000000009</v>
      </c>
      <c r="E20" s="121">
        <f>D20*0.19</f>
        <v>1742.6724000000002</v>
      </c>
      <c r="F20" s="120">
        <f>SUM(D20:E20)</f>
        <v>10914.6324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27971.96</v>
      </c>
      <c r="E21" s="116">
        <f>SUM(E18:E20)</f>
        <v>5314.6724000000004</v>
      </c>
      <c r="F21" s="115">
        <f>SUM(F18:F20)</f>
        <v>33286.632400000002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40235.606879999999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239738.31200000001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27971.96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181932.26121256041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181932.26121256041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2025-05-23T19:46:05Z</cp:lastPrinted>
  <dcterms:created xsi:type="dcterms:W3CDTF">2013-03-18T13:35:42Z</dcterms:created>
  <dcterms:modified xsi:type="dcterms:W3CDTF">2025-05-25T00:09:44Z</dcterms:modified>
</cp:coreProperties>
</file>