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5 MAYO 2025\"/>
    </mc:Choice>
  </mc:AlternateContent>
  <xr:revisionPtr revIDLastSave="0" documentId="13_ncr:1_{183DF8A1-8540-44AD-97BC-12ED9A1A51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22" i="1"/>
  <c r="L22" i="1"/>
  <c r="M22" i="1"/>
  <c r="I48" i="1"/>
  <c r="J32" i="1"/>
  <c r="J37" i="1"/>
  <c r="J38" i="1" s="1"/>
  <c r="N35" i="1"/>
  <c r="N22" i="1" l="1"/>
  <c r="R22" i="1"/>
  <c r="O22" i="1"/>
  <c r="R23" i="1"/>
  <c r="N34" i="1"/>
  <c r="N36" i="1"/>
  <c r="N37" i="1"/>
  <c r="J41" i="1" l="1"/>
  <c r="L21" i="1"/>
  <c r="L26" i="1" s="1"/>
  <c r="M21" i="1"/>
  <c r="S21" i="1" l="1"/>
  <c r="S26" i="1" s="1"/>
  <c r="S27" i="1" s="1"/>
  <c r="S28" i="1" s="1"/>
  <c r="R21" i="1"/>
  <c r="R28" i="1" s="1"/>
  <c r="N21" i="1"/>
  <c r="O21" i="1" s="1"/>
  <c r="O27" i="1" s="1"/>
  <c r="U34" i="1"/>
  <c r="U35" i="1" s="1"/>
  <c r="N33" i="1" l="1"/>
  <c r="O28" i="1" l="1"/>
  <c r="O29" i="1" s="1"/>
  <c r="O30" i="1" s="1"/>
  <c r="L32" i="1" s="1"/>
  <c r="M20" i="1"/>
  <c r="K20" i="1"/>
  <c r="Q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2" i="1" l="1"/>
  <c r="N38" i="1" s="1"/>
  <c r="N39" i="1" s="1"/>
  <c r="Q39" i="1"/>
  <c r="D20" i="3" l="1"/>
  <c r="E20" i="3" s="1"/>
  <c r="E21" i="3" s="1"/>
  <c r="N40" i="1" l="1"/>
  <c r="D21" i="3"/>
  <c r="M43" i="3" s="1"/>
  <c r="D12" i="3" s="1"/>
  <c r="F20" i="3"/>
  <c r="F21" i="3" s="1"/>
  <c r="N41" i="1" l="1"/>
  <c r="P20" i="1"/>
  <c r="P22" i="1" s="1"/>
  <c r="E15" i="3"/>
  <c r="Q22" i="1" l="1"/>
  <c r="G22" i="1"/>
  <c r="H22" i="1" s="1"/>
  <c r="P21" i="1"/>
  <c r="G21" i="1" s="1"/>
  <c r="F15" i="3"/>
  <c r="Q21" i="1" l="1"/>
  <c r="H21" i="1" l="1"/>
  <c r="H26" i="1" s="1"/>
  <c r="H27" i="1" s="1"/>
  <c r="H28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<sst xmlns="http://schemas.openxmlformats.org/spreadsheetml/2006/main" count="235" uniqueCount="177">
  <si>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</si>
  <si>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</si>
  <si>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</si>
  <si>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</si>
  <si>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</si>
  <si>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</si>
  <si>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</si>
  <si>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</si>
  <si>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</si>
  <si>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</si>
  <si>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</si>
  <si>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</si>
  <si>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</si>
  <si>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</si>
  <si>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</si>
  <si>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</si>
  <si>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</si>
  <si>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</si>
  <si>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</si>
  <si>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</si>
  <si>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</si>
  <si>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</si>
  <si>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</si>
  <si>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</si>
  <si>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</si>
  <si>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</si>
  <si>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</si>
  <si>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</si>
  <si>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</si>
  <si>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</si>
  <si>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</si>
  <si>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</si>
  <si>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</si>
  <si>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</si>
  <si>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</si>
  <si>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</si>
  <si>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</si>
  <si>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</si>
  <si>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</si>
  <si>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</si>
  <si>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</si>
  <si>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</si>
  <si>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</si>
  <si>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</si>
  <si>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</si>
  <si>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</si>
  <si>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</si>
  <si>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</si>
  <si>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</si>
  <si>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</si>
  <si>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</si>
  <si>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</si>
  <si>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</si>
  <si>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</si>
  <si>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</si>
  <si>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</si>
  <si>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</si>
  <si>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</si>
  <si>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</si>
  <si>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</si>
  <si>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</si>
  <si>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</si>
  <si>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</si>
  <si>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</si>
  <si>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</si>
  <si>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</si>
  <si>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</si>
  <si>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</si>
  <si>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</si>
  <si>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</si>
  <si>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</si>
  <si>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</si>
  <si>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</si>
  <si>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</si>
  <si>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</si>
  <si>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</si>
  <si>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</si>
  <si>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</si>
  <si>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</si>
  <si>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</si>
  <si>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</si>
  <si>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</si>
  <si>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</si>
  <si>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</si>
  <si>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</si>
  <si>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</si>
  <si>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</si>
  <si>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</si>
  <si>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</si>
  <si>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</si>
  <si>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</si>
  <si>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</si>
  <si>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</si>
  <si>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</si>
  <si>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</si>
  <si>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</si>
  <si>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</si>
  <si>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</si>
  <si>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</si>
  <si>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</si>
  <si>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</si>
  <si>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</si>
  <si>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</si>
  <si>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</si>
  <si>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</si>
  <si>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</si>
  <si>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</si>
  <si>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</si>
  <si>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</si>
  <si>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</si>
  <si>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</si>
  <si>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</si>
  <si>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</si>
  <si>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</si>
  <si>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</si>
  <si>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</si>
  <si>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</si>
  <si>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</si>
  <si>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</si>
  <si>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</si>
  <si>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</si>
  <si>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</si>
  <si>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</si>
  <si>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</si>
  <si>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</si>
  <si>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</si>
  <si>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</si>
  <si>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</si>
  <si>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</si>
  <si>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</si>
  <si>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</si>
  <si>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</si>
  <si>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</si>
  <si>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</si>
  <si>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</si>
  <si>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</si>
  <si>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</si>
  <si>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</si>
  <si>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</si>
  <si>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</si>
  <si>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</si>
  <si>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</si>
  <si>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</si>
  <si>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</si>
  <si>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</si>
  <si>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</si>
  <si>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</si>
  <si>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</si>
  <si>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</si>
  <si>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</si>
  <si>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</si>
  <si>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</si>
  <si>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</si>
  <si>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</si>
  <si>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</si>
  <si>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</si>
  <si>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</si>
  <si>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</si>
  <si>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</si>
  <si>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</si>
  <si>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</si>
  <si>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</si>
  <si>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</si>
  <si>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</si>
  <si>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SANTIAGO</t>
  </si>
  <si>
    <t>GRIS NUBE</t>
  </si>
  <si>
    <t>KING</t>
  </si>
  <si>
    <t>MDF 3MM</t>
  </si>
  <si>
    <t>152X244</t>
  </si>
  <si>
    <t>CUBIERTA CON RESPALDO 90°</t>
  </si>
  <si>
    <t>LAMINA 122 X 306</t>
  </si>
  <si>
    <t>CLASSIC 3111 BR</t>
  </si>
  <si>
    <t>JEAN FRICSBEAR</t>
  </si>
  <si>
    <t>+569 7843 9867</t>
  </si>
  <si>
    <t>5 DIAS HABILES</t>
  </si>
  <si>
    <t>DURACION COTIZACION: 5 DIAS                            FRANCO DONOSO</t>
  </si>
  <si>
    <t>N° 11421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</si>
</sst>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24</xdr:row>
      <xdr:rowOff>206170</xdr:rowOff>
    </xdr:from>
    <xdr:to>
      <xdr:col>5</xdr:col>
      <xdr:colOff>1643259</xdr:colOff>
      <xdr:row>28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</a:t>
          </a:r>
          <a:r>
            <a:rPr lang="es-CL" sz="1200" b="1" baseline="0"/>
            <a:t> SE ENTREGAN SOBREMEDIDAS EN EL LARGO.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 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zoomScale="93" zoomScaleNormal="93" workbookViewId="0">
      <selection activeCell="D1" sqref="D1"/>
    </sheetView>
  </sheetViews>
  <sheetFormatPr baseColWidth="10" defaultRowHeight="14.4" x14ac:dyDescent="0.3"/>
  <cols>
    <col min="1" max="1" width="6" customWidth="1"/>
    <col min="2" max="2" width="10.5546875" customWidth="1"/>
    <col min="3" max="3" width="51.66406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172</v>
      </c>
      <c r="D10" s="243"/>
      <c r="E10" s="243"/>
      <c r="F10" s="244" t="s">
        <v>0</v>
      </c>
      <c r="G10" s="277">
        <v>45783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174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173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164</v>
      </c>
      <c r="D17" s="319"/>
      <c r="E17" s="119"/>
      <c r="F17" s="332" t="s">
        <v>175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147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>
        <v>0.08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59361.381886087765</v>
      </c>
      <c r="Q20" s="258">
        <v>10000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1</v>
      </c>
      <c r="C21" s="326" t="s">
        <v>169</v>
      </c>
      <c r="D21" s="327">
        <v>2.4</v>
      </c>
      <c r="E21" s="327">
        <v>0.55000000000000004</v>
      </c>
      <c r="F21" s="326" t="s">
        <v>171</v>
      </c>
      <c r="G21" s="328">
        <f>P21</f>
        <v>91624.292941176464</v>
      </c>
      <c r="H21" s="328">
        <f>G21*B21</f>
        <v>91624.292941176464</v>
      </c>
      <c r="I21" s="265"/>
      <c r="J21" s="47"/>
      <c r="K21" s="330">
        <f>B21</f>
        <v>1</v>
      </c>
      <c r="L21" s="39">
        <f t="shared" ref="L21" si="1">D21+L$19</f>
        <v>2.4499999999999997</v>
      </c>
      <c r="M21" s="39">
        <f t="shared" ref="M21" si="2">E21+M$19</f>
        <v>0.63</v>
      </c>
      <c r="N21" s="261">
        <f t="shared" ref="N21" si="3">L21*M21</f>
        <v>1.5434999999999999</v>
      </c>
      <c r="O21" s="259">
        <f t="shared" ref="O21" si="4">N21*K21</f>
        <v>1.5434999999999999</v>
      </c>
      <c r="P21" s="252">
        <f t="shared" ref="P21" si="5">P$20*N21</f>
        <v>91624.292941176464</v>
      </c>
      <c r="Q21" s="329">
        <f t="shared" ref="Q21" si="6">P21+Q$20</f>
        <v>101624.29294117646</v>
      </c>
      <c r="R21" s="298">
        <f>L21*K21*2</f>
        <v>4.8999999999999995</v>
      </c>
      <c r="S21" s="46">
        <f>M21*2*K21</f>
        <v>1.26</v>
      </c>
      <c r="T21" s="9"/>
      <c r="W21" s="4"/>
    </row>
    <row r="22" spans="2:24" ht="17.399999999999999" x14ac:dyDescent="0.3">
      <c r="B22" s="326">
        <v>1</v>
      </c>
      <c r="C22" s="326" t="s">
        <v>169</v>
      </c>
      <c r="D22" s="327">
        <v>1.75</v>
      </c>
      <c r="E22" s="327">
        <v>0.55000000000000004</v>
      </c>
      <c r="F22" s="326" t="s">
        <v>171</v>
      </c>
      <c r="G22" s="328">
        <f>P22</f>
        <v>67315.807058823528</v>
      </c>
      <c r="H22" s="328">
        <f>G22*B22</f>
        <v>67315.807058823528</v>
      </c>
      <c r="I22" s="265"/>
      <c r="J22" s="47"/>
      <c r="K22" s="330">
        <f>B22</f>
        <v>1</v>
      </c>
      <c r="L22" s="39">
        <f t="shared" ref="L22" si="7">D22+L$19</f>
        <v>1.8</v>
      </c>
      <c r="M22" s="39">
        <f t="shared" ref="M22" si="8">E22+M$19</f>
        <v>0.63</v>
      </c>
      <c r="N22" s="261">
        <f t="shared" ref="N22" si="9">L22*M22</f>
        <v>1.1340000000000001</v>
      </c>
      <c r="O22" s="259">
        <f t="shared" ref="O22" si="10">N22*K22</f>
        <v>1.1340000000000001</v>
      </c>
      <c r="P22" s="252">
        <f t="shared" ref="P22" si="11">P$20*N22</f>
        <v>67315.807058823528</v>
      </c>
      <c r="Q22" s="329">
        <f t="shared" ref="Q22" si="12">P22+Q$20</f>
        <v>77315.807058823528</v>
      </c>
      <c r="R22" s="298">
        <f t="shared" ref="R22:R23" si="13">L22*K22*2</f>
        <v>3.6</v>
      </c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31"/>
      <c r="H23" s="331"/>
      <c r="I23" s="265"/>
      <c r="J23" s="47"/>
      <c r="K23" s="330"/>
      <c r="L23" s="39"/>
      <c r="M23" s="39"/>
      <c r="N23" s="261"/>
      <c r="O23" s="259"/>
      <c r="P23" s="252"/>
      <c r="Q23" s="329"/>
      <c r="R23" s="298">
        <f t="shared" si="13"/>
        <v>0</v>
      </c>
      <c r="S23" s="46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31"/>
      <c r="H24" s="331"/>
      <c r="I24" s="265"/>
      <c r="J24" s="47"/>
      <c r="K24" s="330"/>
      <c r="L24" s="39"/>
      <c r="M24" s="39"/>
      <c r="N24" s="261"/>
      <c r="O24" s="259"/>
      <c r="P24" s="252"/>
      <c r="Q24" s="329"/>
      <c r="R24" s="298"/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>
        <v>0</v>
      </c>
      <c r="O25" s="259"/>
      <c r="P25" s="252"/>
      <c r="Q25" s="258"/>
      <c r="R25" s="29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299" t="s">
        <v>29</v>
      </c>
      <c r="H26" s="300">
        <f>SUM(H21:H25)</f>
        <v>158940.09999999998</v>
      </c>
      <c r="I26" s="265"/>
      <c r="J26" s="47"/>
      <c r="K26" s="47"/>
      <c r="L26" s="39">
        <f>SUM(L21:L25)</f>
        <v>4.25</v>
      </c>
      <c r="M26" s="39"/>
      <c r="N26" s="261"/>
      <c r="O26" s="259"/>
      <c r="P26" s="252"/>
      <c r="Q26" s="258"/>
      <c r="R26" s="298"/>
      <c r="S26" s="46">
        <f>SUM(S21:S25)</f>
        <v>1.26</v>
      </c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297" t="s">
        <v>52</v>
      </c>
      <c r="H27" s="295">
        <f>H26*19%</f>
        <v>30198.618999999995</v>
      </c>
      <c r="I27" s="265"/>
      <c r="J27" s="47"/>
      <c r="K27" s="47"/>
      <c r="L27" s="39"/>
      <c r="M27" s="12"/>
      <c r="N27" s="12"/>
      <c r="O27" s="253">
        <f>SUM(O21:O23)</f>
        <v>2.6775000000000002</v>
      </c>
      <c r="P27" s="14"/>
      <c r="Q27" s="12"/>
      <c r="R27" s="239"/>
      <c r="S27" s="46">
        <f>S26*20%</f>
        <v>0.252</v>
      </c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296">
        <f>H26+H27</f>
        <v>189138.71899999998</v>
      </c>
      <c r="I28" s="265"/>
      <c r="J28" s="47"/>
      <c r="K28" s="47"/>
      <c r="L28" s="39"/>
      <c r="M28" s="12"/>
      <c r="N28" s="12"/>
      <c r="O28" s="253">
        <f>O27</f>
        <v>2.6775000000000002</v>
      </c>
      <c r="P28" s="14"/>
      <c r="Q28" s="12"/>
      <c r="R28" s="239">
        <f>SUM(R21:R27)</f>
        <v>8.5</v>
      </c>
      <c r="S28" s="46">
        <f>S26+S27</f>
        <v>1.512</v>
      </c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>
        <v>147074</v>
      </c>
      <c r="K29" s="47"/>
      <c r="L29" s="14"/>
      <c r="M29" s="12"/>
      <c r="N29" s="12"/>
      <c r="O29" s="39">
        <f>O28*20%</f>
        <v>0.53550000000000009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>
        <v>33749</v>
      </c>
      <c r="K30" s="47"/>
      <c r="L30" s="14"/>
      <c r="M30" s="12"/>
      <c r="N30" s="12"/>
      <c r="O30" s="46">
        <f>O28+O29</f>
        <v>3.2130000000000001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>
        <v>94650</v>
      </c>
      <c r="K31" s="47"/>
      <c r="L31" s="14"/>
      <c r="M31" s="14"/>
      <c r="N31" s="14"/>
      <c r="O31" s="14"/>
      <c r="P31" s="14"/>
      <c r="Q31" s="14"/>
      <c r="R31" s="238"/>
      <c r="S31" s="14"/>
      <c r="T31" s="305" t="s">
        <v>22</v>
      </c>
      <c r="U31" s="302" t="s">
        <v>152</v>
      </c>
      <c r="V31" s="306">
        <v>44971</v>
      </c>
      <c r="W31" s="307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>
        <f>SUM(J29:J31)</f>
        <v>275473</v>
      </c>
      <c r="K32" s="47"/>
      <c r="L32" s="39">
        <f>O30</f>
        <v>3.2130000000000001</v>
      </c>
      <c r="M32" s="12">
        <v>3500</v>
      </c>
      <c r="N32" s="12">
        <f t="shared" ref="N32:N37" si="14">L32*M32</f>
        <v>11245.5</v>
      </c>
      <c r="O32" s="14" t="s">
        <v>22</v>
      </c>
      <c r="P32" s="14"/>
      <c r="Q32" s="14"/>
      <c r="R32" s="241"/>
      <c r="S32" s="14"/>
      <c r="T32" s="305" t="s">
        <v>153</v>
      </c>
      <c r="U32" s="302">
        <v>3625</v>
      </c>
      <c r="V32" s="59" t="s">
        <v>154</v>
      </c>
      <c r="W32" s="307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0.9</v>
      </c>
      <c r="M33" s="12">
        <v>25000</v>
      </c>
      <c r="N33" s="12">
        <f t="shared" si="14"/>
        <v>22500</v>
      </c>
      <c r="O33" s="39" t="s">
        <v>32</v>
      </c>
      <c r="P33" s="42"/>
      <c r="Q33" s="14"/>
      <c r="R33" s="240"/>
      <c r="S33" s="14"/>
      <c r="T33" s="305"/>
      <c r="U33" s="59">
        <v>906.25</v>
      </c>
      <c r="V33" s="59" t="s">
        <v>155</v>
      </c>
      <c r="W33" s="307"/>
    </row>
    <row r="34" spans="2:23" s="230" customFormat="1" ht="17.399999999999999" x14ac:dyDescent="0.35">
      <c r="I34" s="262"/>
      <c r="J34" s="232"/>
      <c r="K34" s="250"/>
      <c r="L34" s="14"/>
      <c r="M34" s="250">
        <v>61860</v>
      </c>
      <c r="N34" s="12">
        <f t="shared" si="14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07" t="s">
        <v>156</v>
      </c>
      <c r="W34" s="59"/>
    </row>
    <row r="35" spans="2:23" s="230" customFormat="1" ht="17.399999999999999" x14ac:dyDescent="0.35">
      <c r="B35" s="24" t="s">
        <v>151</v>
      </c>
      <c r="I35" s="262"/>
      <c r="J35" s="232"/>
      <c r="K35" s="250"/>
      <c r="L35" s="14">
        <v>2</v>
      </c>
      <c r="M35" s="250">
        <v>19250</v>
      </c>
      <c r="N35" s="12">
        <f t="shared" si="14"/>
        <v>38500</v>
      </c>
      <c r="O35" s="14" t="s">
        <v>170</v>
      </c>
      <c r="P35" s="17"/>
      <c r="R35" s="238"/>
      <c r="S35" s="256"/>
      <c r="T35" s="59"/>
      <c r="U35" s="59">
        <f>U33+U34</f>
        <v>1087.5</v>
      </c>
      <c r="V35" s="307" t="s">
        <v>157</v>
      </c>
      <c r="W35" s="59"/>
    </row>
    <row r="36" spans="2:23" s="230" customFormat="1" ht="17.399999999999999" x14ac:dyDescent="0.35">
      <c r="B36" s="24" t="s">
        <v>144</v>
      </c>
      <c r="C36"/>
      <c r="D36"/>
      <c r="E36"/>
      <c r="F36"/>
      <c r="I36" s="262"/>
      <c r="J36" s="230">
        <v>27000</v>
      </c>
      <c r="K36" s="250"/>
      <c r="L36" s="249"/>
      <c r="M36" s="250">
        <v>300</v>
      </c>
      <c r="N36" s="12">
        <f t="shared" si="14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294"/>
      <c r="J37" s="230">
        <f>J36*19%</f>
        <v>5130</v>
      </c>
      <c r="K37" s="250"/>
      <c r="L37" s="266"/>
      <c r="M37" s="12">
        <v>1500</v>
      </c>
      <c r="N37" s="12">
        <f t="shared" si="14"/>
        <v>0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I38" s="230" t="s">
        <v>166</v>
      </c>
      <c r="J38" s="230">
        <f>J36+J37</f>
        <v>32130</v>
      </c>
      <c r="K38" s="250"/>
      <c r="L38" s="14"/>
      <c r="M38" s="12"/>
      <c r="N38" s="12">
        <f>SUM(N32:N37)</f>
        <v>72245.5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N38*2.2</f>
        <v>158940.1</v>
      </c>
      <c r="O39" s="14" t="s">
        <v>141</v>
      </c>
      <c r="P39" s="14"/>
      <c r="Q39" s="40">
        <f>O30/Q38</f>
        <v>0.86631794650560823</v>
      </c>
      <c r="R39"/>
      <c r="S39" s="257"/>
    </row>
    <row r="40" spans="2:23" s="230" customFormat="1" ht="17.399999999999999" x14ac:dyDescent="0.35">
      <c r="G40"/>
      <c r="H40" s="260"/>
      <c r="I40" s="230" t="s">
        <v>165</v>
      </c>
      <c r="J40" s="230">
        <v>23560</v>
      </c>
      <c r="K40" s="250">
        <v>0</v>
      </c>
      <c r="L40" s="14"/>
      <c r="M40" s="12"/>
      <c r="N40" s="12">
        <f>N39/O28</f>
        <v>59361.381886087765</v>
      </c>
      <c r="O40" s="45" t="s">
        <v>25</v>
      </c>
      <c r="P40" s="14"/>
      <c r="Q40" s="14"/>
      <c r="R40"/>
      <c r="S40" s="238"/>
      <c r="T40" s="59" t="s">
        <v>158</v>
      </c>
      <c r="U40" s="302">
        <v>43650</v>
      </c>
    </row>
    <row r="41" spans="2:23" s="230" customFormat="1" ht="17.399999999999999" x14ac:dyDescent="0.35">
      <c r="G41"/>
      <c r="J41" s="230">
        <f>J40/1.19</f>
        <v>19798.319327731093</v>
      </c>
      <c r="K41" s="250"/>
      <c r="L41" s="13"/>
      <c r="M41" s="14"/>
      <c r="N41" s="17">
        <f>N39/N38</f>
        <v>2.2000000000000002</v>
      </c>
      <c r="O41" s="15"/>
      <c r="P41"/>
      <c r="Q41"/>
      <c r="R41"/>
      <c r="S41" s="238"/>
      <c r="T41" s="59" t="s">
        <v>160</v>
      </c>
      <c r="U41" s="303" t="s">
        <v>159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161</v>
      </c>
      <c r="U42" s="304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I43" s="230" t="s">
        <v>167</v>
      </c>
      <c r="K43" s="12"/>
      <c r="S43" s="238"/>
      <c r="T43" s="59" t="s">
        <v>156</v>
      </c>
      <c r="U43" s="59">
        <v>474.45</v>
      </c>
    </row>
    <row r="44" spans="2:23" ht="14.4" customHeight="1" x14ac:dyDescent="0.3">
      <c r="I44" t="s">
        <v>168</v>
      </c>
      <c r="J44">
        <v>8990</v>
      </c>
      <c r="K44" s="12"/>
      <c r="T44" s="59"/>
      <c r="U44" s="59"/>
    </row>
    <row r="45" spans="2:23" x14ac:dyDescent="0.3">
      <c r="K45" s="250"/>
    </row>
    <row r="46" spans="2:23" x14ac:dyDescent="0.3">
      <c r="I46">
        <v>46850</v>
      </c>
      <c r="K46" s="250"/>
      <c r="S46" s="270"/>
    </row>
    <row r="47" spans="2:23" x14ac:dyDescent="0.3">
      <c r="K47" s="250"/>
    </row>
    <row r="48" spans="2:23" ht="15" customHeight="1" x14ac:dyDescent="0.3">
      <c r="I48">
        <f>I46/1.19</f>
        <v>39369.747899159665</v>
      </c>
    </row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148</v>
      </c>
    </row>
    <row r="76" spans="3:14" x14ac:dyDescent="0.3">
      <c r="C76" t="s">
        <v>147</v>
      </c>
    </row>
    <row r="79" spans="3:14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45783</v>
      </c>
    </row>
    <row r="6" spans="2:31" ht="16.2" thickBot="1" x14ac:dyDescent="0.35">
      <c r="B6" s="140" t="s">
        <v>2</v>
      </c>
      <c r="C6" s="139" t="str">
        <f>'2229'!C10</f>
        <v>JEAN FRICSBEAR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11421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-9005.6292001207694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158940.09999999998</v>
      </c>
      <c r="E11" s="132">
        <f>D11*0.19</f>
        <v>30198.618999999995</v>
      </c>
      <c r="F11" s="131">
        <f>E11+D11</f>
        <v>189138.71899999998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96984.370799879223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63579.590787439614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78984.370799879223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95360.50921256037</v>
      </c>
      <c r="E13" s="221">
        <f>(D11/D12)-1</f>
        <v>1.4998603802180996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69984.370799879223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30984.370799879231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104906.32479927536</v>
      </c>
      <c r="F15" s="216">
        <f>E15-D12</f>
        <v>41326.734011835746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30984.370799879231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70984.370799879223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22500</v>
      </c>
      <c r="E19" s="123">
        <f>D19*0.19</f>
        <v>4275</v>
      </c>
      <c r="F19" s="120">
        <f>SUM(D19:E19)</f>
        <v>26775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11245.5</v>
      </c>
      <c r="E20" s="121">
        <f>D20*0.19</f>
        <v>2136.645</v>
      </c>
      <c r="F20" s="120">
        <f>SUM(D20:E20)</f>
        <v>13382.145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33745.5</v>
      </c>
      <c r="E21" s="116">
        <f>SUM(E18:E20)</f>
        <v>6411.6450000000004</v>
      </c>
      <c r="F21" s="115">
        <f>SUM(F18:F20)</f>
        <v>40157.145000000004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23786.973999999995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158940.09999999998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33745.5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95360.50921256037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95360.50921256037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2025-05-06T14:30:15Z</cp:lastPrinted>
  <dcterms:created xsi:type="dcterms:W3CDTF">2013-03-18T13:35:42Z</dcterms:created>
  <dcterms:modified xsi:type="dcterms:W3CDTF">2025-05-06T14:30:35Z</dcterms:modified>
</cp:coreProperties>
</file>