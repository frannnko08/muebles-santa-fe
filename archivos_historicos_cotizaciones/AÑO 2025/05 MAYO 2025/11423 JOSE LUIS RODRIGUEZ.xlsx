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98DB0A3E-4914-4DAB-A2C0-BD5ECDA634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H23" i="1"/>
  <c r="L23" i="1"/>
  <c r="M23" i="1"/>
  <c r="N23" i="1"/>
  <c r="H22" i="1"/>
  <c r="L22" i="1"/>
  <c r="M22" i="1"/>
  <c r="N22" i="1"/>
  <c r="L21" i="1"/>
  <c r="N21" i="1"/>
  <c r="O23" i="1" l="1"/>
  <c r="P23" i="1" s="1"/>
  <c r="O22" i="1"/>
  <c r="P22" i="1" s="1"/>
  <c r="M21" i="1"/>
  <c r="M27" i="1" s="1"/>
  <c r="S21" i="1" l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40" i="1" l="1"/>
  <c r="D20" i="3"/>
  <c r="E20" i="3" s="1"/>
  <c r="E21" i="3" s="1"/>
  <c r="Q20" i="1" l="1"/>
  <c r="Q23" i="1" s="1"/>
  <c r="R23" i="1" s="1"/>
  <c r="D21" i="3"/>
  <c r="M43" i="3" s="1"/>
  <c r="D12" i="3" s="1"/>
  <c r="F20" i="3"/>
  <c r="F21" i="3" s="1"/>
  <c r="Q22" i="1" l="1"/>
  <c r="R22" i="1" s="1"/>
  <c r="O41" i="1"/>
  <c r="E15" i="3"/>
  <c r="Q21" i="1" l="1"/>
  <c r="F15" i="3"/>
  <c r="R21" i="1" l="1"/>
  <c r="H21" i="1" l="1"/>
  <c r="H26" i="1" s="1"/>
  <c r="H27" i="1" l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<sst xmlns="http://schemas.openxmlformats.org/spreadsheetml/2006/main" count="233" uniqueCount="173">
  <si>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</si>
  <si>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</si>
  <si>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</si>
  <si>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</si>
  <si>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</si>
  <si>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</si>
  <si>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</si>
  <si>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</si>
  <si>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</si>
  <si>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</si>
  <si>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</si>
  <si>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</si>
  <si>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</si>
  <si>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</si>
  <si>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</si>
  <si>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</si>
  <si>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</si>
  <si>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</si>
  <si>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</si>
  <si>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</si>
  <si>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</si>
  <si>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</si>
  <si>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</si>
  <si>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</si>
  <si>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</si>
  <si>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</si>
  <si>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</si>
  <si>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</si>
  <si>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</si>
  <si>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</si>
  <si>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</si>
  <si>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</si>
  <si>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</si>
  <si>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</si>
  <si>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</si>
  <si>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</si>
  <si>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</si>
  <si>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</si>
  <si>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</si>
  <si>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</si>
  <si>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</si>
  <si>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</si>
  <si>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</si>
  <si>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</si>
  <si>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</si>
  <si>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</si>
  <si>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</si>
  <si>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</si>
  <si>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</si>
  <si>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</si>
  <si>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</si>
  <si>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</si>
  <si>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</si>
  <si>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</si>
  <si>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</si>
  <si>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</si>
  <si>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</si>
  <si>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</si>
  <si>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</si>
  <si>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</si>
  <si>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</si>
  <si>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</si>
  <si>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</si>
  <si>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</si>
  <si>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</si>
  <si>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</si>
  <si>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</si>
  <si>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</si>
  <si>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</si>
  <si>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</si>
  <si>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</si>
  <si>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</si>
  <si>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</si>
  <si>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</si>
  <si>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</si>
  <si>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</si>
  <si>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</si>
  <si>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</si>
  <si>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</si>
  <si>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</si>
  <si>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</si>
  <si>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</si>
  <si>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</si>
  <si>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</si>
  <si>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</si>
  <si>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</si>
  <si>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</si>
  <si>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</si>
  <si>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</si>
  <si>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</si>
  <si>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</si>
  <si>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</si>
  <si>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</si>
  <si>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</si>
  <si>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</si>
  <si>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</si>
  <si>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</si>
  <si>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</si>
  <si>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</si>
  <si>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</si>
  <si>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</si>
  <si>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</si>
  <si>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</si>
  <si>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</si>
  <si>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</si>
  <si>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</si>
  <si>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</si>
  <si>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</si>
  <si>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</si>
  <si>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</si>
  <si>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</si>
  <si>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</si>
  <si>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</si>
  <si>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</si>
  <si>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</si>
  <si>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</si>
  <si>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</si>
  <si>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</si>
  <si>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</si>
  <si>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</si>
  <si>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</si>
  <si>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</si>
  <si>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</si>
  <si>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</si>
  <si>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</si>
  <si>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</si>
  <si>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</si>
  <si>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</si>
  <si>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</si>
  <si>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</si>
  <si>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</si>
  <si>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</si>
  <si>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</si>
  <si>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</si>
  <si>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</si>
  <si>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</si>
  <si>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</si>
  <si>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</si>
  <si>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</si>
  <si>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</si>
  <si>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</si>
  <si>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</si>
  <si>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</si>
  <si>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</si>
  <si>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</si>
  <si>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</si>
  <si>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</si>
  <si>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</si>
  <si>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</si>
  <si>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</si>
  <si>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</si>
  <si>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</si>
  <si>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</si>
  <si>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</si>
  <si>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</si>
  <si>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</si>
  <si>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</si>
  <si>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</si>
  <si>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</si>
  <si>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</si>
  <si>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</si>
  <si>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</si>
  <si>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</si>
  <si>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</si>
  <si>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</si>
  <si>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</si>
  <si>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</si>
  <si>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</si>
  <si>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JOSE LUIS RODRIGUEZ</t>
  </si>
  <si>
    <t>CUB C/R FRENTE 180°</t>
  </si>
  <si>
    <t>56962302329</t>
  </si>
  <si>
    <t>N° 11423</t>
  </si>
  <si>
    <t>GRANITO KOMBI 0670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</si>
</sst>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13" zoomScale="93" zoomScaleNormal="93" workbookViewId="0">
      <selection activeCell="K22" sqref="K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45784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77543.376813957279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169</v>
      </c>
      <c r="D21" s="331">
        <v>2.77</v>
      </c>
      <c r="E21" s="331">
        <v>0.5</v>
      </c>
      <c r="F21" s="330" t="s">
        <v>172</v>
      </c>
      <c r="G21" s="332">
        <v>110499</v>
      </c>
      <c r="H21" s="332">
        <f>G21*B21</f>
        <v>110499</v>
      </c>
      <c r="I21" s="320"/>
      <c r="J21" s="265"/>
      <c r="K21" s="47"/>
      <c r="L21" s="47">
        <f>B21</f>
        <v>1</v>
      </c>
      <c r="M21" s="39">
        <f>D21+M$19</f>
        <v>2.85</v>
      </c>
      <c r="N21" s="39">
        <f>E21+$N$19</f>
        <v>0.5</v>
      </c>
      <c r="O21" s="261">
        <f t="shared" ref="O21" si="1">M21*N21</f>
        <v>1.425</v>
      </c>
      <c r="P21" s="259">
        <f t="shared" ref="P21" si="2">O21*L21</f>
        <v>1.425</v>
      </c>
      <c r="Q21" s="252">
        <f t="shared" ref="Q21" si="3">Q$20*O21</f>
        <v>110499.31195988912</v>
      </c>
      <c r="R21" s="319">
        <f t="shared" ref="R21" si="4">Q21+R$20</f>
        <v>113499.31195988912</v>
      </c>
      <c r="S21" s="297">
        <f>M21*L21</f>
        <v>2.85</v>
      </c>
      <c r="T21" s="46">
        <f>N21*2*L21*2</f>
        <v>2</v>
      </c>
      <c r="U21" s="9"/>
      <c r="X21" s="4"/>
    </row>
    <row r="22" spans="2:25" ht="17.399999999999999" x14ac:dyDescent="0.3">
      <c r="B22" s="330">
        <v>1</v>
      </c>
      <c r="C22" s="330" t="s">
        <v>169</v>
      </c>
      <c r="D22" s="331">
        <v>1.1399999999999999</v>
      </c>
      <c r="E22" s="331">
        <v>0.4</v>
      </c>
      <c r="F22" s="330" t="s">
        <v>172</v>
      </c>
      <c r="G22" s="332">
        <v>37841</v>
      </c>
      <c r="H22" s="332">
        <f t="shared" ref="H22:H23" si="5">G22*B22</f>
        <v>37841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1.22</v>
      </c>
      <c r="N22" s="39">
        <f t="shared" ref="N22" si="8">E22+$N$19</f>
        <v>0.4</v>
      </c>
      <c r="O22" s="261">
        <f t="shared" ref="O22" si="9">M22*N22</f>
        <v>0.48799999999999999</v>
      </c>
      <c r="P22" s="259">
        <f t="shared" ref="P22" si="10">O22*L22</f>
        <v>0.48799999999999999</v>
      </c>
      <c r="Q22" s="252">
        <f t="shared" ref="Q22" si="11">Q$20*O22</f>
        <v>37841.167885211151</v>
      </c>
      <c r="R22" s="319">
        <f t="shared" ref="R22" si="12">Q22+R$20</f>
        <v>40841.167885211151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169</v>
      </c>
      <c r="D23" s="331">
        <v>1.38</v>
      </c>
      <c r="E23" s="331">
        <v>0.37</v>
      </c>
      <c r="F23" s="330" t="s">
        <v>172</v>
      </c>
      <c r="G23" s="332">
        <v>41889</v>
      </c>
      <c r="H23" s="332">
        <f t="shared" si="5"/>
        <v>41889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1.46</v>
      </c>
      <c r="N23" s="39">
        <f t="shared" ref="N23" si="15">E23+$N$19</f>
        <v>0.37</v>
      </c>
      <c r="O23" s="261">
        <f t="shared" ref="O23" si="16">M23*N23</f>
        <v>0.54020000000000001</v>
      </c>
      <c r="P23" s="259">
        <f t="shared" ref="P23" si="17">O23*L23</f>
        <v>0.54020000000000001</v>
      </c>
      <c r="Q23" s="252">
        <f t="shared" ref="Q23" si="18">Q$20*O23</f>
        <v>41888.932154899725</v>
      </c>
      <c r="R23" s="319">
        <f t="shared" ref="R23" si="19">Q23+R$20</f>
        <v>44888.932154899725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190229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36143.51</v>
      </c>
      <c r="I27" s="322"/>
      <c r="J27" s="265"/>
      <c r="K27" s="47"/>
      <c r="L27" s="47"/>
      <c r="M27" s="39">
        <f>SUM(M21:M22)</f>
        <v>4.07</v>
      </c>
      <c r="N27" s="12"/>
      <c r="O27" s="12"/>
      <c r="P27" s="253">
        <f>SUM(P21:P25)</f>
        <v>2.4531999999999998</v>
      </c>
      <c r="Q27" s="14"/>
      <c r="R27" s="12"/>
      <c r="S27" s="239">
        <f>SUM(S21:S26)</f>
        <v>2.85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226372.51</v>
      </c>
      <c r="I28" s="322"/>
      <c r="J28" s="265"/>
      <c r="K28" s="47"/>
      <c r="L28" s="47"/>
      <c r="M28" s="39"/>
      <c r="N28" s="12"/>
      <c r="O28" s="12"/>
      <c r="P28" s="253">
        <f>P27</f>
        <v>2.4531999999999998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0.49063999999999997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2.9438399999999998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2.9438399999999998</v>
      </c>
      <c r="N32" s="12">
        <v>3500</v>
      </c>
      <c r="O32" s="12">
        <f t="shared" ref="O32:O37" si="20">M32*N32</f>
        <v>10303.439999999999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</v>
      </c>
      <c r="N33" s="12">
        <v>25000</v>
      </c>
      <c r="O33" s="12">
        <f t="shared" si="20"/>
        <v>25000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/>
      <c r="L34" s="250"/>
      <c r="M34" s="14"/>
      <c r="N34" s="250">
        <v>65000</v>
      </c>
      <c r="O34" s="12">
        <f t="shared" si="20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166</v>
      </c>
      <c r="C35"/>
      <c r="D35"/>
      <c r="E35"/>
      <c r="F35"/>
      <c r="J35" s="262"/>
      <c r="K35" s="232"/>
      <c r="L35" s="250"/>
      <c r="M35" s="14">
        <v>1</v>
      </c>
      <c r="N35" s="250">
        <v>41300</v>
      </c>
      <c r="O35" s="12">
        <f t="shared" si="20"/>
        <v>41300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20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4.07</v>
      </c>
      <c r="N37" s="12">
        <v>1500</v>
      </c>
      <c r="O37" s="12">
        <f t="shared" si="20"/>
        <v>6105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82708.44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O38*2.3</f>
        <v>190229.41199999998</v>
      </c>
      <c r="P39" s="14" t="s">
        <v>140</v>
      </c>
      <c r="Q39" s="14"/>
      <c r="R39" s="40">
        <f>P30/R38</f>
        <v>0.79374460742018971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49120</v>
      </c>
      <c r="L40" s="250"/>
      <c r="M40" s="14"/>
      <c r="N40" s="12"/>
      <c r="O40" s="12">
        <f>O39/P28</f>
        <v>77543.376813957279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K41" s="230">
        <f>K40/1.19</f>
        <v>41277.310924369747</v>
      </c>
      <c r="L41" s="250"/>
      <c r="M41" s="13"/>
      <c r="N41" s="14"/>
      <c r="O41" s="17">
        <f>O39/O38</f>
        <v>2.2999999999999998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45784</v>
      </c>
    </row>
    <row r="6" spans="2:31" ht="16.2" thickBot="1" x14ac:dyDescent="0.35">
      <c r="B6" s="140" t="s">
        <v>2</v>
      </c>
      <c r="C6" s="139" t="str">
        <f>'2229'!C10</f>
        <v>JOSE LUIS RODRIGUEZ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11423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-13792.012366787441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190229</v>
      </c>
      <c r="E11" s="132">
        <f>D11*0.19</f>
        <v>36143.51</v>
      </c>
      <c r="F11" s="131">
        <f>E11+D11</f>
        <v>226372.51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92197.987633212557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65137.530787439617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74197.987633212557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125091.46921256039</v>
      </c>
      <c r="E13" s="221">
        <f>(D11/D12)-1</f>
        <v>1.9204208034960022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65197.987633212557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26197.987633212557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107476.92579927536</v>
      </c>
      <c r="F15" s="216">
        <f>E15-D12</f>
        <v>42339.395011835739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26197.987633212557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66197.987633212557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10303.439999999999</v>
      </c>
      <c r="E20" s="121">
        <f>D20*0.19</f>
        <v>1957.6535999999999</v>
      </c>
      <c r="F20" s="120">
        <f>SUM(D20:E20)</f>
        <v>12261.093599999998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35303.440000000002</v>
      </c>
      <c r="E21" s="116">
        <f>SUM(E18:E20)</f>
        <v>6707.6535999999996</v>
      </c>
      <c r="F21" s="115">
        <f>SUM(F18:F20)</f>
        <v>42011.0936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29435.856400000004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190229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35303.440000000002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125091.46921256039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125091.46921256039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2025-03-05T21:22:37Z</cp:lastPrinted>
  <dcterms:created xsi:type="dcterms:W3CDTF">2013-03-18T13:35:42Z</dcterms:created>
  <dcterms:modified xsi:type="dcterms:W3CDTF">2025-05-08T16:17:45Z</dcterms:modified>
</cp:coreProperties>
</file>