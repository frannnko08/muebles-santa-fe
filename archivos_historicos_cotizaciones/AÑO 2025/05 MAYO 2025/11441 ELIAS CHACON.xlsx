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C3612D92-BFE5-449D-A04E-2BFDFAB0A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L26" i="1"/>
  <c r="O27" i="1"/>
  <c r="K22" i="1"/>
  <c r="L22" i="1"/>
  <c r="M22" i="1"/>
  <c r="N22" i="1"/>
  <c r="O22" i="1" s="1"/>
  <c r="K23" i="1"/>
  <c r="O23" i="1" s="1"/>
  <c r="L23" i="1"/>
  <c r="M23" i="1"/>
  <c r="N23" i="1"/>
  <c r="J40" i="1"/>
  <c r="K21" i="1"/>
  <c r="N35" i="1"/>
  <c r="N34" i="1" l="1"/>
  <c r="N36" i="1"/>
  <c r="N37" i="1"/>
  <c r="L21" i="1" l="1"/>
  <c r="M21" i="1"/>
  <c r="S21" i="1" l="1"/>
  <c r="S26" i="1" s="1"/>
  <c r="S27" i="1" s="1"/>
  <c r="S28" i="1" s="1"/>
  <c r="R21" i="1"/>
  <c r="R28" i="1" s="1"/>
  <c r="N21" i="1"/>
  <c r="O21" i="1" s="1"/>
  <c r="U34" i="1"/>
  <c r="U35" i="1" s="1"/>
  <c r="N33" i="1" l="1"/>
  <c r="O28" i="1" l="1"/>
  <c r="O29" i="1" s="1"/>
  <c r="O30" i="1" s="1"/>
  <c r="L32" i="1" s="1"/>
  <c r="M20" i="1"/>
  <c r="K20" i="1"/>
  <c r="Q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3" i="1" l="1"/>
  <c r="Q23" i="1" s="1"/>
  <c r="P22" i="1"/>
  <c r="Q22" i="1" s="1"/>
  <c r="P21" i="1"/>
  <c r="F15" i="3"/>
  <c r="Q21" i="1" l="1"/>
  <c r="H21" i="1" l="1"/>
  <c r="H26" i="1" s="1"/>
  <c r="H27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<sst xmlns="http://schemas.openxmlformats.org/spreadsheetml/2006/main" count="231" uniqueCount="173">
  <si>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</si>
  <si>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</si>
  <si>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</si>
  <si>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</si>
  <si>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</si>
  <si>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</si>
  <si>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</si>
  <si>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</si>
  <si>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</si>
  <si>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</si>
  <si>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</si>
  <si>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</si>
  <si>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</si>
  <si>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</si>
  <si>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</si>
  <si>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</si>
  <si>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</si>
  <si>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</si>
  <si>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</si>
  <si>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</si>
  <si>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</si>
  <si>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</si>
  <si>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</si>
  <si>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</si>
  <si>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</si>
  <si>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</si>
  <si>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</si>
  <si>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</si>
  <si>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</si>
  <si>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</si>
  <si>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</si>
  <si>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</si>
  <si>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</si>
  <si>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</si>
  <si>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</si>
  <si>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</si>
  <si>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</si>
  <si>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</si>
  <si>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</si>
  <si>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</si>
  <si>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</si>
  <si>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</si>
  <si>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</si>
  <si>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</si>
  <si>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</si>
  <si>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</si>
  <si>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</si>
  <si>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</si>
  <si>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</si>
  <si>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</si>
  <si>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</si>
  <si>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</si>
  <si>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</si>
  <si>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</si>
  <si>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</si>
  <si>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</si>
  <si>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</si>
  <si>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</si>
  <si>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</si>
  <si>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</si>
  <si>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</si>
  <si>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</si>
  <si>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</si>
  <si>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</si>
  <si>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</si>
  <si>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</si>
  <si>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</si>
  <si>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</si>
  <si>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</si>
  <si>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</si>
  <si>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</si>
  <si>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</si>
  <si>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</si>
  <si>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</si>
  <si>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</si>
  <si>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</si>
  <si>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</si>
  <si>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</si>
  <si>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</si>
  <si>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</si>
  <si>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</si>
  <si>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</si>
  <si>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</si>
  <si>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</si>
  <si>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</si>
  <si>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</si>
  <si>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</si>
  <si>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</si>
  <si>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</si>
  <si>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</si>
  <si>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</si>
  <si>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</si>
  <si>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</si>
  <si>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</si>
  <si>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</si>
  <si>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</si>
  <si>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</si>
  <si>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</si>
  <si>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</si>
  <si>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</si>
  <si>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</si>
  <si>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</si>
  <si>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</si>
  <si>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</si>
  <si>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</si>
  <si>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</si>
  <si>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</si>
  <si>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</si>
  <si>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</si>
  <si>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</si>
  <si>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</si>
  <si>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</si>
  <si>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</si>
  <si>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</si>
  <si>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</si>
  <si>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</si>
  <si>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</si>
  <si>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</si>
  <si>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</si>
  <si>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</si>
  <si>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</si>
  <si>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</si>
  <si>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</si>
  <si>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</si>
  <si>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</si>
  <si>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</si>
  <si>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</si>
  <si>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</si>
  <si>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</si>
  <si>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</si>
  <si>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</si>
  <si>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</si>
  <si>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</si>
  <si>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</si>
  <si>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</si>
  <si>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</si>
  <si>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</si>
  <si>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</si>
  <si>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</si>
  <si>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</si>
  <si>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</si>
  <si>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</si>
  <si>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</si>
  <si>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</si>
  <si>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</si>
  <si>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</si>
  <si>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</si>
  <si>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</si>
  <si>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</si>
  <si>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</si>
  <si>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</si>
  <si>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</si>
  <si>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</si>
  <si>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</si>
  <si>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</si>
  <si>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</si>
  <si>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</si>
  <si>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</si>
  <si>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</si>
  <si>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</si>
  <si>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</si>
  <si>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</si>
  <si>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</si>
  <si>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</si>
  <si>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</si>
  <si>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</si>
  <si>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CUB CON RESPALDO FRENTE 90° R8</t>
  </si>
  <si>
    <t>5 DIAS HABILES</t>
  </si>
  <si>
    <t>N° 11368</t>
  </si>
  <si>
    <t>ELIAS CHACON</t>
  </si>
  <si>
    <t>COLOR POR DEFINIR</t>
  </si>
  <si>
    <t>CORTE DE 45°</t>
  </si>
  <si>
    <t>569 9934 1718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</si>
</sst>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24</xdr:row>
      <xdr:rowOff>206170</xdr:rowOff>
    </xdr:from>
    <xdr:to>
      <xdr:col>5</xdr:col>
      <xdr:colOff>1643259</xdr:colOff>
      <xdr:row>28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baseline="0"/>
            <a:t>SUSTRATO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169</v>
      </c>
      <c r="D10" s="243"/>
      <c r="E10" s="243"/>
      <c r="F10" s="244" t="s">
        <v>0</v>
      </c>
      <c r="G10" s="277">
        <v>45797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172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N40</f>
        <v>109632.53187613846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166</v>
      </c>
      <c r="D21" s="327">
        <v>2</v>
      </c>
      <c r="E21" s="327">
        <v>0.6</v>
      </c>
      <c r="F21" s="326" t="s">
        <v>170</v>
      </c>
      <c r="G21" s="328">
        <v>139821</v>
      </c>
      <c r="H21" s="328">
        <f>G21*B21</f>
        <v>139821</v>
      </c>
      <c r="I21" s="265"/>
      <c r="J21" s="47"/>
      <c r="K21" s="330">
        <f>B21</f>
        <v>1</v>
      </c>
      <c r="L21" s="39">
        <f>D21+L$19</f>
        <v>2.08</v>
      </c>
      <c r="M21" s="39">
        <f>E21+M$19</f>
        <v>0.6</v>
      </c>
      <c r="N21" s="261">
        <f t="shared" ref="N21" si="0">L21*M21</f>
        <v>1.248</v>
      </c>
      <c r="O21" s="259">
        <f t="shared" ref="O21" si="1">N21*K21</f>
        <v>1.248</v>
      </c>
      <c r="P21" s="252">
        <f t="shared" ref="P21" si="2">P$20*N21</f>
        <v>136821.3997814208</v>
      </c>
      <c r="Q21" s="329">
        <f t="shared" ref="Q21" si="3">P21+Q$20</f>
        <v>139821.3997814208</v>
      </c>
      <c r="R21" s="298">
        <f>L21*K21*2</f>
        <v>4.16</v>
      </c>
      <c r="S21" s="46">
        <f>M21*2*K21</f>
        <v>1.2</v>
      </c>
      <c r="T21" s="9"/>
      <c r="W21" s="4"/>
    </row>
    <row r="22" spans="2:24" ht="17.399999999999999" x14ac:dyDescent="0.3">
      <c r="B22" s="326">
        <v>1</v>
      </c>
      <c r="C22" s="326" t="s">
        <v>166</v>
      </c>
      <c r="D22" s="327">
        <v>1.5</v>
      </c>
      <c r="E22" s="327">
        <v>0.6</v>
      </c>
      <c r="F22" s="326" t="s">
        <v>170</v>
      </c>
      <c r="G22" s="328">
        <v>106932</v>
      </c>
      <c r="H22" s="328">
        <f>G22*B22</f>
        <v>106932</v>
      </c>
      <c r="I22" s="265"/>
      <c r="J22" s="47"/>
      <c r="K22" s="330">
        <f t="shared" ref="K22:K23" si="4">B22</f>
        <v>1</v>
      </c>
      <c r="L22" s="39">
        <f t="shared" ref="L22:L23" si="5">D22+L$19</f>
        <v>1.58</v>
      </c>
      <c r="M22" s="39">
        <f t="shared" ref="M22:M23" si="6">E22+M$19</f>
        <v>0.6</v>
      </c>
      <c r="N22" s="261">
        <f t="shared" ref="N22:N23" si="7">L22*M22</f>
        <v>0.94799999999999995</v>
      </c>
      <c r="O22" s="259">
        <f t="shared" ref="O22:O23" si="8">N22*K22</f>
        <v>0.94799999999999995</v>
      </c>
      <c r="P22" s="252">
        <f t="shared" ref="P22:P23" si="9">P$20*N22</f>
        <v>103931.64021857925</v>
      </c>
      <c r="Q22" s="329">
        <f t="shared" ref="Q22:Q23" si="10">P22+Q$20</f>
        <v>106931.64021857925</v>
      </c>
      <c r="R22" s="298"/>
      <c r="S22" s="46"/>
      <c r="T22" s="9"/>
      <c r="W22" s="4"/>
    </row>
    <row r="23" spans="2:24" ht="17.399999999999999" x14ac:dyDescent="0.3">
      <c r="B23" s="326">
        <v>2</v>
      </c>
      <c r="C23" s="326" t="s">
        <v>171</v>
      </c>
      <c r="D23" s="327"/>
      <c r="E23" s="327"/>
      <c r="F23" s="326"/>
      <c r="G23" s="328">
        <v>10000</v>
      </c>
      <c r="H23" s="328">
        <f>G23*B23</f>
        <v>20000</v>
      </c>
      <c r="I23" s="265"/>
      <c r="J23" s="47"/>
      <c r="K23" s="330">
        <f t="shared" si="4"/>
        <v>2</v>
      </c>
      <c r="L23" s="39">
        <f t="shared" si="5"/>
        <v>0.08</v>
      </c>
      <c r="M23" s="39">
        <f t="shared" si="6"/>
        <v>0</v>
      </c>
      <c r="N23" s="261">
        <f t="shared" si="7"/>
        <v>0</v>
      </c>
      <c r="O23" s="259">
        <f t="shared" si="8"/>
        <v>0</v>
      </c>
      <c r="P23" s="252">
        <f t="shared" si="9"/>
        <v>0</v>
      </c>
      <c r="Q23" s="329">
        <f t="shared" si="10"/>
        <v>3000</v>
      </c>
      <c r="R23" s="298"/>
      <c r="S23" s="46"/>
      <c r="T23" s="9"/>
      <c r="W23" s="4"/>
    </row>
    <row r="24" spans="2:24" ht="17.399999999999999" x14ac:dyDescent="0.3">
      <c r="B24" s="286"/>
      <c r="C24" s="332"/>
      <c r="D24" s="287"/>
      <c r="E24" s="287"/>
      <c r="F24" s="286"/>
      <c r="G24" s="331"/>
      <c r="H24" s="331"/>
      <c r="I24" s="265"/>
      <c r="J24" s="47"/>
      <c r="K24" s="330"/>
      <c r="L24" s="39"/>
      <c r="M24" s="39"/>
      <c r="N24" s="261"/>
      <c r="O24" s="259"/>
      <c r="P24" s="252"/>
      <c r="Q24" s="329"/>
      <c r="R24" s="29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>
        <v>0</v>
      </c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266753</v>
      </c>
      <c r="I26" s="265"/>
      <c r="J26" s="47"/>
      <c r="K26" s="47"/>
      <c r="L26" s="39">
        <f>SUM(L21:L23)</f>
        <v>3.74</v>
      </c>
      <c r="M26" s="39"/>
      <c r="N26" s="261"/>
      <c r="O26" s="259"/>
      <c r="P26" s="252"/>
      <c r="Q26" s="258"/>
      <c r="R26" s="298"/>
      <c r="S26" s="46">
        <f>SUM(S21:S25)</f>
        <v>1.2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50683.07</v>
      </c>
      <c r="I27" s="265"/>
      <c r="J27" s="47"/>
      <c r="K27" s="47"/>
      <c r="L27" s="39"/>
      <c r="M27" s="12"/>
      <c r="N27" s="12"/>
      <c r="O27" s="253">
        <f>SUM(O21:O22)</f>
        <v>2.1959999999999997</v>
      </c>
      <c r="P27" s="14"/>
      <c r="Q27" s="12"/>
      <c r="R27" s="239"/>
      <c r="S27" s="46">
        <f>S26*20%</f>
        <v>0.24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317436.07</v>
      </c>
      <c r="I28" s="265"/>
      <c r="J28" s="47"/>
      <c r="K28" s="47"/>
      <c r="L28" s="39"/>
      <c r="M28" s="12"/>
      <c r="N28" s="12"/>
      <c r="O28" s="253">
        <f>O27</f>
        <v>2.1959999999999997</v>
      </c>
      <c r="P28" s="14"/>
      <c r="Q28" s="12"/>
      <c r="R28" s="239">
        <f>SUM(R21:R27)</f>
        <v>4.16</v>
      </c>
      <c r="S28" s="46">
        <f>S26+S27</f>
        <v>1.44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0.43919999999999998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2.6351999999999998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152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2.6351999999999998</v>
      </c>
      <c r="M32" s="12">
        <v>3500</v>
      </c>
      <c r="N32" s="12">
        <f t="shared" ref="N32:N37" si="11">L32*M32</f>
        <v>9223.1999999999989</v>
      </c>
      <c r="O32" s="14" t="s">
        <v>22</v>
      </c>
      <c r="P32" s="14"/>
      <c r="Q32" s="14"/>
      <c r="R32" s="241"/>
      <c r="S32" s="14"/>
      <c r="T32" s="305" t="s">
        <v>153</v>
      </c>
      <c r="U32" s="302">
        <v>3625</v>
      </c>
      <c r="V32" s="59" t="s">
        <v>154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0.6</v>
      </c>
      <c r="M33" s="12">
        <v>25000</v>
      </c>
      <c r="N33" s="12">
        <f t="shared" si="11"/>
        <v>15000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155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61500</v>
      </c>
      <c r="N34" s="12">
        <f t="shared" si="11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2</v>
      </c>
      <c r="M35" s="250">
        <v>39800</v>
      </c>
      <c r="N35" s="12">
        <f t="shared" si="11"/>
        <v>79600</v>
      </c>
      <c r="O35" s="14"/>
      <c r="P35" s="17"/>
      <c r="R35" s="238"/>
      <c r="S35" s="256"/>
      <c r="T35" s="59"/>
      <c r="U35" s="59">
        <f>U33+U34</f>
        <v>1087.5</v>
      </c>
      <c r="V35" s="307" t="s">
        <v>157</v>
      </c>
      <c r="W35" s="59"/>
    </row>
    <row r="36" spans="2:23" s="230" customFormat="1" ht="17.399999999999999" x14ac:dyDescent="0.35">
      <c r="B36" s="24" t="s">
        <v>144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1"/>
        <v>0</v>
      </c>
      <c r="O36" s="14" t="s">
        <v>33</v>
      </c>
      <c r="P36" s="14"/>
      <c r="Q36" s="230">
        <v>1.83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K37" s="250"/>
      <c r="L37" s="266">
        <v>3.74</v>
      </c>
      <c r="M37" s="12">
        <v>1500</v>
      </c>
      <c r="N37" s="12">
        <f t="shared" si="11"/>
        <v>5610</v>
      </c>
      <c r="O37" s="14" t="s">
        <v>23</v>
      </c>
      <c r="P37" s="14"/>
      <c r="Q37">
        <v>2.5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109433.2</v>
      </c>
      <c r="O38" s="39" t="s">
        <v>24</v>
      </c>
      <c r="P38" s="14"/>
      <c r="Q38">
        <f>Q36*Q37</f>
        <v>4.5750000000000002</v>
      </c>
      <c r="R38"/>
      <c r="S38" s="238"/>
      <c r="W38" s="231"/>
    </row>
    <row r="39" spans="2:23" s="230" customFormat="1" ht="17.399999999999999" x14ac:dyDescent="0.35">
      <c r="J39" s="230">
        <v>89840</v>
      </c>
      <c r="K39" s="250"/>
      <c r="L39" s="254" t="s">
        <v>34</v>
      </c>
      <c r="M39" s="12"/>
      <c r="N39" s="255">
        <f>N38*2.2</f>
        <v>240753.04</v>
      </c>
      <c r="O39" s="14" t="s">
        <v>141</v>
      </c>
      <c r="P39" s="14"/>
      <c r="Q39" s="40">
        <f>O30/Q38</f>
        <v>0.57599999999999996</v>
      </c>
      <c r="R39"/>
      <c r="S39" s="257"/>
    </row>
    <row r="40" spans="2:23" s="230" customFormat="1" ht="17.399999999999999" x14ac:dyDescent="0.35">
      <c r="G40"/>
      <c r="H40" s="260"/>
      <c r="J40" s="230">
        <f>J39/1.19</f>
        <v>75495.798319327732</v>
      </c>
      <c r="K40" s="250">
        <v>0</v>
      </c>
      <c r="L40" s="14"/>
      <c r="M40" s="12"/>
      <c r="N40" s="12">
        <f>N39/O28</f>
        <v>109632.53187613846</v>
      </c>
      <c r="O40" s="45" t="s">
        <v>25</v>
      </c>
      <c r="P40" s="14"/>
      <c r="Q40" s="14"/>
      <c r="R40"/>
      <c r="S40" s="238"/>
      <c r="T40" s="59" t="s">
        <v>158</v>
      </c>
      <c r="U40" s="302">
        <v>43650</v>
      </c>
    </row>
    <row r="41" spans="2:23" s="230" customFormat="1" ht="17.399999999999999" x14ac:dyDescent="0.35">
      <c r="G41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160</v>
      </c>
      <c r="U41" s="303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156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45797</v>
      </c>
    </row>
    <row r="6" spans="2:31" ht="16.2" thickBot="1" x14ac:dyDescent="0.35">
      <c r="B6" s="140" t="s">
        <v>2</v>
      </c>
      <c r="C6" s="139" t="str">
        <f>'2229'!C10</f>
        <v>ELIAS CHACON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-29593.078366787446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266753</v>
      </c>
      <c r="E11" s="132">
        <f>D11*0.19</f>
        <v>50683.07</v>
      </c>
      <c r="F11" s="131">
        <f>E11+D11</f>
        <v>317436.07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76396.921633212551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54057.290787439611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58396.921633212551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212695.70921256038</v>
      </c>
      <c r="E13" s="221">
        <f>(D11/D12)-1</f>
        <v>3.9346350161888051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49396.921633212551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10396.921633212554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89194.529799275348</v>
      </c>
      <c r="F15" s="216">
        <f>E15-D12</f>
        <v>35137.239011835736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10396.921633212554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50396.921633212551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9223.1999999999989</v>
      </c>
      <c r="E20" s="121">
        <f>D20*0.19</f>
        <v>1752.4079999999999</v>
      </c>
      <c r="F20" s="120">
        <f>SUM(D20:E20)</f>
        <v>10975.607999999998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24223.199999999997</v>
      </c>
      <c r="E21" s="116">
        <f>SUM(E18:E20)</f>
        <v>4602.4079999999994</v>
      </c>
      <c r="F21" s="115">
        <f>SUM(F18:F20)</f>
        <v>28825.608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46080.661999999997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266753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24223.199999999997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212695.70921256038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212695.70921256038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2025-05-20T16:13:31Z</dcterms:modified>
</cp:coreProperties>
</file>