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5 MAYO 2025\"/>
    </mc:Choice>
  </mc:AlternateContent>
  <xr:revisionPtr revIDLastSave="0" documentId="13_ncr:1_{29EAC301-4370-4950-AAD4-FA881A4A1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<sst xmlns="http://schemas.openxmlformats.org/spreadsheetml/2006/main" count="231" uniqueCount="175">
  <si>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</si>
  <si>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</si>
  <si>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</si>
  <si>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</si>
  <si>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</si>
  <si>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</si>
  <si>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</si>
  <si>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</si>
  <si>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</si>
  <si>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</si>
  <si>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</si>
  <si>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</si>
  <si>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</si>
  <si>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</si>
  <si>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</si>
  <si>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</si>
  <si>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</si>
  <si>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</si>
  <si>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</si>
  <si>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</si>
  <si>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</si>
  <si>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</si>
  <si>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</si>
  <si>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</si>
  <si>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</si>
  <si>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</si>
  <si>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</si>
  <si>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</si>
  <si>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</si>
  <si>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</si>
  <si>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</si>
  <si>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</si>
  <si>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</si>
  <si>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</si>
  <si>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</si>
  <si>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</si>
  <si>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</si>
  <si>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</si>
  <si>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</si>
  <si>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</si>
  <si>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</si>
  <si>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</si>
  <si>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</si>
  <si>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</si>
  <si>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</si>
  <si>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</si>
  <si>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</si>
  <si>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</si>
  <si>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</si>
  <si>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</si>
  <si>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</si>
  <si>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</si>
  <si>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</si>
  <si>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</si>
  <si>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</si>
  <si>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</si>
  <si>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</si>
  <si>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</si>
  <si>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</si>
  <si>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</si>
  <si>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</si>
  <si>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</si>
  <si>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</si>
  <si>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</si>
  <si>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</si>
  <si>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</si>
  <si>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</si>
  <si>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</si>
  <si>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</si>
  <si>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</si>
  <si>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</si>
  <si>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</si>
  <si>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</si>
  <si>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</si>
  <si>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</si>
  <si>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</si>
  <si>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</si>
  <si>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</si>
  <si>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</si>
  <si>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</si>
  <si>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</si>
  <si>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</si>
  <si>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</si>
  <si>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</si>
  <si>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</si>
  <si>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</si>
  <si>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</si>
  <si>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</si>
  <si>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</si>
  <si>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</si>
  <si>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</si>
  <si>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</si>
  <si>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</si>
  <si>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</si>
  <si>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</si>
  <si>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</si>
  <si>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</si>
  <si>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</si>
  <si>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</si>
  <si>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</si>
  <si>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</si>
  <si>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</si>
  <si>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</si>
  <si>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</si>
  <si>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</si>
  <si>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</si>
  <si>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</si>
  <si>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</si>
  <si>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</si>
  <si>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</si>
  <si>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</si>
  <si>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</si>
  <si>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</si>
  <si>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</si>
  <si>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</si>
  <si>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</si>
  <si>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</si>
  <si>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</si>
  <si>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</si>
  <si>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</si>
  <si>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</si>
  <si>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</si>
  <si>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</si>
  <si>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</si>
  <si>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</si>
  <si>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</si>
  <si>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</si>
  <si>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</si>
  <si>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</si>
  <si>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</si>
  <si>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</si>
  <si>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</si>
  <si>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</si>
  <si>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</si>
  <si>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</si>
  <si>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</si>
  <si>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</si>
  <si>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</si>
  <si>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</si>
  <si>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</si>
  <si>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</si>
  <si>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</si>
  <si>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</si>
  <si>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</si>
  <si>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</si>
  <si>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</si>
  <si>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</si>
  <si>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</si>
  <si>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</si>
  <si>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</si>
  <si>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</si>
  <si>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</si>
  <si>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</si>
  <si>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</si>
  <si>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</si>
  <si>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</si>
  <si>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</si>
  <si>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</si>
  <si>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</si>
  <si>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</si>
  <si>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</si>
  <si>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</si>
  <si>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</si>
  <si>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</si>
  <si>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</si>
  <si>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</si>
  <si>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EMBALAJE</t>
  </si>
  <si>
    <t>PLAZO ENTREGA</t>
  </si>
  <si>
    <t>FECHA</t>
  </si>
  <si>
    <t>DESPACHO</t>
  </si>
  <si>
    <t>N° 11434</t>
  </si>
  <si>
    <t>SALOMON GUZMAN</t>
  </si>
  <si>
    <t>+569 8820 4356</t>
  </si>
  <si>
    <t>CUB CON RESPALDO FRENTE 9CMS</t>
  </si>
  <si>
    <t>GRANITO CINZA PP 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</si>
</sst>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</a:t>
          </a:r>
        </a:p>
        <a:p>
          <a:pPr algn="l"/>
          <a:r>
            <a:rPr lang="es-CL" sz="1200" b="1"/>
            <a:t>UNION</a:t>
          </a:r>
          <a:r>
            <a:rPr lang="es-CL" sz="1200" b="1" baseline="0"/>
            <a:t> DE LAMINADO AL LADO DERECHO MIRANDOLA DESDE EL FRENTE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33203125" customWidth="1"/>
    <col min="4" max="4" width="11.109375" customWidth="1"/>
    <col min="5" max="5" width="10.5546875" customWidth="1"/>
    <col min="6" max="6" width="34.5546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171</v>
      </c>
      <c r="D10" s="243"/>
      <c r="E10" s="243"/>
      <c r="F10" s="244" t="s">
        <v>168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167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F13" t="s">
        <v>166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169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1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109780.34252220899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0">
        <v>3.5</v>
      </c>
      <c r="E21" s="330">
        <v>0.61</v>
      </c>
      <c r="F21" s="329" t="s">
        <v>174</v>
      </c>
      <c r="G21" s="331">
        <f>Q21</f>
        <v>239738.31200000001</v>
      </c>
      <c r="H21" s="331">
        <f>G21*B21</f>
        <v>239738.31200000001</v>
      </c>
      <c r="I21" s="319"/>
      <c r="J21" s="265"/>
      <c r="K21" s="47"/>
      <c r="L21" s="47">
        <f>B21</f>
        <v>1</v>
      </c>
      <c r="M21" s="39">
        <f>D21+M$19</f>
        <v>3.58</v>
      </c>
      <c r="N21" s="39">
        <f>E21+$N$19</f>
        <v>0.61</v>
      </c>
      <c r="O21" s="261">
        <f t="shared" ref="O21" si="1">M21*N21</f>
        <v>2.1838000000000002</v>
      </c>
      <c r="P21" s="259">
        <f t="shared" ref="P21" si="2">O21*L21</f>
        <v>2.1838000000000002</v>
      </c>
      <c r="Q21" s="252">
        <f t="shared" ref="Q21" si="3">Q$20*O21</f>
        <v>239738.31200000001</v>
      </c>
      <c r="R21" s="318">
        <f t="shared" ref="R21" si="4">Q21+R$20</f>
        <v>242738.31200000001</v>
      </c>
      <c r="S21" s="297">
        <f>M21*L21</f>
        <v>3.58</v>
      </c>
      <c r="T21" s="46">
        <f>N21*2*L21*2</f>
        <v>2.44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239738.31200000001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45550.279280000002</v>
      </c>
      <c r="I25" s="321"/>
      <c r="J25" s="265"/>
      <c r="K25" s="47"/>
      <c r="L25" s="47"/>
      <c r="M25" s="39">
        <f>SUM(M21:M21)</f>
        <v>3.58</v>
      </c>
      <c r="N25" s="12"/>
      <c r="O25" s="12"/>
      <c r="P25" s="253">
        <f>SUM(P21:P23)</f>
        <v>2.1838000000000002</v>
      </c>
      <c r="Q25" s="14"/>
      <c r="R25" s="12"/>
      <c r="S25" s="239">
        <f>SUM(S21:S24)</f>
        <v>3.58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285288.59127999999</v>
      </c>
      <c r="I26" s="321"/>
      <c r="J26" s="265"/>
      <c r="K26" s="47"/>
      <c r="L26" s="47"/>
      <c r="M26" s="39"/>
      <c r="N26" s="12"/>
      <c r="O26" s="12"/>
      <c r="P26" s="253">
        <f>P25</f>
        <v>2.1838000000000002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0.43676000000000004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2.6205600000000002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149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2.6205600000000002</v>
      </c>
      <c r="N30" s="12">
        <v>3500</v>
      </c>
      <c r="O30" s="12">
        <f t="shared" ref="O30:O35" si="5">M30*N30</f>
        <v>9171.9600000000009</v>
      </c>
      <c r="P30" s="14" t="s">
        <v>21</v>
      </c>
      <c r="Q30" s="14"/>
      <c r="R30" s="14"/>
      <c r="S30" s="241"/>
      <c r="T30" s="14"/>
      <c r="U30" s="302" t="s">
        <v>150</v>
      </c>
      <c r="V30" s="299">
        <v>3625</v>
      </c>
      <c r="W30" s="59" t="s">
        <v>151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23500</v>
      </c>
      <c r="O31" s="12">
        <f t="shared" si="5"/>
        <v>18800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152</v>
      </c>
      <c r="X31" s="304"/>
    </row>
    <row r="32" spans="1:25" s="230" customFormat="1" ht="17.399999999999999" x14ac:dyDescent="0.35">
      <c r="B32" s="24" t="s">
        <v>148</v>
      </c>
      <c r="J32" s="262"/>
      <c r="K32" s="232"/>
      <c r="L32" s="250"/>
      <c r="M32" s="14"/>
      <c r="N32" s="250">
        <v>62300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2"/>
      <c r="K33" s="232"/>
      <c r="L33" s="250"/>
      <c r="M33" s="14">
        <v>2</v>
      </c>
      <c r="N33" s="250">
        <v>37815</v>
      </c>
      <c r="O33" s="12">
        <f t="shared" si="5"/>
        <v>75630</v>
      </c>
      <c r="P33" s="14" t="s">
        <v>139</v>
      </c>
      <c r="Q33" s="17"/>
      <c r="S33" s="238"/>
      <c r="T33" s="256"/>
      <c r="U33" s="59"/>
      <c r="V33" s="59">
        <f>V31+V32</f>
        <v>1087.5</v>
      </c>
      <c r="W33" s="304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>
        <f>239000/2</f>
        <v>119500</v>
      </c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3.58</v>
      </c>
      <c r="N35" s="12">
        <v>1500</v>
      </c>
      <c r="O35" s="12">
        <f t="shared" si="5"/>
        <v>5370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108971.95999999999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239738.31200000001</v>
      </c>
      <c r="P37" s="14" t="s">
        <v>138</v>
      </c>
      <c r="Q37" s="14"/>
      <c r="R37" s="40">
        <f>P28/R36</f>
        <v>0.70657894736842108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109780.34252220899</v>
      </c>
      <c r="P38" s="45" t="s">
        <v>24</v>
      </c>
      <c r="Q38" s="14"/>
      <c r="R38" s="14"/>
      <c r="S38"/>
      <c r="T38" s="238"/>
      <c r="U38" s="59" t="s">
        <v>155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300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SALOMON GUZMAN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-24059.721366787442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239738.31200000001</v>
      </c>
      <c r="E11" s="132">
        <f>D11*0.19</f>
        <v>45550.279280000002</v>
      </c>
      <c r="F11" s="131">
        <f>E11+D11</f>
        <v>285288.59127999999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81930.278633212554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57806.050787439613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63930.278633212554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181932.26121256041</v>
      </c>
      <c r="E13" s="221">
        <f>(D11/D12)-1</f>
        <v>3.1472875025064253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54930.278633212554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15930.278633212558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95379.98379927536</v>
      </c>
      <c r="F15" s="216">
        <f>E15-D12</f>
        <v>37573.933011835747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15930.278633212558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55930.278633212554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9171.9600000000009</v>
      </c>
      <c r="E20" s="121">
        <f>D20*0.19</f>
        <v>1742.6724000000002</v>
      </c>
      <c r="F20" s="120">
        <f>SUM(D20:E20)</f>
        <v>10914.6324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27971.96</v>
      </c>
      <c r="E21" s="116">
        <f>SUM(E18:E20)</f>
        <v>5314.6724000000004</v>
      </c>
      <c r="F21" s="115">
        <f>SUM(F18:F20)</f>
        <v>33286.632400000002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40235.606879999999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239738.31200000001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27971.96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181932.26121256041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181932.26121256041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2025-05-13T13:46:52Z</cp:lastPrinted>
  <dcterms:created xsi:type="dcterms:W3CDTF">2013-03-18T13:35:42Z</dcterms:created>
  <dcterms:modified xsi:type="dcterms:W3CDTF">2025-05-15T17:12:33Z</dcterms:modified>
</cp:coreProperties>
</file>