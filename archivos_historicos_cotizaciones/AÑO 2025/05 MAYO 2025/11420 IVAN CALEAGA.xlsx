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749B36D9-9FD3-4831-8F52-DF0929269A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1" l="1"/>
  <c r="L34" i="1"/>
  <c r="K22" i="1"/>
  <c r="K21" i="1"/>
  <c r="H23" i="1"/>
  <c r="H24" i="1"/>
  <c r="H25" i="1"/>
  <c r="K24" i="1"/>
  <c r="K25" i="1"/>
  <c r="L24" i="1"/>
  <c r="M24" i="1"/>
  <c r="L25" i="1"/>
  <c r="M25" i="1"/>
  <c r="K23" i="1"/>
  <c r="H22" i="1"/>
  <c r="N39" i="1"/>
  <c r="L22" i="1"/>
  <c r="M22" i="1"/>
  <c r="L23" i="1"/>
  <c r="M23" i="1"/>
  <c r="I50" i="1"/>
  <c r="J39" i="1"/>
  <c r="J40" i="1" s="1"/>
  <c r="N37" i="1"/>
  <c r="N24" i="1" l="1"/>
  <c r="O24" i="1" s="1"/>
  <c r="N25" i="1"/>
  <c r="O25" i="1" s="1"/>
  <c r="R24" i="1"/>
  <c r="R25" i="1"/>
  <c r="R23" i="1"/>
  <c r="N23" i="1"/>
  <c r="O23" i="1" s="1"/>
  <c r="N22" i="1"/>
  <c r="O22" i="1" s="1"/>
  <c r="R22" i="1"/>
  <c r="R26" i="1"/>
  <c r="N36" i="1"/>
  <c r="N38" i="1"/>
  <c r="J43" i="1" l="1"/>
  <c r="L21" i="1"/>
  <c r="L28" i="1" s="1"/>
  <c r="M21" i="1"/>
  <c r="S21" i="1" l="1"/>
  <c r="S28" i="1" s="1"/>
  <c r="S29" i="1" s="1"/>
  <c r="S30" i="1" s="1"/>
  <c r="R21" i="1"/>
  <c r="R30" i="1" s="1"/>
  <c r="N21" i="1"/>
  <c r="O21" i="1" s="1"/>
  <c r="O29" i="1" s="1"/>
  <c r="U36" i="1"/>
  <c r="U37" i="1" s="1"/>
  <c r="N35" i="1" l="1"/>
  <c r="O30" i="1" l="1"/>
  <c r="O31" i="1" s="1"/>
  <c r="O32" i="1" s="1"/>
  <c r="M20" i="1"/>
  <c r="K20" i="1"/>
  <c r="Q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4" i="1" l="1"/>
  <c r="N40" i="1" s="1"/>
  <c r="N41" i="1" s="1"/>
  <c r="N42" i="1" s="1"/>
  <c r="Q41" i="1"/>
  <c r="D20" i="3" l="1"/>
  <c r="E20" i="3" s="1"/>
  <c r="E21" i="3" s="1"/>
  <c r="D21" i="3" l="1"/>
  <c r="M43" i="3" s="1"/>
  <c r="D12" i="3" s="1"/>
  <c r="F20" i="3"/>
  <c r="F21" i="3" s="1"/>
  <c r="N43" i="1" l="1"/>
  <c r="P20" i="1"/>
  <c r="E15" i="3"/>
  <c r="P24" i="1" l="1"/>
  <c r="Q24" i="1" s="1"/>
  <c r="P25" i="1"/>
  <c r="Q25" i="1" s="1"/>
  <c r="P22" i="1"/>
  <c r="Q22" i="1" s="1"/>
  <c r="P23" i="1"/>
  <c r="Q23" i="1" s="1"/>
  <c r="P21" i="1"/>
  <c r="F15" i="3"/>
  <c r="Q21" i="1" l="1"/>
  <c r="H21" i="1" l="1"/>
  <c r="H28" i="1" s="1"/>
  <c r="H30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<sst xmlns="http://schemas.openxmlformats.org/spreadsheetml/2006/main" count="241" uniqueCount="181">
  <si>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</si>
  <si>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</si>
  <si>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</si>
  <si>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</si>
  <si>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</si>
  <si>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</si>
  <si>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</si>
  <si>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</si>
  <si>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</si>
  <si>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</si>
  <si>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</si>
  <si>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</si>
  <si>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</si>
  <si>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</si>
  <si>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</si>
  <si>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</si>
  <si>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</si>
  <si>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</si>
  <si>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</si>
  <si>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</si>
  <si>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</si>
  <si>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</si>
  <si>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</si>
  <si>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</si>
  <si>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</si>
  <si>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</si>
  <si>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</si>
  <si>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</si>
  <si>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</si>
  <si>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</si>
  <si>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</si>
  <si>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</si>
  <si>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</si>
  <si>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</si>
  <si>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</si>
  <si>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</si>
  <si>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</si>
  <si>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</si>
  <si>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</si>
  <si>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</si>
  <si>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</si>
  <si>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</si>
  <si>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</si>
  <si>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</si>
  <si>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</si>
  <si>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</si>
  <si>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</si>
  <si>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</si>
  <si>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</si>
  <si>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</si>
  <si>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</si>
  <si>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</si>
  <si>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</si>
  <si>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</si>
  <si>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</si>
  <si>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</si>
  <si>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</si>
  <si>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</si>
  <si>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</si>
  <si>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</si>
  <si>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</si>
  <si>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</si>
  <si>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</si>
  <si>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</si>
  <si>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</si>
  <si>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</si>
  <si>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</si>
  <si>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</si>
  <si>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</si>
  <si>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</si>
  <si>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</si>
  <si>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</si>
  <si>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</si>
  <si>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</si>
  <si>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</si>
  <si>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</si>
  <si>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</si>
  <si>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</si>
  <si>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</si>
  <si>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</si>
  <si>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</si>
  <si>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</si>
  <si>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</si>
  <si>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</si>
  <si>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</si>
  <si>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</si>
  <si>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</si>
  <si>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</si>
  <si>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</si>
  <si>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</si>
  <si>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</si>
  <si>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</si>
  <si>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</si>
  <si>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</si>
  <si>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</si>
  <si>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</si>
  <si>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</si>
  <si>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</si>
  <si>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</si>
  <si>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</si>
  <si>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</si>
  <si>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</si>
  <si>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</si>
  <si>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</si>
  <si>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</si>
  <si>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</si>
  <si>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</si>
  <si>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</si>
  <si>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</si>
  <si>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</si>
  <si>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</si>
  <si>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</si>
  <si>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</si>
  <si>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</si>
  <si>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</si>
  <si>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</si>
  <si>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</si>
  <si>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</si>
  <si>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</si>
  <si>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</si>
  <si>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</si>
  <si>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</si>
  <si>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</si>
  <si>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</si>
  <si>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</si>
  <si>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</si>
  <si>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</si>
  <si>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</si>
  <si>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</si>
  <si>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</si>
  <si>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</si>
  <si>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</si>
  <si>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</si>
  <si>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</si>
  <si>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</si>
  <si>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</si>
  <si>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</si>
  <si>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</si>
  <si>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</si>
  <si>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</si>
  <si>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</si>
  <si>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</si>
  <si>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</si>
  <si>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</si>
  <si>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</si>
  <si>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</si>
  <si>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</si>
  <si>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</si>
  <si>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</si>
  <si>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</si>
  <si>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</si>
  <si>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</si>
  <si>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</si>
  <si>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</si>
  <si>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</si>
  <si>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</si>
  <si>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</si>
  <si>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</si>
  <si>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</si>
  <si>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</si>
  <si>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</si>
  <si>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</si>
  <si>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</si>
  <si>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</si>
  <si>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</si>
  <si>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</si>
  <si>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10 DIAS HABILES</t>
  </si>
  <si>
    <t>GRIS NUBE</t>
  </si>
  <si>
    <t>KING</t>
  </si>
  <si>
    <t>MDF 3MM</t>
  </si>
  <si>
    <t>152X244</t>
  </si>
  <si>
    <t>LAMINA BALANCE</t>
  </si>
  <si>
    <t>LEONARDO ALFARES</t>
  </si>
  <si>
    <t>+569 5949 9305</t>
  </si>
  <si>
    <t>SI</t>
  </si>
  <si>
    <t>N° 11420</t>
  </si>
  <si>
    <t>MDF 1500</t>
  </si>
  <si>
    <t>E/R 2 CARAS</t>
  </si>
  <si>
    <t>EMERALD 21013 SF</t>
  </si>
  <si>
    <t>E/R 2 CARAS 1CARA</t>
  </si>
  <si>
    <t>E/R 2 1 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</si>
</sst>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0" fillId="0" borderId="0" xfId="0" applyNumberFormat="1" applyFill="1"/>
    <xf numFmtId="167" fontId="0" fillId="21" borderId="0" xfId="0" applyNumberFormat="1" applyFill="1"/>
    <xf numFmtId="167" fontId="0" fillId="22" borderId="0" xfId="0" applyNumberForma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32</xdr:row>
      <xdr:rowOff>26670</xdr:rowOff>
    </xdr:from>
    <xdr:to>
      <xdr:col>7</xdr:col>
      <xdr:colOff>1034435</xdr:colOff>
      <xdr:row>35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26</xdr:row>
      <xdr:rowOff>206170</xdr:rowOff>
    </xdr:from>
    <xdr:to>
      <xdr:col>5</xdr:col>
      <xdr:colOff>1643259</xdr:colOff>
      <xdr:row>30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r>
            <a:rPr lang="es-CL" sz="1100" b="1"/>
            <a:t>CUBIERTAS CORTADAS A LA MEDIDA Y CON  ENCHAPE COSTADOS</a:t>
          </a:r>
          <a:r>
            <a:rPr lang="es-CL" sz="1100" b="1" baseline="0"/>
            <a:t> CON MISMA LAMINA</a:t>
          </a:r>
        </a:p>
        <a:p>
          <a:pPr algn="l"/>
          <a:r>
            <a:rPr lang="es-CL" sz="11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PUERTAS VIDRIADAS CON BASTIDOR PERIMETRAL DE 8CMS, LAS PUERTAS SE ENTREGAN CORTADAS A LA MEDIDA Y ENCHAPADAS CON TAPACANTO PVC 0,4MM</a:t>
          </a:r>
          <a:endParaRPr lang="es-CL" sz="1100" b="0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D23" zoomScale="93" zoomScaleNormal="93" workbookViewId="0">
      <selection activeCell="K33" sqref="K33"/>
    </sheetView>
  </sheetViews>
  <sheetFormatPr baseColWidth="10" defaultRowHeight="14.4" x14ac:dyDescent="0.3"/>
  <cols>
    <col min="1" max="1" width="6" customWidth="1"/>
    <col min="2" max="2" width="10.5546875" customWidth="1"/>
    <col min="3" max="3" width="29.332031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172</v>
      </c>
      <c r="D10" s="243"/>
      <c r="E10" s="243"/>
      <c r="F10" s="244" t="s">
        <v>0</v>
      </c>
      <c r="G10" s="277">
        <v>45782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166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174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173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165</v>
      </c>
      <c r="D17" s="319"/>
      <c r="E17" s="119"/>
      <c r="F17" s="331" t="s">
        <v>164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147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>
        <v>0.08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N42</f>
        <v>77436.542625285234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2</v>
      </c>
      <c r="C21" s="326" t="s">
        <v>177</v>
      </c>
      <c r="D21" s="327">
        <v>2.2000000000000002</v>
      </c>
      <c r="E21" s="327">
        <v>0.5</v>
      </c>
      <c r="F21" s="326" t="s">
        <v>178</v>
      </c>
      <c r="G21" s="328">
        <v>104055</v>
      </c>
      <c r="H21" s="328">
        <f>G21*B21</f>
        <v>208110</v>
      </c>
      <c r="I21" s="265"/>
      <c r="J21" s="47">
        <v>2</v>
      </c>
      <c r="K21" s="344">
        <f t="shared" ref="K21:K23" si="1">B21</f>
        <v>2</v>
      </c>
      <c r="L21" s="39">
        <f t="shared" ref="L21" si="2">D21+L$19</f>
        <v>2.25</v>
      </c>
      <c r="M21" s="39">
        <f t="shared" ref="M21" si="3">E21+M$19</f>
        <v>0.57999999999999996</v>
      </c>
      <c r="N21" s="261">
        <f t="shared" ref="N21" si="4">L21*M21</f>
        <v>1.3049999999999999</v>
      </c>
      <c r="O21" s="259">
        <f t="shared" ref="O21" si="5">N21*K21</f>
        <v>2.61</v>
      </c>
      <c r="P21" s="252">
        <f t="shared" ref="P21" si="6">P$20*N21</f>
        <v>101054.68812599723</v>
      </c>
      <c r="Q21" s="329">
        <f t="shared" ref="Q21" si="7">P21+Q$20</f>
        <v>104054.68812599723</v>
      </c>
      <c r="R21" s="298">
        <f>L21*K21*2</f>
        <v>9</v>
      </c>
      <c r="S21" s="46">
        <f>M21*2*K21</f>
        <v>2.3199999999999998</v>
      </c>
      <c r="T21" s="9"/>
      <c r="W21" s="4"/>
    </row>
    <row r="22" spans="2:24" ht="17.399999999999999" x14ac:dyDescent="0.3">
      <c r="B22" s="326">
        <v>1</v>
      </c>
      <c r="C22" s="326" t="s">
        <v>177</v>
      </c>
      <c r="D22" s="327">
        <v>0.97</v>
      </c>
      <c r="E22" s="327">
        <v>0.5</v>
      </c>
      <c r="F22" s="326" t="s">
        <v>178</v>
      </c>
      <c r="G22" s="328">
        <v>48811</v>
      </c>
      <c r="H22" s="328">
        <f>G22*B22</f>
        <v>48811</v>
      </c>
      <c r="I22" s="265"/>
      <c r="J22" s="47"/>
      <c r="K22" s="345">
        <f t="shared" si="1"/>
        <v>1</v>
      </c>
      <c r="L22" s="39">
        <f t="shared" ref="L22:L23" si="8">D22+L$19</f>
        <v>1.02</v>
      </c>
      <c r="M22" s="39">
        <f t="shared" ref="M22:M23" si="9">E22+M$19</f>
        <v>0.57999999999999996</v>
      </c>
      <c r="N22" s="261">
        <f t="shared" ref="N22:N23" si="10">L22*M22</f>
        <v>0.59160000000000001</v>
      </c>
      <c r="O22" s="259">
        <f t="shared" ref="O22:O23" si="11">N22*K22</f>
        <v>0.59160000000000001</v>
      </c>
      <c r="P22" s="252">
        <f t="shared" ref="P22:P23" si="12">P$20*N22</f>
        <v>45811.458617118747</v>
      </c>
      <c r="Q22" s="329">
        <f t="shared" ref="Q22:Q23" si="13">P22+Q$20</f>
        <v>48811.458617118747</v>
      </c>
      <c r="R22" s="298">
        <f t="shared" ref="R22:R23" si="14">L22*K22*2</f>
        <v>2.04</v>
      </c>
      <c r="S22" s="46"/>
      <c r="T22" s="9"/>
      <c r="W22" s="4"/>
    </row>
    <row r="23" spans="2:24" ht="17.399999999999999" x14ac:dyDescent="0.3">
      <c r="B23" s="326">
        <v>1</v>
      </c>
      <c r="C23" s="326" t="s">
        <v>180</v>
      </c>
      <c r="D23" s="327">
        <v>0.97</v>
      </c>
      <c r="E23" s="327">
        <v>0.15</v>
      </c>
      <c r="F23" s="326" t="s">
        <v>178</v>
      </c>
      <c r="G23" s="328">
        <v>21167</v>
      </c>
      <c r="H23" s="328">
        <f t="shared" ref="H23:H25" si="15">G23*B23</f>
        <v>21167</v>
      </c>
      <c r="I23" s="265"/>
      <c r="J23" s="47">
        <v>1</v>
      </c>
      <c r="K23" s="345">
        <f>B23</f>
        <v>1</v>
      </c>
      <c r="L23" s="39">
        <f t="shared" si="8"/>
        <v>1.02</v>
      </c>
      <c r="M23" s="39">
        <f t="shared" si="9"/>
        <v>0.22999999999999998</v>
      </c>
      <c r="N23" s="261">
        <f t="shared" si="10"/>
        <v>0.23459999999999998</v>
      </c>
      <c r="O23" s="259">
        <f t="shared" si="11"/>
        <v>0.23459999999999998</v>
      </c>
      <c r="P23" s="252">
        <f t="shared" si="12"/>
        <v>18166.612899891916</v>
      </c>
      <c r="Q23" s="329">
        <f t="shared" si="13"/>
        <v>21166.612899891916</v>
      </c>
      <c r="R23" s="298">
        <f t="shared" si="14"/>
        <v>2.04</v>
      </c>
      <c r="S23" s="46"/>
      <c r="T23" s="9"/>
      <c r="W23" s="4"/>
    </row>
    <row r="24" spans="2:24" ht="17.399999999999999" x14ac:dyDescent="0.3">
      <c r="B24" s="326">
        <v>1</v>
      </c>
      <c r="C24" s="326" t="s">
        <v>179</v>
      </c>
      <c r="D24" s="327">
        <v>1.35</v>
      </c>
      <c r="E24" s="327">
        <v>0.97</v>
      </c>
      <c r="F24" s="326" t="s">
        <v>178</v>
      </c>
      <c r="G24" s="328">
        <v>116832</v>
      </c>
      <c r="H24" s="328">
        <f t="shared" si="15"/>
        <v>116832</v>
      </c>
      <c r="I24" s="265"/>
      <c r="J24" s="47"/>
      <c r="K24" s="343">
        <f t="shared" ref="K24:K25" si="16">B24</f>
        <v>1</v>
      </c>
      <c r="L24" s="39">
        <f t="shared" ref="L24:L25" si="17">D24+L$19</f>
        <v>1.4000000000000001</v>
      </c>
      <c r="M24" s="39">
        <f t="shared" ref="M24:M25" si="18">E24+M$19</f>
        <v>1.05</v>
      </c>
      <c r="N24" s="261">
        <f t="shared" ref="N24:N25" si="19">L24*M24</f>
        <v>1.4700000000000002</v>
      </c>
      <c r="O24" s="259">
        <f t="shared" ref="O24:O25" si="20">N24*K24</f>
        <v>1.4700000000000002</v>
      </c>
      <c r="P24" s="252">
        <f t="shared" ref="P24:P25" si="21">P$20*N24</f>
        <v>113831.71765916931</v>
      </c>
      <c r="Q24" s="329">
        <f t="shared" ref="Q24:Q25" si="22">P24+Q$20</f>
        <v>116831.71765916931</v>
      </c>
      <c r="R24" s="298">
        <f t="shared" ref="R24:R25" si="23">L24*K24*2</f>
        <v>2.8000000000000003</v>
      </c>
      <c r="S24" s="46"/>
      <c r="T24" s="9"/>
      <c r="W24" s="4"/>
    </row>
    <row r="25" spans="2:24" ht="17.399999999999999" x14ac:dyDescent="0.3">
      <c r="B25" s="326">
        <v>3</v>
      </c>
      <c r="C25" s="326" t="s">
        <v>177</v>
      </c>
      <c r="D25" s="327">
        <v>0.7</v>
      </c>
      <c r="E25" s="327">
        <v>0.33</v>
      </c>
      <c r="F25" s="326" t="s">
        <v>178</v>
      </c>
      <c r="G25" s="328">
        <v>26812</v>
      </c>
      <c r="H25" s="328">
        <f t="shared" si="15"/>
        <v>80436</v>
      </c>
      <c r="I25" s="265"/>
      <c r="J25" s="47"/>
      <c r="K25" s="343">
        <f t="shared" si="16"/>
        <v>3</v>
      </c>
      <c r="L25" s="39">
        <f t="shared" si="17"/>
        <v>0.75</v>
      </c>
      <c r="M25" s="39">
        <f t="shared" si="18"/>
        <v>0.41000000000000003</v>
      </c>
      <c r="N25" s="261">
        <f t="shared" si="19"/>
        <v>0.3075</v>
      </c>
      <c r="O25" s="259">
        <f t="shared" si="20"/>
        <v>0.92249999999999999</v>
      </c>
      <c r="P25" s="252">
        <f t="shared" si="21"/>
        <v>23811.736857275209</v>
      </c>
      <c r="Q25" s="329">
        <f t="shared" si="22"/>
        <v>26811.736857275209</v>
      </c>
      <c r="R25" s="298">
        <f t="shared" si="23"/>
        <v>4.5</v>
      </c>
      <c r="S25" s="46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30"/>
      <c r="H26" s="330"/>
      <c r="I26" s="265"/>
      <c r="J26" s="47"/>
      <c r="K26" s="343"/>
      <c r="L26" s="39"/>
      <c r="M26" s="39"/>
      <c r="N26" s="261"/>
      <c r="O26" s="259"/>
      <c r="P26" s="252"/>
      <c r="Q26" s="329"/>
      <c r="R26" s="298">
        <f t="shared" ref="R26" si="24">L26*K26*2</f>
        <v>0</v>
      </c>
      <c r="S26" s="46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3"/>
      <c r="I27" s="233"/>
      <c r="J27" s="47"/>
      <c r="K27" s="47"/>
      <c r="L27" s="39"/>
      <c r="M27" s="39"/>
      <c r="N27" s="261">
        <v>0</v>
      </c>
      <c r="O27" s="259"/>
      <c r="P27" s="252"/>
      <c r="Q27" s="258"/>
      <c r="R27" s="29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299" t="s">
        <v>29</v>
      </c>
      <c r="H28" s="300">
        <f>SUM(H21:H27)</f>
        <v>475356</v>
      </c>
      <c r="I28" s="265"/>
      <c r="J28" s="47"/>
      <c r="K28" s="47"/>
      <c r="L28" s="39">
        <f>SUM(L21:L27)</f>
        <v>6.44</v>
      </c>
      <c r="M28" s="39"/>
      <c r="N28" s="261"/>
      <c r="O28" s="259"/>
      <c r="P28" s="252"/>
      <c r="Q28" s="258"/>
      <c r="R28" s="298"/>
      <c r="S28" s="46">
        <f>SUM(S21:S27)</f>
        <v>2.3199999999999998</v>
      </c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297" t="s">
        <v>52</v>
      </c>
      <c r="H29" s="295"/>
      <c r="I29" s="265"/>
      <c r="J29" s="47"/>
      <c r="K29" s="47"/>
      <c r="L29" s="39"/>
      <c r="M29" s="12"/>
      <c r="N29" s="12"/>
      <c r="O29" s="253">
        <f>SUM(O21:O26)</f>
        <v>5.8287000000000004</v>
      </c>
      <c r="P29" s="14"/>
      <c r="Q29" s="12"/>
      <c r="R29" s="239"/>
      <c r="S29" s="46">
        <f>S28*20%</f>
        <v>0.46399999999999997</v>
      </c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296">
        <f>H28+H29</f>
        <v>475356</v>
      </c>
      <c r="I30" s="265"/>
      <c r="J30" s="47"/>
      <c r="K30" s="47"/>
      <c r="L30" s="39"/>
      <c r="M30" s="12"/>
      <c r="N30" s="12"/>
      <c r="O30" s="253">
        <f>O29</f>
        <v>5.8287000000000004</v>
      </c>
      <c r="P30" s="14"/>
      <c r="Q30" s="12"/>
      <c r="R30" s="239">
        <f>SUM(R21:R29)</f>
        <v>20.38</v>
      </c>
      <c r="S30" s="46">
        <f>S28+S29</f>
        <v>2.7839999999999998</v>
      </c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>
        <v>65000</v>
      </c>
      <c r="L31" s="14"/>
      <c r="M31" s="12"/>
      <c r="N31" s="12"/>
      <c r="O31" s="39">
        <f>O30*20%</f>
        <v>1.1657400000000002</v>
      </c>
      <c r="P31" s="39" t="s">
        <v>131</v>
      </c>
      <c r="Q31" s="42"/>
      <c r="R31" s="240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47"/>
      <c r="K32" s="47">
        <f>O32*K31</f>
        <v>454638.60000000003</v>
      </c>
      <c r="L32" s="14"/>
      <c r="M32" s="12"/>
      <c r="N32" s="12"/>
      <c r="O32" s="46">
        <f>O30+O31</f>
        <v>6.9944400000000009</v>
      </c>
      <c r="P32" s="14"/>
      <c r="Q32" s="14"/>
      <c r="R32" s="238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3"/>
      <c r="F33" s="234"/>
      <c r="G33" s="230"/>
      <c r="H33" s="275"/>
      <c r="I33" s="265"/>
      <c r="J33" s="47"/>
      <c r="K33" s="47"/>
      <c r="L33" s="14"/>
      <c r="M33" s="14"/>
      <c r="N33" s="14"/>
      <c r="O33" s="14"/>
      <c r="P33" s="14"/>
      <c r="Q33" s="14"/>
      <c r="R33" s="238"/>
      <c r="S33" s="14"/>
      <c r="T33" s="305" t="s">
        <v>22</v>
      </c>
      <c r="U33" s="302" t="s">
        <v>152</v>
      </c>
      <c r="V33" s="306">
        <v>44971</v>
      </c>
      <c r="W33" s="307"/>
    </row>
    <row r="34" spans="2:23" ht="17.399999999999999" x14ac:dyDescent="0.35">
      <c r="B34" s="235"/>
      <c r="C34" s="236"/>
      <c r="D34" s="237"/>
      <c r="E34" s="235"/>
      <c r="F34" s="230"/>
      <c r="G34" s="230"/>
      <c r="I34" s="265"/>
      <c r="J34" s="47"/>
      <c r="K34" s="47"/>
      <c r="L34" s="39">
        <f>O32*2</f>
        <v>13.988880000000002</v>
      </c>
      <c r="M34" s="12">
        <v>3500</v>
      </c>
      <c r="N34" s="12">
        <f t="shared" ref="N34:N37" si="25">L34*M34</f>
        <v>48961.080000000009</v>
      </c>
      <c r="O34" s="14" t="s">
        <v>22</v>
      </c>
      <c r="P34" s="14"/>
      <c r="Q34" s="14"/>
      <c r="R34" s="241"/>
      <c r="S34" s="14"/>
      <c r="T34" s="305" t="s">
        <v>153</v>
      </c>
      <c r="U34" s="302">
        <v>3625</v>
      </c>
      <c r="V34" s="59" t="s">
        <v>154</v>
      </c>
      <c r="W34" s="307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2</v>
      </c>
      <c r="M35" s="12">
        <v>21500</v>
      </c>
      <c r="N35" s="12">
        <f t="shared" si="25"/>
        <v>43000</v>
      </c>
      <c r="O35" s="39" t="s">
        <v>176</v>
      </c>
      <c r="P35" s="42"/>
      <c r="Q35" s="14"/>
      <c r="R35" s="240"/>
      <c r="S35" s="14"/>
      <c r="T35" s="305"/>
      <c r="U35" s="59">
        <v>906.25</v>
      </c>
      <c r="V35" s="59" t="s">
        <v>155</v>
      </c>
      <c r="W35" s="307"/>
    </row>
    <row r="36" spans="2:23" s="230" customFormat="1" ht="17.399999999999999" x14ac:dyDescent="0.35">
      <c r="I36" s="262"/>
      <c r="J36" s="232"/>
      <c r="K36" s="250"/>
      <c r="L36" s="14"/>
      <c r="M36" s="250">
        <v>61860</v>
      </c>
      <c r="N36" s="12">
        <f t="shared" si="25"/>
        <v>0</v>
      </c>
      <c r="O36" s="39" t="s">
        <v>31</v>
      </c>
      <c r="P36" s="42"/>
      <c r="R36" s="240"/>
      <c r="S36" s="256"/>
      <c r="T36" s="59"/>
      <c r="U36" s="59">
        <f>U35*20%</f>
        <v>181.25</v>
      </c>
      <c r="V36" s="307" t="s">
        <v>156</v>
      </c>
      <c r="W36" s="59"/>
    </row>
    <row r="37" spans="2:23" s="230" customFormat="1" ht="17.399999999999999" x14ac:dyDescent="0.35">
      <c r="B37" s="24" t="s">
        <v>151</v>
      </c>
      <c r="I37" s="262"/>
      <c r="J37" s="232"/>
      <c r="K37" s="250"/>
      <c r="L37" s="14">
        <v>4</v>
      </c>
      <c r="M37" s="250">
        <v>28300</v>
      </c>
      <c r="N37" s="12">
        <f t="shared" si="25"/>
        <v>113200</v>
      </c>
      <c r="O37" s="14" t="s">
        <v>171</v>
      </c>
      <c r="P37" s="17"/>
      <c r="R37" s="238"/>
      <c r="S37" s="256"/>
      <c r="T37" s="59"/>
      <c r="U37" s="59">
        <f>U35+U36</f>
        <v>1087.5</v>
      </c>
      <c r="V37" s="307" t="s">
        <v>157</v>
      </c>
      <c r="W37" s="59"/>
    </row>
    <row r="38" spans="2:23" s="230" customFormat="1" ht="17.399999999999999" x14ac:dyDescent="0.35">
      <c r="B38" s="24" t="s">
        <v>144</v>
      </c>
      <c r="C38"/>
      <c r="D38"/>
      <c r="E38"/>
      <c r="F38"/>
      <c r="I38" s="262"/>
      <c r="J38" s="230">
        <v>27000</v>
      </c>
      <c r="K38" s="250"/>
      <c r="L38" s="249"/>
      <c r="M38" s="250">
        <v>300</v>
      </c>
      <c r="N38" s="12">
        <f>L38*M38</f>
        <v>0</v>
      </c>
      <c r="O38" s="14" t="s">
        <v>33</v>
      </c>
      <c r="P38" s="14"/>
      <c r="Q38" s="230">
        <v>1.52</v>
      </c>
      <c r="R38" s="238"/>
      <c r="S38" s="238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294"/>
      <c r="J39" s="230">
        <f>J38*19%</f>
        <v>5130</v>
      </c>
      <c r="K39" s="250"/>
      <c r="L39" s="266"/>
      <c r="M39" s="12">
        <v>1500</v>
      </c>
      <c r="N39" s="12">
        <f>L39*M39</f>
        <v>0</v>
      </c>
      <c r="O39" s="14" t="s">
        <v>23</v>
      </c>
      <c r="P39" s="14"/>
      <c r="Q39">
        <v>2.44</v>
      </c>
      <c r="R39"/>
      <c r="S39" s="238"/>
      <c r="W39" s="231"/>
    </row>
    <row r="40" spans="2:23" s="230" customFormat="1" ht="17.399999999999999" x14ac:dyDescent="0.35">
      <c r="I40" s="230" t="s">
        <v>168</v>
      </c>
      <c r="J40" s="230">
        <f>J38+J39</f>
        <v>32130</v>
      </c>
      <c r="K40" s="250"/>
      <c r="L40" s="14"/>
      <c r="M40" s="12"/>
      <c r="N40" s="12">
        <f>SUM(N34:N39)</f>
        <v>205161.08000000002</v>
      </c>
      <c r="O40" s="39" t="s">
        <v>24</v>
      </c>
      <c r="P40" s="14"/>
      <c r="Q40">
        <f>Q38*Q39</f>
        <v>3.7088000000000001</v>
      </c>
      <c r="R40"/>
      <c r="S40" s="238"/>
      <c r="W40" s="231"/>
    </row>
    <row r="41" spans="2:23" s="230" customFormat="1" ht="17.399999999999999" x14ac:dyDescent="0.35">
      <c r="K41" s="250"/>
      <c r="L41" s="254" t="s">
        <v>34</v>
      </c>
      <c r="M41" s="12"/>
      <c r="N41" s="255">
        <f>N40*2.2</f>
        <v>451354.37600000005</v>
      </c>
      <c r="O41" s="14" t="s">
        <v>141</v>
      </c>
      <c r="P41" s="14"/>
      <c r="Q41" s="40">
        <f>O32/Q40</f>
        <v>1.8859037963761867</v>
      </c>
      <c r="R41"/>
      <c r="S41" s="257"/>
    </row>
    <row r="42" spans="2:23" s="230" customFormat="1" ht="17.399999999999999" x14ac:dyDescent="0.35">
      <c r="G42"/>
      <c r="H42" s="260"/>
      <c r="I42" s="230" t="s">
        <v>167</v>
      </c>
      <c r="J42" s="230">
        <v>23560</v>
      </c>
      <c r="K42" s="250">
        <v>0</v>
      </c>
      <c r="L42" s="14"/>
      <c r="M42" s="12"/>
      <c r="N42" s="12">
        <f>N41/O30</f>
        <v>77436.542625285234</v>
      </c>
      <c r="O42" s="45" t="s">
        <v>25</v>
      </c>
      <c r="P42" s="14"/>
      <c r="Q42" s="14"/>
      <c r="R42"/>
      <c r="S42" s="238"/>
      <c r="T42" s="59" t="s">
        <v>158</v>
      </c>
      <c r="U42" s="302">
        <v>43650</v>
      </c>
    </row>
    <row r="43" spans="2:23" s="230" customFormat="1" ht="17.399999999999999" x14ac:dyDescent="0.35">
      <c r="G43"/>
      <c r="J43" s="230">
        <f>J42/1.19</f>
        <v>19798.319327731093</v>
      </c>
      <c r="K43" s="250"/>
      <c r="L43" s="13"/>
      <c r="M43" s="14"/>
      <c r="N43" s="17">
        <f>N41/N40</f>
        <v>2.2000000000000002</v>
      </c>
      <c r="O43" s="15"/>
      <c r="P43"/>
      <c r="Q43"/>
      <c r="R43"/>
      <c r="S43" s="238"/>
      <c r="T43" s="59" t="s">
        <v>160</v>
      </c>
      <c r="U43" s="303" t="s">
        <v>159</v>
      </c>
      <c r="V43" s="59">
        <v>2.4</v>
      </c>
    </row>
    <row r="44" spans="2:23" s="230" customFormat="1" ht="17.399999999999999" x14ac:dyDescent="0.35">
      <c r="G44" s="23"/>
      <c r="K44" s="12"/>
      <c r="S44" s="238"/>
      <c r="T44" s="59" t="s">
        <v>161</v>
      </c>
      <c r="U44" s="304">
        <v>395.37</v>
      </c>
    </row>
    <row r="45" spans="2:23" s="230" customFormat="1" ht="17.399999999999999" x14ac:dyDescent="0.35">
      <c r="B45"/>
      <c r="C45" s="228"/>
      <c r="D45" s="22"/>
      <c r="E45" s="22"/>
      <c r="F45" s="21"/>
      <c r="G45" s="23"/>
      <c r="I45" s="230" t="s">
        <v>169</v>
      </c>
      <c r="K45" s="12"/>
      <c r="S45" s="238"/>
      <c r="T45" s="59" t="s">
        <v>156</v>
      </c>
      <c r="U45" s="59">
        <v>474.45</v>
      </c>
    </row>
    <row r="46" spans="2:23" ht="14.4" customHeight="1" x14ac:dyDescent="0.3">
      <c r="I46" t="s">
        <v>170</v>
      </c>
      <c r="J46">
        <v>8990</v>
      </c>
      <c r="K46" s="12"/>
      <c r="T46" s="59"/>
      <c r="U46" s="59"/>
    </row>
    <row r="47" spans="2:23" x14ac:dyDescent="0.3">
      <c r="K47" s="250"/>
    </row>
    <row r="48" spans="2:23" x14ac:dyDescent="0.3">
      <c r="I48">
        <v>46850</v>
      </c>
      <c r="K48" s="250"/>
      <c r="S48" s="270"/>
    </row>
    <row r="49" spans="9:19" x14ac:dyDescent="0.3">
      <c r="K49" s="250"/>
    </row>
    <row r="50" spans="9:19" ht="15" customHeight="1" x14ac:dyDescent="0.3">
      <c r="I50">
        <f>I48/1.19</f>
        <v>39369.747899159665</v>
      </c>
    </row>
    <row r="52" spans="9:19" x14ac:dyDescent="0.3">
      <c r="N52">
        <v>40935</v>
      </c>
      <c r="O52" t="s">
        <v>17</v>
      </c>
      <c r="P52" t="s">
        <v>27</v>
      </c>
    </row>
    <row r="54" spans="9:19" x14ac:dyDescent="0.3">
      <c r="N54" s="54"/>
      <c r="O54" s="54"/>
    </row>
    <row r="55" spans="9:19" x14ac:dyDescent="0.3">
      <c r="R55" s="18"/>
      <c r="S55" s="18"/>
    </row>
    <row r="56" spans="9:19" x14ac:dyDescent="0.3">
      <c r="R56" s="18"/>
      <c r="S56" s="18"/>
    </row>
    <row r="57" spans="9:19" x14ac:dyDescent="0.3">
      <c r="R57" s="18"/>
      <c r="S57" s="18"/>
    </row>
    <row r="58" spans="9:19" x14ac:dyDescent="0.3">
      <c r="R58" s="18"/>
      <c r="S58" s="18"/>
    </row>
    <row r="59" spans="9:19" x14ac:dyDescent="0.3">
      <c r="R59" s="18"/>
      <c r="S59" s="18"/>
    </row>
    <row r="60" spans="9:19" x14ac:dyDescent="0.3">
      <c r="R60" s="18"/>
      <c r="S60" s="18"/>
    </row>
    <row r="61" spans="9:19" x14ac:dyDescent="0.3">
      <c r="R61" s="18"/>
      <c r="S61" s="18"/>
    </row>
    <row r="62" spans="9:19" x14ac:dyDescent="0.3">
      <c r="R62" s="18"/>
      <c r="S62" s="18"/>
    </row>
    <row r="63" spans="9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148</v>
      </c>
    </row>
    <row r="78" spans="3:14" x14ac:dyDescent="0.3">
      <c r="C78" t="s">
        <v>147</v>
      </c>
    </row>
    <row r="81" spans="3:3" x14ac:dyDescent="0.3">
      <c r="C81" t="s">
        <v>147</v>
      </c>
    </row>
    <row r="158" spans="3:3" x14ac:dyDescent="0.3">
      <c r="C158" t="s">
        <v>147</v>
      </c>
    </row>
    <row r="159" spans="3:3" x14ac:dyDescent="0.3">
      <c r="C159" t="s">
        <v>149</v>
      </c>
    </row>
    <row r="160" spans="3:3" x14ac:dyDescent="0.3">
      <c r="C160" t="s">
        <v>150</v>
      </c>
    </row>
    <row r="585" spans="3:3" x14ac:dyDescent="0.3">
      <c r="C585" t="s">
        <v>147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45782</v>
      </c>
    </row>
    <row r="6" spans="2:31" ht="16.2" thickBot="1" x14ac:dyDescent="0.35">
      <c r="B6" s="140" t="s">
        <v>2</v>
      </c>
      <c r="C6" s="139" t="str">
        <f>'2229'!C10</f>
        <v>LEONARDO ALFARES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11420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-45732.328033454105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'2229'!H28</f>
        <v>475356</v>
      </c>
      <c r="E11" s="132">
        <f>D11*0.19</f>
        <v>90317.64</v>
      </c>
      <c r="F11" s="131">
        <f>E11+D11</f>
        <v>565673.64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60257.671966545895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121795.17078743962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42257.671966545895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353560.82921256038</v>
      </c>
      <c r="E13" s="221">
        <f>(D11/D12)-1</f>
        <v>2.9029133661596873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33257.671966545895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-5742.328033454105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200962.03179927537</v>
      </c>
      <c r="F15" s="216">
        <f>E15-D12</f>
        <v>79166.861011835746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-5742.328033454105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34257.671966545895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'2229'!N35</f>
        <v>43000</v>
      </c>
      <c r="E19" s="123">
        <f>D19*0.19</f>
        <v>8170</v>
      </c>
      <c r="F19" s="120">
        <f>SUM(D19:E19)</f>
        <v>51170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48961.080000000009</v>
      </c>
      <c r="E20" s="121">
        <f>D20*0.19</f>
        <v>9302.6052000000018</v>
      </c>
      <c r="F20" s="120">
        <f>SUM(D20:E20)</f>
        <v>58263.685200000007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91961.080000000016</v>
      </c>
      <c r="E21" s="116">
        <f>SUM(E18:E20)</f>
        <v>17472.605200000002</v>
      </c>
      <c r="F21" s="115">
        <f>SUM(F18:F20)</f>
        <v>109433.68520000001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72845.034799999994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475356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91961.080000000016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353560.82921256038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353560.82921256038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2025-05-05T20:20:29Z</cp:lastPrinted>
  <dcterms:created xsi:type="dcterms:W3CDTF">2013-03-18T13:35:42Z</dcterms:created>
  <dcterms:modified xsi:type="dcterms:W3CDTF">2025-05-05T23:41:48Z</dcterms:modified>
</cp:coreProperties>
</file>