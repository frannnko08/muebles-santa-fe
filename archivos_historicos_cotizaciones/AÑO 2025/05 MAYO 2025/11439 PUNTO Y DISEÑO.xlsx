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3FDFF9A9-9F87-4D2F-B9A1-08941551DE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H21" i="1"/>
  <c r="L22" i="1"/>
  <c r="M22" i="1"/>
  <c r="H22" i="1"/>
  <c r="K21" i="1"/>
  <c r="N22" i="1" l="1"/>
  <c r="O22" i="1" s="1"/>
  <c r="J40" i="1"/>
  <c r="L21" i="1"/>
  <c r="R21" i="1" l="1"/>
  <c r="L25" i="1"/>
  <c r="S21" i="1"/>
  <c r="N21" i="1"/>
  <c r="O21" i="1" s="1"/>
  <c r="O26" i="1" s="1"/>
  <c r="U33" i="1"/>
  <c r="U34" i="1" s="1"/>
  <c r="R27" i="1" l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1" i="1"/>
  <c r="H25" i="1" s="1"/>
  <c r="H26" i="1" s="1"/>
  <c r="F15" i="3"/>
  <c r="Q21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<sst xmlns="http://schemas.openxmlformats.org/spreadsheetml/2006/main" count="233" uniqueCount="176">
  <si>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</si>
  <si>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</si>
  <si>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</si>
  <si>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</si>
  <si>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</si>
  <si>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</si>
  <si>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</si>
  <si>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</si>
  <si>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</si>
  <si>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</si>
  <si>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</si>
  <si>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</si>
  <si>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</si>
  <si>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</si>
  <si>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</si>
  <si>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</si>
  <si>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</si>
  <si>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</si>
  <si>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</si>
  <si>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</si>
  <si>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</si>
  <si>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</si>
  <si>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</si>
  <si>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</si>
  <si>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</si>
  <si>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</si>
  <si>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</si>
  <si>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</si>
  <si>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</si>
  <si>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</si>
  <si>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</si>
  <si>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</si>
  <si>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</si>
  <si>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</si>
  <si>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</si>
  <si>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</si>
  <si>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</si>
  <si>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</si>
  <si>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</si>
  <si>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</si>
  <si>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</si>
  <si>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</si>
  <si>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</si>
  <si>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</si>
  <si>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</si>
  <si>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</si>
  <si>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</si>
  <si>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</si>
  <si>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</si>
  <si>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</si>
  <si>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</si>
  <si>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</si>
  <si>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</si>
  <si>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</si>
  <si>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</si>
  <si>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</si>
  <si>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</si>
  <si>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</si>
  <si>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</si>
  <si>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</si>
  <si>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</si>
  <si>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</si>
  <si>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</si>
  <si>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</si>
  <si>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</si>
  <si>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</si>
  <si>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</si>
  <si>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</si>
  <si>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</si>
  <si>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</si>
  <si>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</si>
  <si>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</si>
  <si>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</si>
  <si>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</si>
  <si>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</si>
  <si>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</si>
  <si>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</si>
  <si>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</si>
  <si>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</si>
  <si>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</si>
  <si>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</si>
  <si>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</si>
  <si>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</si>
  <si>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</si>
  <si>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</si>
  <si>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</si>
  <si>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</si>
  <si>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</si>
  <si>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</si>
  <si>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</si>
  <si>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</si>
  <si>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</si>
  <si>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</si>
  <si>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</si>
  <si>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</si>
  <si>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</si>
  <si>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</si>
  <si>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</si>
  <si>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</si>
  <si>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</si>
  <si>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</si>
  <si>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</si>
  <si>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</si>
  <si>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</si>
  <si>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</si>
  <si>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</si>
  <si>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</si>
  <si>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</si>
  <si>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</si>
  <si>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</si>
  <si>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</si>
  <si>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</si>
  <si>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</si>
  <si>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</si>
  <si>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</si>
  <si>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</si>
  <si>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</si>
  <si>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</si>
  <si>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</si>
  <si>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</si>
  <si>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</si>
  <si>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</si>
  <si>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</si>
  <si>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</si>
  <si>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</si>
  <si>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</si>
  <si>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</si>
  <si>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</si>
  <si>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</si>
  <si>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</si>
  <si>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</si>
  <si>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</si>
  <si>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</si>
  <si>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</si>
  <si>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</si>
  <si>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</si>
  <si>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</si>
  <si>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</si>
  <si>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</si>
  <si>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</si>
  <si>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</si>
  <si>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</si>
  <si>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</si>
  <si>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</si>
  <si>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</si>
  <si>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</si>
  <si>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</si>
  <si>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</si>
  <si>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</si>
  <si>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</si>
  <si>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</si>
  <si>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</si>
  <si>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</si>
  <si>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</si>
  <si>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</si>
  <si>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</si>
  <si>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</si>
  <si>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</si>
  <si>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</si>
  <si>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</si>
  <si>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</si>
  <si>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</si>
  <si>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</si>
  <si>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</si>
  <si>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</si>
  <si>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</si>
  <si>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</si>
  <si>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</si>
  <si>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PUNTO Y DISEÑO</t>
  </si>
  <si>
    <t>OMAR VERGARA</t>
  </si>
  <si>
    <t>569 68412708</t>
  </si>
  <si>
    <t>N° 11439</t>
  </si>
  <si>
    <t>5 DIAS HABILES</t>
  </si>
  <si>
    <t>CUB C/R FRENTE 90° R12</t>
  </si>
  <si>
    <t>QUARZITE 3044 PT</t>
  </si>
  <si>
    <t>ZOCALO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</si>
</sst>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8193</xdr:colOff>
      <xdr:row>23</xdr:row>
      <xdr:rowOff>222558</xdr:rowOff>
    </xdr:from>
    <xdr:to>
      <xdr:col>5</xdr:col>
      <xdr:colOff>1635063</xdr:colOff>
      <xdr:row>27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0" y="4794558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LARGO, ZOCALOS DE REGALO, POR SOBRANTE DE LAMINA, LISTON DE AJUSTE EN RESPALDO DE 3MM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3" zoomScale="93" zoomScaleNormal="93" workbookViewId="0">
      <selection activeCell="I23" sqref="I23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171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168</v>
      </c>
      <c r="D10" s="243"/>
      <c r="E10" s="243"/>
      <c r="F10" s="244" t="s">
        <v>0</v>
      </c>
      <c r="G10" s="277">
        <v>45793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169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170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>
        <v>0.12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110085.17963298009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9">
        <v>1</v>
      </c>
      <c r="C21" s="329" t="s">
        <v>173</v>
      </c>
      <c r="D21" s="330">
        <v>3.6</v>
      </c>
      <c r="E21" s="330">
        <v>0.53</v>
      </c>
      <c r="F21" s="329" t="s">
        <v>174</v>
      </c>
      <c r="G21" s="331">
        <v>215960</v>
      </c>
      <c r="H21" s="331">
        <f t="shared" ref="H21:H22" si="1">G21*B21</f>
        <v>215960</v>
      </c>
      <c r="I21" s="265"/>
      <c r="J21" s="47"/>
      <c r="K21" s="324">
        <f t="shared" ref="K21" si="2">B21</f>
        <v>1</v>
      </c>
      <c r="L21" s="325">
        <f t="shared" ref="L21" si="3">D21+L$19</f>
        <v>3.65</v>
      </c>
      <c r="M21" s="325">
        <f>E21</f>
        <v>0.53</v>
      </c>
      <c r="N21" s="261">
        <f t="shared" ref="N21" si="4">L21*M21</f>
        <v>1.9345000000000001</v>
      </c>
      <c r="O21" s="259">
        <f t="shared" ref="O21" si="5">N21*K21</f>
        <v>1.9345000000000001</v>
      </c>
      <c r="P21" s="252">
        <f>P$20*N21</f>
        <v>212959.78</v>
      </c>
      <c r="Q21" s="258">
        <f t="shared" ref="Q21" si="6">P21+Q$20</f>
        <v>215959.78</v>
      </c>
      <c r="R21" s="308">
        <f>L21*K21</f>
        <v>3.65</v>
      </c>
      <c r="S21" s="46">
        <f>M21*K21*2</f>
        <v>1.06</v>
      </c>
      <c r="T21" s="9"/>
      <c r="W21" s="4"/>
    </row>
    <row r="22" spans="2:24" ht="17.399999999999999" x14ac:dyDescent="0.3">
      <c r="B22" s="329">
        <v>2</v>
      </c>
      <c r="C22" s="329" t="s">
        <v>175</v>
      </c>
      <c r="D22" s="330">
        <v>3.6</v>
      </c>
      <c r="E22" s="330">
        <v>0.16</v>
      </c>
      <c r="F22" s="329" t="s">
        <v>174</v>
      </c>
      <c r="G22" s="331">
        <v>0</v>
      </c>
      <c r="H22" s="331">
        <f t="shared" si="1"/>
        <v>0</v>
      </c>
      <c r="I22" s="265"/>
      <c r="J22" s="47"/>
      <c r="K22" s="324"/>
      <c r="L22" s="325">
        <f t="shared" ref="L22" si="7">D22+L$19</f>
        <v>3.65</v>
      </c>
      <c r="M22" s="325">
        <f t="shared" ref="M22" si="8">E22+M$19</f>
        <v>0.28000000000000003</v>
      </c>
      <c r="N22" s="261">
        <f t="shared" ref="N22" si="9">L22*M22</f>
        <v>1.022</v>
      </c>
      <c r="O22" s="259">
        <f t="shared" ref="O22" si="10">N22*K22</f>
        <v>0</v>
      </c>
      <c r="P22" s="252">
        <f>P$20*N22</f>
        <v>112507.05358490565</v>
      </c>
      <c r="Q22" s="258">
        <f t="shared" ref="Q22" si="11">P22+Q$20</f>
        <v>115507.05358490565</v>
      </c>
      <c r="R22" s="308"/>
      <c r="S22" s="46"/>
      <c r="T22" s="9"/>
      <c r="W22" s="4"/>
    </row>
    <row r="23" spans="2:24" ht="17.399999999999999" x14ac:dyDescent="0.3">
      <c r="B23" s="327"/>
      <c r="C23" s="328"/>
      <c r="D23" s="327"/>
      <c r="E23" s="327"/>
      <c r="F23" s="327"/>
      <c r="G23" s="327"/>
      <c r="H23" s="327"/>
      <c r="I23" s="265"/>
      <c r="J23" s="47"/>
      <c r="K23" s="324"/>
      <c r="L23" s="325"/>
      <c r="M23" s="325"/>
      <c r="N23" s="261"/>
      <c r="O23" s="259"/>
      <c r="P23" s="252"/>
      <c r="Q23" s="258"/>
      <c r="R23" s="30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29</v>
      </c>
      <c r="H25" s="310">
        <f>SUM(H21:H24)</f>
        <v>215960</v>
      </c>
      <c r="I25" s="265"/>
      <c r="J25" s="47"/>
      <c r="K25" s="47"/>
      <c r="L25" s="39">
        <f>SUM(L21:L24)</f>
        <v>7.3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52</v>
      </c>
      <c r="H26" s="304">
        <f>H25*19%</f>
        <v>41032.400000000001</v>
      </c>
      <c r="I26" s="265"/>
      <c r="J26" s="47"/>
      <c r="K26" s="47"/>
      <c r="L26" s="39"/>
      <c r="M26" s="12"/>
      <c r="N26" s="12"/>
      <c r="O26" s="253">
        <f>SUM(O21:O22)</f>
        <v>1.9345000000000001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256992.4</v>
      </c>
      <c r="I27" s="265"/>
      <c r="J27" s="47"/>
      <c r="K27" s="47"/>
      <c r="L27" s="39"/>
      <c r="M27" s="12"/>
      <c r="N27" s="12"/>
      <c r="O27" s="253">
        <f>O26</f>
        <v>1.9345000000000001</v>
      </c>
      <c r="P27" s="14"/>
      <c r="Q27" s="12"/>
      <c r="R27" s="239">
        <f>SUM(R21:R26)</f>
        <v>3.65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0.38690000000000002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2.3214000000000001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5" t="s">
        <v>22</v>
      </c>
      <c r="U30" s="312" t="s">
        <v>153</v>
      </c>
      <c r="V30" s="316">
        <v>44971</v>
      </c>
      <c r="W30" s="31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2.3214000000000001</v>
      </c>
      <c r="M31" s="12">
        <v>3500</v>
      </c>
      <c r="N31" s="12">
        <f t="shared" ref="N31:N36" si="12">L31*M31</f>
        <v>8124.9000000000005</v>
      </c>
      <c r="O31" s="14" t="s">
        <v>22</v>
      </c>
      <c r="P31" s="14"/>
      <c r="Q31" s="14"/>
      <c r="R31" s="241"/>
      <c r="S31" s="14"/>
      <c r="T31" s="315" t="s">
        <v>154</v>
      </c>
      <c r="U31" s="312">
        <v>3625</v>
      </c>
      <c r="V31" s="59" t="s">
        <v>155</v>
      </c>
      <c r="W31" s="31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0.7</v>
      </c>
      <c r="M32" s="12">
        <v>25000</v>
      </c>
      <c r="N32" s="12">
        <f t="shared" si="12"/>
        <v>17500</v>
      </c>
      <c r="O32" s="39" t="s">
        <v>32</v>
      </c>
      <c r="P32" s="42"/>
      <c r="Q32" s="14"/>
      <c r="R32" s="240"/>
      <c r="S32" s="14"/>
      <c r="T32" s="315"/>
      <c r="U32" s="59">
        <v>906.25</v>
      </c>
      <c r="V32" s="59" t="s">
        <v>156</v>
      </c>
      <c r="W32" s="317"/>
    </row>
    <row r="33" spans="2:23" s="230" customFormat="1" ht="17.399999999999999" x14ac:dyDescent="0.35">
      <c r="I33" s="262"/>
      <c r="J33" s="232"/>
      <c r="K33" s="250"/>
      <c r="L33" s="14">
        <v>1</v>
      </c>
      <c r="M33" s="250">
        <v>65700</v>
      </c>
      <c r="N33" s="12">
        <f t="shared" si="12"/>
        <v>65700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/>
      <c r="M34" s="250">
        <v>22500</v>
      </c>
      <c r="N34" s="12">
        <f t="shared" si="12"/>
        <v>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2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3"/>
      <c r="K36" s="250"/>
      <c r="L36" s="266">
        <v>3.65</v>
      </c>
      <c r="M36" s="12">
        <v>1500</v>
      </c>
      <c r="N36" s="12">
        <f t="shared" si="12"/>
        <v>5475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96799.9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212959.78</v>
      </c>
      <c r="O38" s="14" t="s">
        <v>141</v>
      </c>
      <c r="P38" s="14"/>
      <c r="Q38" s="40">
        <f>O29/Q37</f>
        <v>0.62591673856773078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42960</v>
      </c>
      <c r="K39" s="250"/>
      <c r="L39" s="14"/>
      <c r="M39" s="12"/>
      <c r="N39" s="12">
        <f>N38/O27</f>
        <v>110085.17963298009</v>
      </c>
      <c r="O39" s="45" t="s">
        <v>25</v>
      </c>
      <c r="P39" s="14"/>
      <c r="Q39" s="14"/>
      <c r="R39"/>
      <c r="S39" s="238"/>
      <c r="T39" s="59" t="s">
        <v>159</v>
      </c>
      <c r="U39" s="312">
        <v>43650</v>
      </c>
    </row>
    <row r="40" spans="2:23" s="230" customFormat="1" ht="17.399999999999999" x14ac:dyDescent="0.35">
      <c r="G40"/>
      <c r="J40" s="230">
        <f>J39/1.19</f>
        <v>36100.840336134454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1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45793</v>
      </c>
    </row>
    <row r="6" spans="2:31" ht="16.2" thickBot="1" x14ac:dyDescent="0.35">
      <c r="B6" s="140" t="s">
        <v>2</v>
      </c>
      <c r="C6" s="139" t="str">
        <f>'2229'!C10</f>
        <v>PUNTO Y DISEÑO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11439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-2674.6108667874455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215960</v>
      </c>
      <c r="E11" s="132">
        <f>D11*0.19</f>
        <v>41032.400000000001</v>
      </c>
      <c r="F11" s="131">
        <f>E11+D11</f>
        <v>256992.4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103315.38913321255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121158.9907874396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85315.389133212549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94801.009212560399</v>
      </c>
      <c r="E13" s="221">
        <f>(D11/D12)-1</f>
        <v>0.78245129475268205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76315.389133212549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37315.389133212557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199912.33479927533</v>
      </c>
      <c r="F15" s="216">
        <f>E15-D12</f>
        <v>78753.344011835725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37315.389133212557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77315.389133212549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65700</v>
      </c>
      <c r="E18" s="123">
        <f>D18*0.19</f>
        <v>12483</v>
      </c>
      <c r="F18" s="120">
        <f>SUM(D18:E18)</f>
        <v>78183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8124.9000000000005</v>
      </c>
      <c r="E20" s="121">
        <f>D20*0.19</f>
        <v>1543.7310000000002</v>
      </c>
      <c r="F20" s="120">
        <f>SUM(D20:E20)</f>
        <v>9668.6310000000012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91324.9</v>
      </c>
      <c r="E21" s="116">
        <f>SUM(E18:E20)</f>
        <v>17351.731</v>
      </c>
      <c r="F21" s="115">
        <f>SUM(F18:F20)</f>
        <v>108676.63099999999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23680.669000000002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215960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91324.9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94801.009212560399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94801.009212560399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2025-05-16T21:28:24Z</cp:lastPrinted>
  <dcterms:created xsi:type="dcterms:W3CDTF">2013-03-18T13:35:42Z</dcterms:created>
  <dcterms:modified xsi:type="dcterms:W3CDTF">2025-05-16T22:24:29Z</dcterms:modified>
</cp:coreProperties>
</file>