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5AD78257-89A0-41E1-9DA0-CBC1A86CA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/>
  <c r="K24" i="1"/>
  <c r="K25" i="1"/>
  <c r="K26" i="1"/>
  <c r="K27" i="1"/>
  <c r="K28" i="1"/>
  <c r="K29" i="1"/>
  <c r="K30" i="1"/>
  <c r="K31" i="1"/>
  <c r="L24" i="1"/>
  <c r="M24" i="1"/>
  <c r="L25" i="1"/>
  <c r="M25" i="1"/>
  <c r="K23" i="1"/>
  <c r="M29" i="1"/>
  <c r="L29" i="1"/>
  <c r="H22" i="1"/>
  <c r="N45" i="1"/>
  <c r="L22" i="1"/>
  <c r="M22" i="1"/>
  <c r="L23" i="1"/>
  <c r="M23" i="1"/>
  <c r="L26" i="1"/>
  <c r="M26" i="1"/>
  <c r="L27" i="1"/>
  <c r="M27" i="1"/>
  <c r="L28" i="1"/>
  <c r="M28" i="1"/>
  <c r="L30" i="1"/>
  <c r="R30" i="1" s="1"/>
  <c r="M30" i="1"/>
  <c r="L31" i="1"/>
  <c r="M31" i="1"/>
  <c r="I56" i="1"/>
  <c r="J40" i="1"/>
  <c r="J45" i="1"/>
  <c r="J46" i="1" s="1"/>
  <c r="N43" i="1"/>
  <c r="N24" i="1" l="1"/>
  <c r="O24" i="1" s="1"/>
  <c r="R29" i="1"/>
  <c r="N25" i="1"/>
  <c r="O25" i="1" s="1"/>
  <c r="R28" i="1"/>
  <c r="N29" i="1"/>
  <c r="O29" i="1" s="1"/>
  <c r="R24" i="1"/>
  <c r="R25" i="1"/>
  <c r="R23" i="1"/>
  <c r="N23" i="1"/>
  <c r="O23" i="1" s="1"/>
  <c r="N27" i="1"/>
  <c r="O27" i="1" s="1"/>
  <c r="N26" i="1"/>
  <c r="N28" i="1"/>
  <c r="O28" i="1" s="1"/>
  <c r="N30" i="1"/>
  <c r="O30" i="1" s="1"/>
  <c r="N31" i="1"/>
  <c r="O31" i="1" s="1"/>
  <c r="N22" i="1"/>
  <c r="O22" i="1" s="1"/>
  <c r="O26" i="1"/>
  <c r="R31" i="1"/>
  <c r="R26" i="1"/>
  <c r="R27" i="1"/>
  <c r="R22" i="1"/>
  <c r="R32" i="1"/>
  <c r="N42" i="1"/>
  <c r="N44" i="1"/>
  <c r="J49" i="1" l="1"/>
  <c r="L21" i="1"/>
  <c r="L34" i="1" s="1"/>
  <c r="M21" i="1"/>
  <c r="S21" i="1" l="1"/>
  <c r="S34" i="1" s="1"/>
  <c r="S35" i="1" s="1"/>
  <c r="S36" i="1" s="1"/>
  <c r="R21" i="1"/>
  <c r="R36" i="1" s="1"/>
  <c r="N21" i="1"/>
  <c r="O21" i="1" s="1"/>
  <c r="O35" i="1" s="1"/>
  <c r="U42" i="1"/>
  <c r="U43" i="1" s="1"/>
  <c r="N41" i="1" l="1"/>
  <c r="O36" i="1" l="1"/>
  <c r="O37" i="1" s="1"/>
  <c r="O38" i="1" s="1"/>
  <c r="L40" i="1" s="1"/>
  <c r="M20" i="1"/>
  <c r="K20" i="1"/>
  <c r="Q4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40" i="1" l="1"/>
  <c r="N46" i="1" s="1"/>
  <c r="N47" i="1" s="1"/>
  <c r="N48" i="1" s="1"/>
  <c r="Q47" i="1"/>
  <c r="D20" i="3" l="1"/>
  <c r="E20" i="3" s="1"/>
  <c r="E21" i="3" s="1"/>
  <c r="D21" i="3" l="1"/>
  <c r="M43" i="3" s="1"/>
  <c r="D12" i="3" s="1"/>
  <c r="F20" i="3"/>
  <c r="F21" i="3" s="1"/>
  <c r="N49" i="1" l="1"/>
  <c r="P20" i="1"/>
  <c r="E15" i="3"/>
  <c r="P29" i="1" l="1"/>
  <c r="Q29" i="1" s="1"/>
  <c r="P24" i="1"/>
  <c r="Q24" i="1" s="1"/>
  <c r="P25" i="1"/>
  <c r="Q25" i="1" s="1"/>
  <c r="P22" i="1"/>
  <c r="Q22" i="1" s="1"/>
  <c r="P27" i="1"/>
  <c r="Q27" i="1" s="1"/>
  <c r="P26" i="1"/>
  <c r="Q26" i="1" s="1"/>
  <c r="P30" i="1"/>
  <c r="Q30" i="1" s="1"/>
  <c r="P23" i="1"/>
  <c r="Q23" i="1" s="1"/>
  <c r="P31" i="1"/>
  <c r="Q31" i="1" s="1"/>
  <c r="P28" i="1"/>
  <c r="Q28" i="1" s="1"/>
  <c r="P21" i="1"/>
  <c r="F15" i="3"/>
  <c r="Q21" i="1" l="1"/>
  <c r="H21" i="1" l="1"/>
  <c r="H34" i="1" s="1"/>
  <c r="H3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<sst xmlns="http://schemas.openxmlformats.org/spreadsheetml/2006/main" count="251" uniqueCount="182">
  <si>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</si>
  <si>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</si>
  <si>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</si>
  <si>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</si>
  <si>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</si>
  <si>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</si>
  <si>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</si>
  <si>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</si>
  <si>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</si>
  <si>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</si>
  <si>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</si>
  <si>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</si>
  <si>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</si>
  <si>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</si>
  <si>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</si>
  <si>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</si>
  <si>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</si>
  <si>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</si>
  <si>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</si>
  <si>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</si>
  <si>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</si>
  <si>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</si>
  <si>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</si>
  <si>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</si>
  <si>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</si>
  <si>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</si>
  <si>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</si>
  <si>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</si>
  <si>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</si>
  <si>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</si>
  <si>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</si>
  <si>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</si>
  <si>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</si>
  <si>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</si>
  <si>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</si>
  <si>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</si>
  <si>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</si>
  <si>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</si>
  <si>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</si>
  <si>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</si>
  <si>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</si>
  <si>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</si>
  <si>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</si>
  <si>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</si>
  <si>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</si>
  <si>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</si>
  <si>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</si>
  <si>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</si>
  <si>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</si>
  <si>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</si>
  <si>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</si>
  <si>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</si>
  <si>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</si>
  <si>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</si>
  <si>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</si>
  <si>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</si>
  <si>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</si>
  <si>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</si>
  <si>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</si>
  <si>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</si>
  <si>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</si>
  <si>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</si>
  <si>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</si>
  <si>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</si>
  <si>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</si>
  <si>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</si>
  <si>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</si>
  <si>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</si>
  <si>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</si>
  <si>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</si>
  <si>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</si>
  <si>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</si>
  <si>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</si>
  <si>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</si>
  <si>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</si>
  <si>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</si>
  <si>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</si>
  <si>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</si>
  <si>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</si>
  <si>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</si>
  <si>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</si>
  <si>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</si>
  <si>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</si>
  <si>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</si>
  <si>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</si>
  <si>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</si>
  <si>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</si>
  <si>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</si>
  <si>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</si>
  <si>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</si>
  <si>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</si>
  <si>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</si>
  <si>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</si>
  <si>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</si>
  <si>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</si>
  <si>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</si>
  <si>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</si>
  <si>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</si>
  <si>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</si>
  <si>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</si>
  <si>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</si>
  <si>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</si>
  <si>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</si>
  <si>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</si>
  <si>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</si>
  <si>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</si>
  <si>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</si>
  <si>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</si>
  <si>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</si>
  <si>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</si>
  <si>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</si>
  <si>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</si>
  <si>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</si>
  <si>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</si>
  <si>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</si>
  <si>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</si>
  <si>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</si>
  <si>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</si>
  <si>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</si>
  <si>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</si>
  <si>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</si>
  <si>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</si>
  <si>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</si>
  <si>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</si>
  <si>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</si>
  <si>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</si>
  <si>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</si>
  <si>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</si>
  <si>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</si>
  <si>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</si>
  <si>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</si>
  <si>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</si>
  <si>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</si>
  <si>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</si>
  <si>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</si>
  <si>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</si>
  <si>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</si>
  <si>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</si>
  <si>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</si>
  <si>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</si>
  <si>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</si>
  <si>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</si>
  <si>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</si>
  <si>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</si>
  <si>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</si>
  <si>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</si>
  <si>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</si>
  <si>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</si>
  <si>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</si>
  <si>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</si>
  <si>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</si>
  <si>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</si>
  <si>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</si>
  <si>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</si>
  <si>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</si>
  <si>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</si>
  <si>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</si>
  <si>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</si>
  <si>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</si>
  <si>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</si>
  <si>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</si>
  <si>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</si>
  <si>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</si>
  <si>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</si>
  <si>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</si>
  <si>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</si>
  <si>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10 DIAS HABILES</t>
  </si>
  <si>
    <t>GRIS NUBE</t>
  </si>
  <si>
    <t>KING</t>
  </si>
  <si>
    <t>MDF 3MM</t>
  </si>
  <si>
    <t>152X244</t>
  </si>
  <si>
    <t>LAMINA BALANCE</t>
  </si>
  <si>
    <t>LEONARDO ALFARES</t>
  </si>
  <si>
    <t>+569 5949 9305</t>
  </si>
  <si>
    <t>CUBIERTA CON RESPALDO R8</t>
  </si>
  <si>
    <t>BLANCO BR</t>
  </si>
  <si>
    <t xml:space="preserve">PUERTA R8 </t>
  </si>
  <si>
    <t>PUERTA R8</t>
  </si>
  <si>
    <t>F/C R8</t>
  </si>
  <si>
    <t>N° 11419</t>
  </si>
  <si>
    <t>SI</t>
  </si>
  <si>
    <t>PUERTA R8 PARA VIDRIO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</si>
</sst>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10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38</xdr:row>
      <xdr:rowOff>26670</xdr:rowOff>
    </xdr:from>
    <xdr:to>
      <xdr:col>7</xdr:col>
      <xdr:colOff>1034435</xdr:colOff>
      <xdr:row>41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32</xdr:row>
      <xdr:rowOff>206170</xdr:rowOff>
    </xdr:from>
    <xdr:to>
      <xdr:col>5</xdr:col>
      <xdr:colOff>1643259</xdr:colOff>
      <xdr:row>36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r>
            <a:rPr lang="es-CL" sz="1100" b="1"/>
            <a:t>CUBIERTAS CORTADAS A LA MEDIDA Y CON  ENCHAPE COSTADOS</a:t>
          </a:r>
          <a:r>
            <a:rPr lang="es-CL" sz="1100" b="1" baseline="0"/>
            <a:t> CON MISMA LAMINA</a:t>
          </a:r>
        </a:p>
        <a:p>
          <a:pPr algn="l"/>
          <a:r>
            <a:rPr lang="es-CL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VIDRIADAS CON BASTIDOR PERIMETRAL DE 8CMS, LAS PUERTAS SE ENTREGAN CORTADAS A LA MEDIDA Y ENCHAPADAS CON TAPACANTO PVC 0,4MM</a:t>
          </a:r>
          <a:endParaRPr lang="es-CL" sz="1100" b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1"/>
  <sheetViews>
    <sheetView tabSelected="1" topLeftCell="A14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43.332031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45782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180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N48</f>
        <v>62686.533252476263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174</v>
      </c>
      <c r="D21" s="327">
        <v>2.2999999999999998</v>
      </c>
      <c r="E21" s="327">
        <v>0.6</v>
      </c>
      <c r="F21" s="326"/>
      <c r="G21" s="328">
        <v>137769</v>
      </c>
      <c r="H21" s="328">
        <f>G21*B21</f>
        <v>137769</v>
      </c>
      <c r="I21" s="265"/>
      <c r="J21" s="47"/>
      <c r="K21" s="330"/>
      <c r="L21" s="39">
        <f t="shared" ref="L21" si="1">D21+L$19</f>
        <v>2.3499999999999996</v>
      </c>
      <c r="M21" s="39">
        <f t="shared" ref="M21" si="2">E21+M$19</f>
        <v>0.67999999999999994</v>
      </c>
      <c r="N21" s="261">
        <f t="shared" ref="N21" si="3">L21*M21</f>
        <v>1.5979999999999996</v>
      </c>
      <c r="O21" s="259">
        <f t="shared" ref="O21" si="4">N21*K21</f>
        <v>0</v>
      </c>
      <c r="P21" s="252">
        <f t="shared" ref="P21" si="5">P$20*N21</f>
        <v>100173.08013745704</v>
      </c>
      <c r="Q21" s="329">
        <f t="shared" ref="Q21" si="6">P21+Q$20</f>
        <v>103173.08013745704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6">
        <v>1</v>
      </c>
      <c r="C22" s="326" t="s">
        <v>174</v>
      </c>
      <c r="D22" s="327">
        <v>2.1</v>
      </c>
      <c r="E22" s="327">
        <v>0.43</v>
      </c>
      <c r="F22" s="326"/>
      <c r="G22" s="328">
        <v>94533</v>
      </c>
      <c r="H22" s="328">
        <f>G22*B22</f>
        <v>94533</v>
      </c>
      <c r="I22" s="265"/>
      <c r="J22" s="47"/>
      <c r="K22" s="330"/>
      <c r="L22" s="39">
        <f t="shared" ref="L22:L31" si="7">D22+L$19</f>
        <v>2.15</v>
      </c>
      <c r="M22" s="39">
        <f t="shared" ref="M22:M31" si="8">E22+M$19</f>
        <v>0.51</v>
      </c>
      <c r="N22" s="261">
        <f t="shared" ref="N22:N31" si="9">L22*M22</f>
        <v>1.0965</v>
      </c>
      <c r="O22" s="259">
        <f t="shared" ref="O22:O31" si="10">N22*K22</f>
        <v>0</v>
      </c>
      <c r="P22" s="252">
        <f t="shared" ref="P22:P31" si="11">P$20*N22</f>
        <v>68735.78371134022</v>
      </c>
      <c r="Q22" s="329">
        <f t="shared" ref="Q22:Q31" si="12">P22+Q$20</f>
        <v>71735.78371134022</v>
      </c>
      <c r="R22" s="298">
        <f t="shared" ref="R22:R31" si="13">L22*K22*2</f>
        <v>0</v>
      </c>
      <c r="S22" s="46"/>
      <c r="T22" s="9"/>
      <c r="W22" s="4"/>
    </row>
    <row r="23" spans="2:24" ht="17.399999999999999" x14ac:dyDescent="0.3">
      <c r="B23" s="326">
        <v>4</v>
      </c>
      <c r="C23" s="326" t="s">
        <v>181</v>
      </c>
      <c r="D23" s="327">
        <v>0.495</v>
      </c>
      <c r="E23" s="327">
        <v>0.34499999999999997</v>
      </c>
      <c r="F23" s="326" t="s">
        <v>175</v>
      </c>
      <c r="G23" s="328">
        <v>27520</v>
      </c>
      <c r="H23" s="328">
        <f t="shared" ref="H23:H31" si="14">G23*B23</f>
        <v>110080</v>
      </c>
      <c r="I23" s="265"/>
      <c r="J23" s="47"/>
      <c r="K23" s="330">
        <f>B23</f>
        <v>4</v>
      </c>
      <c r="L23" s="39">
        <f t="shared" si="7"/>
        <v>0.54500000000000004</v>
      </c>
      <c r="M23" s="39">
        <f t="shared" si="8"/>
        <v>0.42499999999999999</v>
      </c>
      <c r="N23" s="261">
        <f t="shared" si="9"/>
        <v>0.231625</v>
      </c>
      <c r="O23" s="259">
        <f t="shared" si="10"/>
        <v>0.92649999999999999</v>
      </c>
      <c r="P23" s="252">
        <f t="shared" si="11"/>
        <v>14519.768264604814</v>
      </c>
      <c r="Q23" s="329">
        <f t="shared" si="12"/>
        <v>17519.768264604812</v>
      </c>
      <c r="R23" s="298">
        <f t="shared" si="13"/>
        <v>4.3600000000000003</v>
      </c>
      <c r="S23" s="46"/>
      <c r="T23" s="9"/>
      <c r="W23" s="4"/>
    </row>
    <row r="24" spans="2:24" ht="17.399999999999999" x14ac:dyDescent="0.3">
      <c r="B24" s="326">
        <v>2</v>
      </c>
      <c r="C24" s="326" t="s">
        <v>176</v>
      </c>
      <c r="D24" s="327">
        <v>0.495</v>
      </c>
      <c r="E24" s="327">
        <v>0.34499999999999997</v>
      </c>
      <c r="F24" s="326" t="s">
        <v>175</v>
      </c>
      <c r="G24" s="328">
        <v>17520</v>
      </c>
      <c r="H24" s="328">
        <f t="shared" si="14"/>
        <v>35040</v>
      </c>
      <c r="I24" s="265"/>
      <c r="J24" s="47"/>
      <c r="K24" s="330">
        <f t="shared" ref="K24:K31" si="15">B24</f>
        <v>2</v>
      </c>
      <c r="L24" s="39">
        <f t="shared" ref="L24:L25" si="16">D24+L$19</f>
        <v>0.54500000000000004</v>
      </c>
      <c r="M24" s="39">
        <f t="shared" ref="M24:M25" si="17">E24+M$19</f>
        <v>0.42499999999999999</v>
      </c>
      <c r="N24" s="261">
        <f t="shared" ref="N24:N25" si="18">L24*M24</f>
        <v>0.231625</v>
      </c>
      <c r="O24" s="259">
        <f t="shared" ref="O24:O25" si="19">N24*K24</f>
        <v>0.46325</v>
      </c>
      <c r="P24" s="252">
        <f t="shared" ref="P24:P25" si="20">P$20*N24</f>
        <v>14519.768264604814</v>
      </c>
      <c r="Q24" s="329">
        <f t="shared" ref="Q24:Q25" si="21">P24+Q$20</f>
        <v>17519.768264604812</v>
      </c>
      <c r="R24" s="298">
        <f t="shared" ref="R24:R25" si="22">L24*K24*2</f>
        <v>2.1800000000000002</v>
      </c>
      <c r="S24" s="46"/>
      <c r="T24" s="9"/>
      <c r="W24" s="4"/>
    </row>
    <row r="25" spans="2:24" ht="17.399999999999999" x14ac:dyDescent="0.3">
      <c r="B25" s="326">
        <v>6</v>
      </c>
      <c r="C25" s="326" t="s">
        <v>176</v>
      </c>
      <c r="D25" s="327">
        <v>0.69</v>
      </c>
      <c r="E25" s="327">
        <v>0.34</v>
      </c>
      <c r="F25" s="326" t="s">
        <v>175</v>
      </c>
      <c r="G25" s="328">
        <v>22483</v>
      </c>
      <c r="H25" s="328">
        <f t="shared" si="14"/>
        <v>134898</v>
      </c>
      <c r="I25" s="265"/>
      <c r="J25" s="47"/>
      <c r="K25" s="332">
        <f t="shared" si="15"/>
        <v>6</v>
      </c>
      <c r="L25" s="39">
        <f t="shared" si="16"/>
        <v>0.74</v>
      </c>
      <c r="M25" s="39">
        <f t="shared" si="17"/>
        <v>0.42000000000000004</v>
      </c>
      <c r="N25" s="261">
        <f t="shared" si="18"/>
        <v>0.31080000000000002</v>
      </c>
      <c r="O25" s="259">
        <f t="shared" si="19"/>
        <v>1.8648000000000002</v>
      </c>
      <c r="P25" s="252">
        <f t="shared" si="20"/>
        <v>19482.974534869623</v>
      </c>
      <c r="Q25" s="329">
        <f t="shared" si="21"/>
        <v>22482.974534869623</v>
      </c>
      <c r="R25" s="298">
        <f t="shared" si="22"/>
        <v>8.879999999999999</v>
      </c>
      <c r="S25" s="46"/>
      <c r="T25" s="9"/>
      <c r="W25" s="4"/>
    </row>
    <row r="26" spans="2:24" ht="17.399999999999999" x14ac:dyDescent="0.3">
      <c r="B26" s="326">
        <v>4</v>
      </c>
      <c r="C26" s="326" t="s">
        <v>176</v>
      </c>
      <c r="D26" s="327">
        <v>0.29499999999999998</v>
      </c>
      <c r="E26" s="327">
        <v>0.73499999999999999</v>
      </c>
      <c r="F26" s="326" t="s">
        <v>175</v>
      </c>
      <c r="G26" s="328">
        <v>20626</v>
      </c>
      <c r="H26" s="328">
        <f t="shared" si="14"/>
        <v>82504</v>
      </c>
      <c r="I26" s="265"/>
      <c r="J26" s="47"/>
      <c r="K26" s="330">
        <f t="shared" si="15"/>
        <v>4</v>
      </c>
      <c r="L26" s="39">
        <f t="shared" si="7"/>
        <v>0.34499999999999997</v>
      </c>
      <c r="M26" s="39">
        <f t="shared" si="8"/>
        <v>0.81499999999999995</v>
      </c>
      <c r="N26" s="261">
        <f t="shared" si="9"/>
        <v>0.28117499999999995</v>
      </c>
      <c r="O26" s="259">
        <f t="shared" si="10"/>
        <v>1.1246999999999998</v>
      </c>
      <c r="P26" s="252">
        <f t="shared" si="11"/>
        <v>17625.88598726501</v>
      </c>
      <c r="Q26" s="329">
        <f t="shared" si="12"/>
        <v>20625.88598726501</v>
      </c>
      <c r="R26" s="298">
        <f t="shared" si="13"/>
        <v>2.76</v>
      </c>
      <c r="S26" s="46"/>
      <c r="T26" s="9"/>
      <c r="W26" s="4"/>
    </row>
    <row r="27" spans="2:24" ht="17.399999999999999" x14ac:dyDescent="0.3">
      <c r="B27" s="326">
        <v>2</v>
      </c>
      <c r="C27" s="326" t="s">
        <v>176</v>
      </c>
      <c r="D27" s="327">
        <v>0.41499999999999998</v>
      </c>
      <c r="E27" s="327">
        <v>0.29499999999999998</v>
      </c>
      <c r="F27" s="326" t="s">
        <v>175</v>
      </c>
      <c r="G27" s="328">
        <v>13931</v>
      </c>
      <c r="H27" s="328">
        <f t="shared" si="14"/>
        <v>27862</v>
      </c>
      <c r="I27" s="265"/>
      <c r="J27" s="47"/>
      <c r="K27" s="330">
        <f t="shared" si="15"/>
        <v>2</v>
      </c>
      <c r="L27" s="39">
        <f t="shared" si="7"/>
        <v>0.46499999999999997</v>
      </c>
      <c r="M27" s="39">
        <f t="shared" si="8"/>
        <v>0.375</v>
      </c>
      <c r="N27" s="261">
        <f t="shared" si="9"/>
        <v>0.174375</v>
      </c>
      <c r="O27" s="259">
        <f t="shared" si="10"/>
        <v>0.34875</v>
      </c>
      <c r="P27" s="252">
        <f t="shared" si="11"/>
        <v>10930.964235900548</v>
      </c>
      <c r="Q27" s="329">
        <f t="shared" si="12"/>
        <v>13930.964235900548</v>
      </c>
      <c r="R27" s="298">
        <f t="shared" si="13"/>
        <v>1.8599999999999999</v>
      </c>
      <c r="S27" s="46"/>
      <c r="T27" s="9"/>
      <c r="W27" s="4"/>
    </row>
    <row r="28" spans="2:24" ht="17.399999999999999" x14ac:dyDescent="0.3">
      <c r="B28" s="326">
        <v>4</v>
      </c>
      <c r="C28" s="326" t="s">
        <v>181</v>
      </c>
      <c r="D28" s="327">
        <v>0.495</v>
      </c>
      <c r="E28" s="327">
        <v>0.30499999999999999</v>
      </c>
      <c r="F28" s="326" t="s">
        <v>175</v>
      </c>
      <c r="G28" s="328">
        <v>26153</v>
      </c>
      <c r="H28" s="328">
        <f t="shared" si="14"/>
        <v>104612</v>
      </c>
      <c r="I28" s="265"/>
      <c r="J28" s="47"/>
      <c r="K28" s="332">
        <f t="shared" si="15"/>
        <v>4</v>
      </c>
      <c r="L28" s="39">
        <f t="shared" si="7"/>
        <v>0.54500000000000004</v>
      </c>
      <c r="M28" s="39">
        <f t="shared" si="8"/>
        <v>0.38500000000000001</v>
      </c>
      <c r="N28" s="261">
        <f t="shared" si="9"/>
        <v>0.20982500000000001</v>
      </c>
      <c r="O28" s="259">
        <f t="shared" si="10"/>
        <v>0.83930000000000005</v>
      </c>
      <c r="P28" s="252">
        <f t="shared" si="11"/>
        <v>13153.201839700832</v>
      </c>
      <c r="Q28" s="329">
        <f t="shared" si="12"/>
        <v>16153.201839700832</v>
      </c>
      <c r="R28" s="298">
        <f t="shared" si="13"/>
        <v>4.3600000000000003</v>
      </c>
      <c r="S28" s="46"/>
      <c r="T28" s="9"/>
      <c r="W28" s="4"/>
    </row>
    <row r="29" spans="2:24" ht="17.399999999999999" x14ac:dyDescent="0.3">
      <c r="B29" s="326">
        <v>2</v>
      </c>
      <c r="C29" s="326" t="s">
        <v>177</v>
      </c>
      <c r="D29" s="327">
        <v>0.495</v>
      </c>
      <c r="E29" s="327">
        <v>0.30499999999999999</v>
      </c>
      <c r="F29" s="326" t="s">
        <v>175</v>
      </c>
      <c r="G29" s="328">
        <v>16153</v>
      </c>
      <c r="H29" s="328">
        <f t="shared" si="14"/>
        <v>32306</v>
      </c>
      <c r="I29" s="265"/>
      <c r="J29" s="47"/>
      <c r="K29" s="332">
        <f t="shared" si="15"/>
        <v>2</v>
      </c>
      <c r="L29" s="39">
        <f t="shared" si="7"/>
        <v>0.54500000000000004</v>
      </c>
      <c r="M29" s="39">
        <f t="shared" si="8"/>
        <v>0.38500000000000001</v>
      </c>
      <c r="N29" s="261">
        <f t="shared" si="9"/>
        <v>0.20982500000000001</v>
      </c>
      <c r="O29" s="259">
        <f t="shared" si="10"/>
        <v>0.41965000000000002</v>
      </c>
      <c r="P29" s="252">
        <f t="shared" si="11"/>
        <v>13153.201839700832</v>
      </c>
      <c r="Q29" s="329">
        <f t="shared" si="12"/>
        <v>16153.201839700832</v>
      </c>
      <c r="R29" s="298">
        <f t="shared" si="13"/>
        <v>2.1800000000000002</v>
      </c>
      <c r="S29" s="46"/>
      <c r="T29" s="9"/>
      <c r="W29" s="4"/>
    </row>
    <row r="30" spans="2:24" ht="17.399999999999999" x14ac:dyDescent="0.3">
      <c r="B30" s="326">
        <v>6</v>
      </c>
      <c r="C30" s="326" t="s">
        <v>177</v>
      </c>
      <c r="D30" s="327">
        <v>0.69</v>
      </c>
      <c r="E30" s="327">
        <v>0.29499999999999998</v>
      </c>
      <c r="F30" s="326" t="s">
        <v>175</v>
      </c>
      <c r="G30" s="328">
        <v>20396</v>
      </c>
      <c r="H30" s="328">
        <f t="shared" si="14"/>
        <v>122376</v>
      </c>
      <c r="I30" s="265"/>
      <c r="J30" s="47"/>
      <c r="K30" s="332">
        <f t="shared" si="15"/>
        <v>6</v>
      </c>
      <c r="L30" s="39">
        <f t="shared" si="7"/>
        <v>0.74</v>
      </c>
      <c r="M30" s="39">
        <f t="shared" si="8"/>
        <v>0.375</v>
      </c>
      <c r="N30" s="261">
        <f t="shared" si="9"/>
        <v>0.27749999999999997</v>
      </c>
      <c r="O30" s="259">
        <f t="shared" si="10"/>
        <v>1.6649999999999998</v>
      </c>
      <c r="P30" s="252">
        <f t="shared" si="11"/>
        <v>17395.512977562161</v>
      </c>
      <c r="Q30" s="329">
        <f t="shared" si="12"/>
        <v>20395.512977562161</v>
      </c>
      <c r="R30" s="298">
        <f t="shared" si="13"/>
        <v>8.879999999999999</v>
      </c>
      <c r="S30" s="46"/>
      <c r="T30" s="9"/>
      <c r="W30" s="4"/>
    </row>
    <row r="31" spans="2:24" ht="17.399999999999999" x14ac:dyDescent="0.3">
      <c r="B31" s="326">
        <v>4</v>
      </c>
      <c r="C31" s="326" t="s">
        <v>178</v>
      </c>
      <c r="D31" s="327">
        <v>0.17199999999999999</v>
      </c>
      <c r="E31" s="327">
        <v>0.495</v>
      </c>
      <c r="F31" s="326" t="s">
        <v>175</v>
      </c>
      <c r="G31" s="328">
        <v>11002</v>
      </c>
      <c r="H31" s="328">
        <f t="shared" si="14"/>
        <v>44008</v>
      </c>
      <c r="I31" s="265"/>
      <c r="J31" s="47"/>
      <c r="K31" s="330">
        <f t="shared" si="15"/>
        <v>4</v>
      </c>
      <c r="L31" s="39">
        <f t="shared" si="7"/>
        <v>0.22199999999999998</v>
      </c>
      <c r="M31" s="39">
        <f t="shared" si="8"/>
        <v>0.57499999999999996</v>
      </c>
      <c r="N31" s="261">
        <f t="shared" si="9"/>
        <v>0.12764999999999999</v>
      </c>
      <c r="O31" s="259">
        <f t="shared" si="10"/>
        <v>0.51059999999999994</v>
      </c>
      <c r="P31" s="252">
        <f t="shared" si="11"/>
        <v>8001.9359696785941</v>
      </c>
      <c r="Q31" s="329">
        <f t="shared" si="12"/>
        <v>11001.935969678594</v>
      </c>
      <c r="R31" s="298">
        <f t="shared" si="13"/>
        <v>1.7759999999999998</v>
      </c>
      <c r="S31" s="46"/>
      <c r="T31" s="9"/>
      <c r="W31" s="4"/>
    </row>
    <row r="32" spans="2:24" ht="17.399999999999999" x14ac:dyDescent="0.3">
      <c r="B32" s="286"/>
      <c r="C32" s="286"/>
      <c r="D32" s="287"/>
      <c r="E32" s="287"/>
      <c r="F32" s="286"/>
      <c r="G32" s="331"/>
      <c r="H32" s="331"/>
      <c r="I32" s="265"/>
      <c r="J32" s="47"/>
      <c r="K32" s="330"/>
      <c r="L32" s="39"/>
      <c r="M32" s="39"/>
      <c r="N32" s="261"/>
      <c r="O32" s="259"/>
      <c r="P32" s="252"/>
      <c r="Q32" s="329"/>
      <c r="R32" s="298">
        <f t="shared" ref="R32" si="23">L32*K32*2</f>
        <v>0</v>
      </c>
      <c r="S32" s="46"/>
      <c r="T32" s="9"/>
      <c r="W32" s="4"/>
    </row>
    <row r="33" spans="2:23" ht="18" thickBot="1" x14ac:dyDescent="0.35">
      <c r="B33" s="286"/>
      <c r="C33" s="286"/>
      <c r="D33" s="287"/>
      <c r="E33" s="287"/>
      <c r="F33" s="286"/>
      <c r="G33" s="265"/>
      <c r="H33" s="233"/>
      <c r="I33" s="233"/>
      <c r="J33" s="47"/>
      <c r="K33" s="47"/>
      <c r="L33" s="39"/>
      <c r="M33" s="39"/>
      <c r="N33" s="261">
        <v>0</v>
      </c>
      <c r="O33" s="259"/>
      <c r="P33" s="252"/>
      <c r="Q33" s="258"/>
      <c r="R33" s="298"/>
      <c r="S33" s="14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299" t="s">
        <v>29</v>
      </c>
      <c r="H34" s="300">
        <f>SUM(H21:H33)</f>
        <v>925988</v>
      </c>
      <c r="I34" s="265"/>
      <c r="J34" s="47"/>
      <c r="K34" s="47"/>
      <c r="L34" s="39">
        <f>SUM(L21:L33)</f>
        <v>9.1920000000000002</v>
      </c>
      <c r="M34" s="39"/>
      <c r="N34" s="261"/>
      <c r="O34" s="259"/>
      <c r="P34" s="252"/>
      <c r="Q34" s="258"/>
      <c r="R34" s="298"/>
      <c r="S34" s="46">
        <f>SUM(S21:S33)</f>
        <v>0</v>
      </c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297" t="s">
        <v>52</v>
      </c>
      <c r="H35" s="295"/>
      <c r="I35" s="265"/>
      <c r="J35" s="47"/>
      <c r="K35" s="47"/>
      <c r="L35" s="39"/>
      <c r="M35" s="12"/>
      <c r="N35" s="12"/>
      <c r="O35" s="253">
        <f>SUM(O21:O32)</f>
        <v>8.1625499999999995</v>
      </c>
      <c r="P35" s="14"/>
      <c r="Q35" s="12"/>
      <c r="R35" s="239"/>
      <c r="S35" s="46">
        <f>S34*20%</f>
        <v>0</v>
      </c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296">
        <f>H34+H35</f>
        <v>925988</v>
      </c>
      <c r="I36" s="265"/>
      <c r="J36" s="47"/>
      <c r="K36" s="47"/>
      <c r="L36" s="39"/>
      <c r="M36" s="12"/>
      <c r="N36" s="12"/>
      <c r="O36" s="253">
        <f>O35</f>
        <v>8.1625499999999995</v>
      </c>
      <c r="P36" s="14"/>
      <c r="Q36" s="12"/>
      <c r="R36" s="239">
        <f>SUM(R21:R35)</f>
        <v>37.23599999999999</v>
      </c>
      <c r="S36" s="46">
        <f>S34+S35</f>
        <v>0</v>
      </c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I37" s="265"/>
      <c r="J37" s="47">
        <v>147074</v>
      </c>
      <c r="K37" s="47"/>
      <c r="L37" s="14"/>
      <c r="M37" s="12"/>
      <c r="N37" s="12"/>
      <c r="O37" s="39">
        <f>O36*20%</f>
        <v>1.6325099999999999</v>
      </c>
      <c r="P37" s="39" t="s">
        <v>131</v>
      </c>
      <c r="Q37" s="42"/>
      <c r="R37" s="240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47">
        <v>33749</v>
      </c>
      <c r="K38" s="47"/>
      <c r="L38" s="14"/>
      <c r="M38" s="12"/>
      <c r="N38" s="12"/>
      <c r="O38" s="46">
        <f>O36+O37</f>
        <v>9.7950599999999994</v>
      </c>
      <c r="P38" s="14"/>
      <c r="Q38" s="14"/>
      <c r="R38" s="238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3"/>
      <c r="F39" s="234"/>
      <c r="G39" s="230"/>
      <c r="H39" s="275"/>
      <c r="I39" s="265"/>
      <c r="J39" s="47">
        <v>94650</v>
      </c>
      <c r="K39" s="47"/>
      <c r="L39" s="14"/>
      <c r="M39" s="14"/>
      <c r="N39" s="14"/>
      <c r="O39" s="14"/>
      <c r="P39" s="14"/>
      <c r="Q39" s="14"/>
      <c r="R39" s="238"/>
      <c r="S39" s="14"/>
      <c r="T39" s="305" t="s">
        <v>22</v>
      </c>
      <c r="U39" s="302" t="s">
        <v>152</v>
      </c>
      <c r="V39" s="306">
        <v>44971</v>
      </c>
      <c r="W39" s="307"/>
    </row>
    <row r="40" spans="2:23" ht="17.399999999999999" x14ac:dyDescent="0.35">
      <c r="B40" s="235"/>
      <c r="C40" s="236"/>
      <c r="D40" s="237"/>
      <c r="E40" s="235"/>
      <c r="F40" s="230"/>
      <c r="G40" s="230"/>
      <c r="I40" s="265"/>
      <c r="J40" s="47">
        <f>SUM(J37:J39)</f>
        <v>275473</v>
      </c>
      <c r="K40" s="47"/>
      <c r="L40" s="39">
        <f>O38</f>
        <v>9.7950599999999994</v>
      </c>
      <c r="M40" s="12">
        <v>3500</v>
      </c>
      <c r="N40" s="12">
        <f t="shared" ref="N40:N43" si="24">L40*M40</f>
        <v>34282.71</v>
      </c>
      <c r="O40" s="14" t="s">
        <v>22</v>
      </c>
      <c r="P40" s="14"/>
      <c r="Q40" s="14"/>
      <c r="R40" s="241"/>
      <c r="S40" s="14"/>
      <c r="T40" s="305" t="s">
        <v>153</v>
      </c>
      <c r="U40" s="302">
        <v>3625</v>
      </c>
      <c r="V40" s="59" t="s">
        <v>154</v>
      </c>
      <c r="W40" s="307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2.7</v>
      </c>
      <c r="M41" s="12">
        <v>45000</v>
      </c>
      <c r="N41" s="12">
        <f t="shared" si="24"/>
        <v>121500.00000000001</v>
      </c>
      <c r="O41" s="39" t="s">
        <v>32</v>
      </c>
      <c r="P41" s="42"/>
      <c r="Q41" s="14"/>
      <c r="R41" s="240"/>
      <c r="S41" s="14"/>
      <c r="T41" s="305"/>
      <c r="U41" s="59">
        <v>906.25</v>
      </c>
      <c r="V41" s="59" t="s">
        <v>155</v>
      </c>
      <c r="W41" s="307"/>
    </row>
    <row r="42" spans="2:23" s="230" customFormat="1" ht="17.399999999999999" x14ac:dyDescent="0.35">
      <c r="I42" s="262"/>
      <c r="J42" s="232"/>
      <c r="K42" s="250"/>
      <c r="L42" s="14"/>
      <c r="M42" s="250">
        <v>61860</v>
      </c>
      <c r="N42" s="12">
        <f t="shared" si="24"/>
        <v>0</v>
      </c>
      <c r="O42" s="39" t="s">
        <v>31</v>
      </c>
      <c r="P42" s="42"/>
      <c r="R42" s="240"/>
      <c r="S42" s="256"/>
      <c r="T42" s="59"/>
      <c r="U42" s="59">
        <f>U41*20%</f>
        <v>181.25</v>
      </c>
      <c r="V42" s="307" t="s">
        <v>156</v>
      </c>
      <c r="W42" s="59"/>
    </row>
    <row r="43" spans="2:23" s="230" customFormat="1" ht="17.399999999999999" x14ac:dyDescent="0.35">
      <c r="B43" s="24" t="s">
        <v>151</v>
      </c>
      <c r="I43" s="262"/>
      <c r="J43" s="232"/>
      <c r="K43" s="250"/>
      <c r="L43" s="14">
        <v>3.2</v>
      </c>
      <c r="M43" s="250">
        <v>24000</v>
      </c>
      <c r="N43" s="12">
        <f t="shared" si="24"/>
        <v>76800</v>
      </c>
      <c r="O43" s="14" t="s">
        <v>171</v>
      </c>
      <c r="P43" s="17"/>
      <c r="R43" s="238"/>
      <c r="S43" s="256"/>
      <c r="T43" s="59"/>
      <c r="U43" s="59">
        <f>U41+U42</f>
        <v>1087.5</v>
      </c>
      <c r="V43" s="307" t="s">
        <v>157</v>
      </c>
      <c r="W43" s="59"/>
    </row>
    <row r="44" spans="2:23" s="230" customFormat="1" ht="17.399999999999999" x14ac:dyDescent="0.35">
      <c r="B44" s="24" t="s">
        <v>144</v>
      </c>
      <c r="C44"/>
      <c r="D44"/>
      <c r="E44"/>
      <c r="F44"/>
      <c r="I44" s="262"/>
      <c r="J44" s="230">
        <v>27000</v>
      </c>
      <c r="K44" s="250"/>
      <c r="L44" s="249"/>
      <c r="M44" s="250">
        <v>300</v>
      </c>
      <c r="N44" s="12">
        <f>L44*M44</f>
        <v>0</v>
      </c>
      <c r="O44" s="14" t="s">
        <v>33</v>
      </c>
      <c r="P44" s="14"/>
      <c r="Q44" s="230">
        <v>1.52</v>
      </c>
      <c r="R44" s="238"/>
      <c r="S44" s="238"/>
    </row>
    <row r="45" spans="2:23" s="230" customFormat="1" ht="17.399999999999999" x14ac:dyDescent="0.35">
      <c r="B45" s="29" t="s">
        <v>126</v>
      </c>
      <c r="C45"/>
      <c r="D45"/>
      <c r="E45"/>
      <c r="F45" s="229" t="s">
        <v>16</v>
      </c>
      <c r="I45" s="294"/>
      <c r="J45" s="230">
        <f>J44*19%</f>
        <v>5130</v>
      </c>
      <c r="K45" s="250"/>
      <c r="L45" s="266"/>
      <c r="M45" s="12">
        <v>1500</v>
      </c>
      <c r="N45" s="12">
        <f>L45*M45</f>
        <v>0</v>
      </c>
      <c r="O45" s="14" t="s">
        <v>23</v>
      </c>
      <c r="P45" s="14"/>
      <c r="Q45">
        <v>2.44</v>
      </c>
      <c r="R45"/>
      <c r="S45" s="238"/>
      <c r="W45" s="231"/>
    </row>
    <row r="46" spans="2:23" s="230" customFormat="1" ht="17.399999999999999" x14ac:dyDescent="0.35">
      <c r="I46" s="230" t="s">
        <v>168</v>
      </c>
      <c r="J46" s="230">
        <f>J44+J45</f>
        <v>32130</v>
      </c>
      <c r="K46" s="250"/>
      <c r="L46" s="14"/>
      <c r="M46" s="12"/>
      <c r="N46" s="12">
        <f>SUM(N40:N45)</f>
        <v>232582.71000000002</v>
      </c>
      <c r="O46" s="39" t="s">
        <v>24</v>
      </c>
      <c r="P46" s="14"/>
      <c r="Q46">
        <f>Q44*Q45</f>
        <v>3.7088000000000001</v>
      </c>
      <c r="R46"/>
      <c r="S46" s="238"/>
      <c r="W46" s="231"/>
    </row>
    <row r="47" spans="2:23" s="230" customFormat="1" ht="17.399999999999999" x14ac:dyDescent="0.35">
      <c r="K47" s="250"/>
      <c r="L47" s="254" t="s">
        <v>34</v>
      </c>
      <c r="M47" s="12"/>
      <c r="N47" s="255">
        <f>N46*2.2</f>
        <v>511681.96200000012</v>
      </c>
      <c r="O47" s="14" t="s">
        <v>141</v>
      </c>
      <c r="P47" s="14"/>
      <c r="Q47" s="40">
        <f>O38/Q46</f>
        <v>2.6410321397756684</v>
      </c>
      <c r="R47"/>
      <c r="S47" s="257"/>
    </row>
    <row r="48" spans="2:23" s="230" customFormat="1" ht="17.399999999999999" x14ac:dyDescent="0.35">
      <c r="G48"/>
      <c r="H48" s="260"/>
      <c r="I48" s="230" t="s">
        <v>167</v>
      </c>
      <c r="J48" s="230">
        <v>23560</v>
      </c>
      <c r="K48" s="250">
        <v>0</v>
      </c>
      <c r="L48" s="14"/>
      <c r="M48" s="12"/>
      <c r="N48" s="12">
        <f>N47/O36</f>
        <v>62686.533252476263</v>
      </c>
      <c r="O48" s="45" t="s">
        <v>25</v>
      </c>
      <c r="P48" s="14"/>
      <c r="Q48" s="14"/>
      <c r="R48"/>
      <c r="S48" s="238"/>
      <c r="T48" s="59" t="s">
        <v>158</v>
      </c>
      <c r="U48" s="302">
        <v>43650</v>
      </c>
    </row>
    <row r="49" spans="2:22" s="230" customFormat="1" ht="17.399999999999999" x14ac:dyDescent="0.35">
      <c r="G49"/>
      <c r="J49" s="230">
        <f>J48/1.19</f>
        <v>19798.319327731093</v>
      </c>
      <c r="K49" s="250"/>
      <c r="L49" s="13"/>
      <c r="M49" s="14"/>
      <c r="N49" s="17">
        <f>N47/N46</f>
        <v>2.2000000000000002</v>
      </c>
      <c r="O49" s="15"/>
      <c r="P49"/>
      <c r="Q49"/>
      <c r="R49"/>
      <c r="S49" s="238"/>
      <c r="T49" s="59" t="s">
        <v>160</v>
      </c>
      <c r="U49" s="303" t="s">
        <v>159</v>
      </c>
      <c r="V49" s="59">
        <v>2.4</v>
      </c>
    </row>
    <row r="50" spans="2:22" s="230" customFormat="1" ht="17.399999999999999" x14ac:dyDescent="0.35">
      <c r="G50" s="23"/>
      <c r="K50" s="12"/>
      <c r="S50" s="238"/>
      <c r="T50" s="59" t="s">
        <v>161</v>
      </c>
      <c r="U50" s="304">
        <v>395.37</v>
      </c>
    </row>
    <row r="51" spans="2:22" s="230" customFormat="1" ht="17.399999999999999" x14ac:dyDescent="0.35">
      <c r="B51"/>
      <c r="C51" s="228"/>
      <c r="D51" s="22"/>
      <c r="E51" s="22"/>
      <c r="F51" s="21"/>
      <c r="G51" s="23"/>
      <c r="I51" s="230" t="s">
        <v>169</v>
      </c>
      <c r="K51" s="12"/>
      <c r="S51" s="238"/>
      <c r="T51" s="59" t="s">
        <v>156</v>
      </c>
      <c r="U51" s="59">
        <v>474.45</v>
      </c>
    </row>
    <row r="52" spans="2:22" ht="14.4" customHeight="1" x14ac:dyDescent="0.3">
      <c r="I52" t="s">
        <v>170</v>
      </c>
      <c r="J52">
        <v>8990</v>
      </c>
      <c r="K52" s="12"/>
      <c r="T52" s="59"/>
      <c r="U52" s="59"/>
    </row>
    <row r="53" spans="2:22" x14ac:dyDescent="0.3">
      <c r="K53" s="250"/>
    </row>
    <row r="54" spans="2:22" x14ac:dyDescent="0.3">
      <c r="I54">
        <v>46850</v>
      </c>
      <c r="K54" s="250"/>
      <c r="S54" s="270"/>
    </row>
    <row r="55" spans="2:22" x14ac:dyDescent="0.3">
      <c r="K55" s="250"/>
    </row>
    <row r="56" spans="2:22" ht="15" customHeight="1" x14ac:dyDescent="0.3">
      <c r="I56">
        <f>I54/1.19</f>
        <v>39369.747899159665</v>
      </c>
    </row>
    <row r="58" spans="2:22" x14ac:dyDescent="0.3">
      <c r="N58">
        <v>40935</v>
      </c>
      <c r="O58" t="s">
        <v>17</v>
      </c>
      <c r="P58" t="s">
        <v>27</v>
      </c>
    </row>
    <row r="60" spans="2:22" x14ac:dyDescent="0.3">
      <c r="N60" s="54"/>
      <c r="O60" s="54"/>
    </row>
    <row r="61" spans="2:22" x14ac:dyDescent="0.3">
      <c r="R61" s="18"/>
      <c r="S61" s="18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148</v>
      </c>
    </row>
    <row r="84" spans="3:3" x14ac:dyDescent="0.3">
      <c r="C84" t="s">
        <v>147</v>
      </c>
    </row>
    <row r="87" spans="3:3" x14ac:dyDescent="0.3">
      <c r="C87" t="s">
        <v>147</v>
      </c>
    </row>
    <row r="164" spans="3:3" x14ac:dyDescent="0.3">
      <c r="C164" t="s">
        <v>147</v>
      </c>
    </row>
    <row r="165" spans="3:3" x14ac:dyDescent="0.3">
      <c r="C165" t="s">
        <v>149</v>
      </c>
    </row>
    <row r="166" spans="3:3" x14ac:dyDescent="0.3">
      <c r="C166" t="s">
        <v>150</v>
      </c>
    </row>
    <row r="591" spans="3:3" x14ac:dyDescent="0.3">
      <c r="C591" t="s">
        <v>147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45782</v>
      </c>
    </row>
    <row r="6" spans="2:31" ht="16.2" thickBot="1" x14ac:dyDescent="0.35">
      <c r="B6" s="140" t="s">
        <v>2</v>
      </c>
      <c r="C6" s="139" t="str">
        <f>'2229'!C10</f>
        <v>LEONARDO ALFARES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11419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-103286.71311678745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'2229'!H34</f>
        <v>925988</v>
      </c>
      <c r="E11" s="132">
        <f>D11*0.19</f>
        <v>175937.72</v>
      </c>
      <c r="F11" s="131">
        <f>E11+D11</f>
        <v>1101925.72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2703.2868832125532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185616.80078743963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-15296.713116787447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740371.19921256043</v>
      </c>
      <c r="E13" s="221">
        <f>(D11/D12)-1</f>
        <v>3.9887078975162469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-24296.713116787447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-63296.713116787447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306267.72129927535</v>
      </c>
      <c r="F15" s="216">
        <f>E15-D12</f>
        <v>120650.92051183572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-63296.713116787447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-23296.713116787447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'2229'!N41</f>
        <v>121500.00000000001</v>
      </c>
      <c r="E19" s="123">
        <f>D19*0.19</f>
        <v>23085.000000000004</v>
      </c>
      <c r="F19" s="120">
        <f>SUM(D19:E19)</f>
        <v>144585.00000000003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34282.71</v>
      </c>
      <c r="E20" s="121">
        <f>D20*0.19</f>
        <v>6513.7148999999999</v>
      </c>
      <c r="F20" s="120">
        <f>SUM(D20:E20)</f>
        <v>40796.424899999998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155782.71000000002</v>
      </c>
      <c r="E21" s="116">
        <f>SUM(E18:E20)</f>
        <v>29598.714900000003</v>
      </c>
      <c r="F21" s="115">
        <f>SUM(F18:F20)</f>
        <v>185381.42490000004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146339.00510000001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925988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155782.71000000002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740371.19921256043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740371.19921256043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2025-05-05T20:20:29Z</cp:lastPrinted>
  <dcterms:created xsi:type="dcterms:W3CDTF">2013-03-18T13:35:42Z</dcterms:created>
  <dcterms:modified xsi:type="dcterms:W3CDTF">2025-05-07T21:57:32Z</dcterms:modified>
</cp:coreProperties>
</file>