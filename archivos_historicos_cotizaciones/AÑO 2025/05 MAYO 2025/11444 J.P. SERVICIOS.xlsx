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D0744880-358A-48B3-A6F8-78CDD445E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0" i="1"/>
  <c r="H29" i="1"/>
  <c r="H28" i="1"/>
  <c r="L28" i="1"/>
  <c r="M28" i="1"/>
  <c r="N28" i="1"/>
  <c r="O28" i="1"/>
  <c r="P28" i="1" s="1"/>
  <c r="L29" i="1"/>
  <c r="M29" i="1"/>
  <c r="N29" i="1"/>
  <c r="O29" i="1" s="1"/>
  <c r="P29" i="1" s="1"/>
  <c r="L30" i="1"/>
  <c r="M30" i="1"/>
  <c r="O30" i="1" s="1"/>
  <c r="P30" i="1" s="1"/>
  <c r="N30" i="1"/>
  <c r="H27" i="1"/>
  <c r="H26" i="1"/>
  <c r="H25" i="1"/>
  <c r="M25" i="1"/>
  <c r="N25" i="1"/>
  <c r="O25" i="1"/>
  <c r="P25" i="1" s="1"/>
  <c r="S25" i="1"/>
  <c r="M26" i="1"/>
  <c r="N26" i="1"/>
  <c r="O26" i="1"/>
  <c r="P26" i="1" s="1"/>
  <c r="S26" i="1"/>
  <c r="M27" i="1"/>
  <c r="N27" i="1"/>
  <c r="O27" i="1"/>
  <c r="P27" i="1" s="1"/>
  <c r="S27" i="1"/>
  <c r="H23" i="1"/>
  <c r="H24" i="1"/>
  <c r="S22" i="1"/>
  <c r="S23" i="1"/>
  <c r="S24" i="1"/>
  <c r="S21" i="1"/>
  <c r="M23" i="1"/>
  <c r="N23" i="1"/>
  <c r="O23" i="1"/>
  <c r="P23" i="1" s="1"/>
  <c r="M24" i="1"/>
  <c r="O24" i="1" s="1"/>
  <c r="P24" i="1" s="1"/>
  <c r="N24" i="1"/>
  <c r="M22" i="1"/>
  <c r="N22" i="1"/>
  <c r="H22" i="1"/>
  <c r="N21" i="1"/>
  <c r="T21" i="1" s="1"/>
  <c r="T22" i="1" l="1"/>
  <c r="T33" i="1" s="1"/>
  <c r="O22" i="1"/>
  <c r="P22" i="1" s="1"/>
  <c r="M21" i="1"/>
  <c r="M34" i="1" l="1"/>
  <c r="S34" i="1"/>
  <c r="S36" i="1" s="1"/>
  <c r="O21" i="1"/>
  <c r="P21" i="1" s="1"/>
  <c r="P34" i="1" s="1"/>
  <c r="K48" i="1"/>
  <c r="S37" i="1" l="1"/>
  <c r="S38" i="1" s="1"/>
  <c r="V41" i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O47" i="1" l="1"/>
  <c r="D20" i="3"/>
  <c r="E20" i="3" s="1"/>
  <c r="E21" i="3" s="1"/>
  <c r="Q20" i="1" l="1"/>
  <c r="D21" i="3"/>
  <c r="M43" i="3" s="1"/>
  <c r="D12" i="3" s="1"/>
  <c r="F20" i="3"/>
  <c r="F21" i="3" s="1"/>
  <c r="Q29" i="1" l="1"/>
  <c r="R29" i="1" s="1"/>
  <c r="Q30" i="1"/>
  <c r="R30" i="1" s="1"/>
  <c r="Q28" i="1"/>
  <c r="R28" i="1" s="1"/>
  <c r="Q25" i="1"/>
  <c r="R25" i="1" s="1"/>
  <c r="Q26" i="1"/>
  <c r="R26" i="1" s="1"/>
  <c r="Q27" i="1"/>
  <c r="R27" i="1" s="1"/>
  <c r="Q24" i="1"/>
  <c r="R24" i="1" s="1"/>
  <c r="Q23" i="1"/>
  <c r="R23" i="1" s="1"/>
  <c r="Q22" i="1"/>
  <c r="R22" i="1" s="1"/>
  <c r="O48" i="1"/>
  <c r="E15" i="3"/>
  <c r="Q21" i="1" l="1"/>
  <c r="F15" i="3"/>
  <c r="R21" i="1" l="1"/>
  <c r="H21" i="1" l="1"/>
  <c r="H34" i="1" l="1"/>
  <c r="D11" i="3" l="1"/>
  <c r="X9" i="3" s="1"/>
  <c r="X15" i="3" s="1"/>
  <c r="H3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<sst xmlns="http://schemas.openxmlformats.org/spreadsheetml/2006/main" count="250" uniqueCount="178">
  <si>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</si>
  <si>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</si>
  <si>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</si>
  <si>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</si>
  <si>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</si>
  <si>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</si>
  <si>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</si>
  <si>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</si>
  <si>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</si>
  <si>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</si>
  <si>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</si>
  <si>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</si>
  <si>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</si>
  <si>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</si>
  <si>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</si>
  <si>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</si>
  <si>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</si>
  <si>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</si>
  <si>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</si>
  <si>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</si>
  <si>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</si>
  <si>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</si>
  <si>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</si>
  <si>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</si>
  <si>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</si>
  <si>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</si>
  <si>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</si>
  <si>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</si>
  <si>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</si>
  <si>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</si>
  <si>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</si>
  <si>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</si>
  <si>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</si>
  <si>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</si>
  <si>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</si>
  <si>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</si>
  <si>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</si>
  <si>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</si>
  <si>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</si>
  <si>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</si>
  <si>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</si>
  <si>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</si>
  <si>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</si>
  <si>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</si>
  <si>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</si>
  <si>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</si>
  <si>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</si>
  <si>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</si>
  <si>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</si>
  <si>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</si>
  <si>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</si>
  <si>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</si>
  <si>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</si>
  <si>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</si>
  <si>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</si>
  <si>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</si>
  <si>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</si>
  <si>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</si>
  <si>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</si>
  <si>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</si>
  <si>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</si>
  <si>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</si>
  <si>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</si>
  <si>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</si>
  <si>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</si>
  <si>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</si>
  <si>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</si>
  <si>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</si>
  <si>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</si>
  <si>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</si>
  <si>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</si>
  <si>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</si>
  <si>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</si>
  <si>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</si>
  <si>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</si>
  <si>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</si>
  <si>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</si>
  <si>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</si>
  <si>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</si>
  <si>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</si>
  <si>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</si>
  <si>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</si>
  <si>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</si>
  <si>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</si>
  <si>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</si>
  <si>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</si>
  <si>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</si>
  <si>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</si>
  <si>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</si>
  <si>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</si>
  <si>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</si>
  <si>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</si>
  <si>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</si>
  <si>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</si>
  <si>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</si>
  <si>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</si>
  <si>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</si>
  <si>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</si>
  <si>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</si>
  <si>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</si>
  <si>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</si>
  <si>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</si>
  <si>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</si>
  <si>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</si>
  <si>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</si>
  <si>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</si>
  <si>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</si>
  <si>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</si>
  <si>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</si>
  <si>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</si>
  <si>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</si>
  <si>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</si>
  <si>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</si>
  <si>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</si>
  <si>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</si>
  <si>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</si>
  <si>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</si>
  <si>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</si>
  <si>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</si>
  <si>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</si>
  <si>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</si>
  <si>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</si>
  <si>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</si>
  <si>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</si>
  <si>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</si>
  <si>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</si>
  <si>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</si>
  <si>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</si>
  <si>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</si>
  <si>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</si>
  <si>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</si>
  <si>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</si>
  <si>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</si>
  <si>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</si>
  <si>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</si>
  <si>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</si>
  <si>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</si>
  <si>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</si>
  <si>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</si>
  <si>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</si>
  <si>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</si>
  <si>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</si>
  <si>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</si>
  <si>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</si>
  <si>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</si>
  <si>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</si>
  <si>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</si>
  <si>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</si>
  <si>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</si>
  <si>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</si>
  <si>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</si>
  <si>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</si>
  <si>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</si>
  <si>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</si>
  <si>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</si>
  <si>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</si>
  <si>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</si>
  <si>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</si>
  <si>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</si>
  <si>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</si>
  <si>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</si>
  <si>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</si>
  <si>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</si>
  <si>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</si>
  <si>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</si>
  <si>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</si>
  <si>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</si>
  <si>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</si>
  <si>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11444</t>
  </si>
  <si>
    <t>J.P. SERVICIOS SPA</t>
  </si>
  <si>
    <t>78.008.476-6</t>
  </si>
  <si>
    <t>JORGE PAINIQUEO</t>
  </si>
  <si>
    <t>+569 5401 6253</t>
  </si>
  <si>
    <t>EL LIBANO 3388 MACUL</t>
  </si>
  <si>
    <t>CUB CON RESPALDO Y FRENTE 90°</t>
  </si>
  <si>
    <t>WHITE MARBLE 42004 GL</t>
  </si>
  <si>
    <t>LUNAR MARBLE 42004 GL</t>
  </si>
  <si>
    <t>FLORENTINO NEGRO 0519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</si>
</sst>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SOBRED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topLeftCell="A4" zoomScale="93" zoomScaleNormal="93" workbookViewId="0">
      <selection activeCell="A33" sqref="A33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32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169</v>
      </c>
      <c r="D10" s="243"/>
      <c r="E10" s="243"/>
      <c r="F10" s="244" t="s">
        <v>0</v>
      </c>
      <c r="G10" s="276">
        <v>45799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 t="s">
        <v>170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171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172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 t="s">
        <v>173</v>
      </c>
      <c r="D16" s="247"/>
      <c r="E16" s="247"/>
      <c r="F16" s="315" t="s">
        <v>129</v>
      </c>
      <c r="G16" s="316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O47</f>
        <v>50194.629629629628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4">
        <v>1</v>
      </c>
      <c r="C21" s="324" t="s">
        <v>174</v>
      </c>
      <c r="D21" s="325">
        <v>0.78</v>
      </c>
      <c r="E21" s="325">
        <v>0.5</v>
      </c>
      <c r="F21" s="324" t="s">
        <v>175</v>
      </c>
      <c r="G21" s="326">
        <v>22780</v>
      </c>
      <c r="H21" s="326">
        <f>G21*B21</f>
        <v>22780</v>
      </c>
      <c r="I21" s="318"/>
      <c r="J21" s="265"/>
      <c r="K21" s="47"/>
      <c r="L21" s="47"/>
      <c r="M21" s="267">
        <f>D21+M$19</f>
        <v>0.86</v>
      </c>
      <c r="N21" s="267">
        <f>E21+$N$19</f>
        <v>0.5</v>
      </c>
      <c r="O21" s="261">
        <f t="shared" ref="O21" si="0">M21*N21</f>
        <v>0.43</v>
      </c>
      <c r="P21" s="259">
        <f t="shared" ref="P21" si="1">O21*L21</f>
        <v>0</v>
      </c>
      <c r="Q21" s="252">
        <f t="shared" ref="Q21" si="2">Q$20*O21</f>
        <v>21583.690740740738</v>
      </c>
      <c r="R21" s="317">
        <f t="shared" ref="R21" si="3">Q21+R$20</f>
        <v>24583.690740740738</v>
      </c>
      <c r="S21" s="295">
        <f>M21*L21</f>
        <v>0</v>
      </c>
      <c r="T21" s="46">
        <f>N21*2*L21</f>
        <v>0</v>
      </c>
      <c r="U21" s="9"/>
      <c r="X21" s="4"/>
    </row>
    <row r="22" spans="2:25" ht="17.399999999999999" x14ac:dyDescent="0.3">
      <c r="B22" s="324">
        <v>2</v>
      </c>
      <c r="C22" s="324" t="s">
        <v>174</v>
      </c>
      <c r="D22" s="325">
        <v>0.8</v>
      </c>
      <c r="E22" s="325">
        <v>0.5</v>
      </c>
      <c r="F22" s="324" t="s">
        <v>175</v>
      </c>
      <c r="G22" s="326">
        <v>23310</v>
      </c>
      <c r="H22" s="326">
        <f>G22*B22</f>
        <v>46620</v>
      </c>
      <c r="I22" s="318"/>
      <c r="J22" s="265"/>
      <c r="K22" s="47"/>
      <c r="L22" s="47"/>
      <c r="M22" s="267">
        <f>D22+M$19</f>
        <v>0.88</v>
      </c>
      <c r="N22" s="267">
        <f>E22+$N$19</f>
        <v>0.5</v>
      </c>
      <c r="O22" s="261">
        <f t="shared" ref="O22" si="4">M22*N22</f>
        <v>0.44</v>
      </c>
      <c r="P22" s="259">
        <f t="shared" ref="P22" si="5">O22*L22</f>
        <v>0</v>
      </c>
      <c r="Q22" s="252">
        <f t="shared" ref="Q22" si="6">Q$20*O22</f>
        <v>22085.637037037035</v>
      </c>
      <c r="R22" s="317">
        <f t="shared" ref="R22" si="7">Q22+R$20</f>
        <v>25085.637037037035</v>
      </c>
      <c r="S22" s="295">
        <f t="shared" ref="S22:S24" si="8">M22*L22</f>
        <v>0</v>
      </c>
      <c r="T22" s="46">
        <f t="shared" ref="T22" si="9">N22*2*L22</f>
        <v>0</v>
      </c>
      <c r="U22" s="9"/>
      <c r="X22" s="4"/>
    </row>
    <row r="23" spans="2:25" ht="17.399999999999999" x14ac:dyDescent="0.3">
      <c r="B23" s="324">
        <v>2</v>
      </c>
      <c r="C23" s="324" t="s">
        <v>174</v>
      </c>
      <c r="D23" s="325">
        <v>1</v>
      </c>
      <c r="E23" s="325">
        <v>0.5</v>
      </c>
      <c r="F23" s="324" t="s">
        <v>175</v>
      </c>
      <c r="G23" s="326">
        <v>28607</v>
      </c>
      <c r="H23" s="326">
        <f t="shared" ref="H23:H30" si="10">G23*B23</f>
        <v>57214</v>
      </c>
      <c r="I23" s="318"/>
      <c r="J23" s="265"/>
      <c r="K23" s="47"/>
      <c r="L23" s="47"/>
      <c r="M23" s="267">
        <f t="shared" ref="M23:M27" si="11">D23+M$19</f>
        <v>1.08</v>
      </c>
      <c r="N23" s="267">
        <f t="shared" ref="N23:N24" si="12">E23+$N$19</f>
        <v>0.5</v>
      </c>
      <c r="O23" s="261">
        <f t="shared" ref="O23:O24" si="13">M23*N23</f>
        <v>0.54</v>
      </c>
      <c r="P23" s="259">
        <f t="shared" ref="P23:P24" si="14">O23*L23</f>
        <v>0</v>
      </c>
      <c r="Q23" s="252">
        <f t="shared" ref="Q23:Q24" si="15">Q$20*O23</f>
        <v>27105.100000000002</v>
      </c>
      <c r="R23" s="317">
        <f t="shared" ref="R23:R24" si="16">Q23+R$20</f>
        <v>30105.100000000002</v>
      </c>
      <c r="S23" s="295">
        <f t="shared" si="8"/>
        <v>0</v>
      </c>
      <c r="T23" s="46"/>
      <c r="U23" s="9"/>
      <c r="X23" s="4"/>
    </row>
    <row r="24" spans="2:25" ht="17.399999999999999" x14ac:dyDescent="0.3">
      <c r="B24" s="324">
        <v>2</v>
      </c>
      <c r="C24" s="324" t="s">
        <v>174</v>
      </c>
      <c r="D24" s="325">
        <v>1.2</v>
      </c>
      <c r="E24" s="325">
        <v>0.5</v>
      </c>
      <c r="F24" s="324" t="s">
        <v>175</v>
      </c>
      <c r="G24" s="326">
        <v>33905</v>
      </c>
      <c r="H24" s="326">
        <f t="shared" si="10"/>
        <v>67810</v>
      </c>
      <c r="I24" s="318"/>
      <c r="J24" s="265"/>
      <c r="K24" s="47"/>
      <c r="L24" s="47"/>
      <c r="M24" s="267">
        <f t="shared" si="11"/>
        <v>1.28</v>
      </c>
      <c r="N24" s="267">
        <f t="shared" si="12"/>
        <v>0.5</v>
      </c>
      <c r="O24" s="261">
        <f t="shared" si="13"/>
        <v>0.64</v>
      </c>
      <c r="P24" s="259">
        <f t="shared" si="14"/>
        <v>0</v>
      </c>
      <c r="Q24" s="252">
        <f t="shared" si="15"/>
        <v>32124.562962962962</v>
      </c>
      <c r="R24" s="317">
        <f t="shared" si="16"/>
        <v>35124.562962962962</v>
      </c>
      <c r="S24" s="295">
        <f t="shared" si="8"/>
        <v>0</v>
      </c>
      <c r="T24" s="46"/>
      <c r="U24" s="9"/>
      <c r="X24" s="4"/>
    </row>
    <row r="25" spans="2:25" ht="17.399999999999999" x14ac:dyDescent="0.3">
      <c r="B25" s="324">
        <v>2</v>
      </c>
      <c r="C25" s="324" t="s">
        <v>174</v>
      </c>
      <c r="D25" s="325">
        <v>0.8</v>
      </c>
      <c r="E25" s="325">
        <v>0.5</v>
      </c>
      <c r="F25" s="324" t="s">
        <v>176</v>
      </c>
      <c r="G25" s="326">
        <v>21064</v>
      </c>
      <c r="H25" s="326">
        <f t="shared" si="10"/>
        <v>42128</v>
      </c>
      <c r="I25" s="318"/>
      <c r="J25" s="265"/>
      <c r="K25" s="47"/>
      <c r="L25" s="47"/>
      <c r="M25" s="267">
        <f t="shared" ref="M25:M30" si="17">D25+M$19</f>
        <v>0.88</v>
      </c>
      <c r="N25" s="267">
        <f t="shared" ref="N25:N27" si="18">E25+$N$19</f>
        <v>0.5</v>
      </c>
      <c r="O25" s="261">
        <f t="shared" ref="O25:O27" si="19">M25*N25</f>
        <v>0.44</v>
      </c>
      <c r="P25" s="259">
        <f t="shared" ref="P25:P27" si="20">O25*L25</f>
        <v>0</v>
      </c>
      <c r="Q25" s="252">
        <f t="shared" ref="Q25:Q27" si="21">Q$20*O25</f>
        <v>22085.637037037035</v>
      </c>
      <c r="R25" s="317">
        <f t="shared" ref="R25:R27" si="22">Q25+R$20</f>
        <v>25085.637037037035</v>
      </c>
      <c r="S25" s="295">
        <f t="shared" ref="S25:S27" si="23">M25*L25</f>
        <v>0</v>
      </c>
      <c r="T25" s="46"/>
      <c r="U25" s="9"/>
      <c r="X25" s="4"/>
    </row>
    <row r="26" spans="2:25" ht="17.399999999999999" x14ac:dyDescent="0.3">
      <c r="B26" s="324">
        <v>2</v>
      </c>
      <c r="C26" s="324" t="s">
        <v>174</v>
      </c>
      <c r="D26" s="325">
        <v>1</v>
      </c>
      <c r="E26" s="325">
        <v>0.5</v>
      </c>
      <c r="F26" s="324" t="s">
        <v>176</v>
      </c>
      <c r="G26" s="326">
        <v>25851</v>
      </c>
      <c r="H26" s="326">
        <f t="shared" si="10"/>
        <v>51702</v>
      </c>
      <c r="I26" s="318"/>
      <c r="J26" s="265"/>
      <c r="K26" s="47"/>
      <c r="L26" s="47"/>
      <c r="M26" s="267">
        <f t="shared" si="17"/>
        <v>1.08</v>
      </c>
      <c r="N26" s="267">
        <f t="shared" si="18"/>
        <v>0.5</v>
      </c>
      <c r="O26" s="261">
        <f t="shared" si="19"/>
        <v>0.54</v>
      </c>
      <c r="P26" s="259">
        <f t="shared" si="20"/>
        <v>0</v>
      </c>
      <c r="Q26" s="252">
        <f t="shared" si="21"/>
        <v>27105.100000000002</v>
      </c>
      <c r="R26" s="317">
        <f t="shared" si="22"/>
        <v>30105.100000000002</v>
      </c>
      <c r="S26" s="295">
        <f t="shared" si="23"/>
        <v>0</v>
      </c>
      <c r="T26" s="46"/>
      <c r="U26" s="9"/>
      <c r="X26" s="4"/>
    </row>
    <row r="27" spans="2:25" ht="17.399999999999999" x14ac:dyDescent="0.3">
      <c r="B27" s="324">
        <v>2</v>
      </c>
      <c r="C27" s="324" t="s">
        <v>174</v>
      </c>
      <c r="D27" s="325">
        <v>1.2</v>
      </c>
      <c r="E27" s="325">
        <v>0.5</v>
      </c>
      <c r="F27" s="324" t="s">
        <v>176</v>
      </c>
      <c r="G27" s="326">
        <v>30638</v>
      </c>
      <c r="H27" s="326">
        <f t="shared" si="10"/>
        <v>61276</v>
      </c>
      <c r="I27" s="318"/>
      <c r="J27" s="265"/>
      <c r="K27" s="47"/>
      <c r="L27" s="47"/>
      <c r="M27" s="267">
        <f t="shared" si="17"/>
        <v>1.28</v>
      </c>
      <c r="N27" s="267">
        <f t="shared" si="18"/>
        <v>0.5</v>
      </c>
      <c r="O27" s="261">
        <f t="shared" si="19"/>
        <v>0.64</v>
      </c>
      <c r="P27" s="259">
        <f t="shared" si="20"/>
        <v>0</v>
      </c>
      <c r="Q27" s="252">
        <f t="shared" si="21"/>
        <v>32124.562962962962</v>
      </c>
      <c r="R27" s="317">
        <f t="shared" si="22"/>
        <v>35124.562962962962</v>
      </c>
      <c r="S27" s="295">
        <f t="shared" si="23"/>
        <v>0</v>
      </c>
      <c r="T27" s="46"/>
      <c r="U27" s="9"/>
      <c r="X27" s="4"/>
    </row>
    <row r="28" spans="2:25" ht="17.399999999999999" x14ac:dyDescent="0.3">
      <c r="B28" s="324">
        <v>2</v>
      </c>
      <c r="C28" s="324" t="s">
        <v>174</v>
      </c>
      <c r="D28" s="325">
        <v>0.8</v>
      </c>
      <c r="E28" s="325">
        <v>0.5</v>
      </c>
      <c r="F28" s="324" t="s">
        <v>177</v>
      </c>
      <c r="G28" s="326">
        <v>22086</v>
      </c>
      <c r="H28" s="326">
        <f t="shared" si="10"/>
        <v>44172</v>
      </c>
      <c r="I28" s="318"/>
      <c r="J28" s="265"/>
      <c r="K28" s="47"/>
      <c r="L28" s="47">
        <f t="shared" ref="L28:L30" si="24">B28</f>
        <v>2</v>
      </c>
      <c r="M28" s="267">
        <f t="shared" ref="M28:M30" si="25">D28+M$19</f>
        <v>0.88</v>
      </c>
      <c r="N28" s="267">
        <f t="shared" ref="N28:N30" si="26">E28+$N$19</f>
        <v>0.5</v>
      </c>
      <c r="O28" s="261">
        <f t="shared" ref="O28:O30" si="27">M28*N28</f>
        <v>0.44</v>
      </c>
      <c r="P28" s="259">
        <f t="shared" ref="P28:P30" si="28">O28*L28</f>
        <v>0.88</v>
      </c>
      <c r="Q28" s="252">
        <f t="shared" ref="Q28:Q30" si="29">Q$20*O28</f>
        <v>22085.637037037035</v>
      </c>
      <c r="R28" s="317">
        <f t="shared" ref="R28:R30" si="30">Q28+R$20</f>
        <v>25085.637037037035</v>
      </c>
      <c r="S28" s="295"/>
      <c r="T28" s="46"/>
      <c r="U28" s="9"/>
      <c r="X28" s="4"/>
    </row>
    <row r="29" spans="2:25" ht="17.399999999999999" x14ac:dyDescent="0.3">
      <c r="B29" s="324">
        <v>2</v>
      </c>
      <c r="C29" s="324" t="s">
        <v>174</v>
      </c>
      <c r="D29" s="325">
        <v>1</v>
      </c>
      <c r="E29" s="325">
        <v>0.5</v>
      </c>
      <c r="F29" s="324" t="s">
        <v>177</v>
      </c>
      <c r="G29" s="326">
        <v>27105</v>
      </c>
      <c r="H29" s="326">
        <f t="shared" si="10"/>
        <v>54210</v>
      </c>
      <c r="I29" s="318"/>
      <c r="J29" s="265"/>
      <c r="K29" s="47"/>
      <c r="L29" s="47">
        <f t="shared" si="24"/>
        <v>2</v>
      </c>
      <c r="M29" s="267">
        <f t="shared" si="25"/>
        <v>1.08</v>
      </c>
      <c r="N29" s="267">
        <f t="shared" si="26"/>
        <v>0.5</v>
      </c>
      <c r="O29" s="261">
        <f t="shared" si="27"/>
        <v>0.54</v>
      </c>
      <c r="P29" s="259">
        <f t="shared" si="28"/>
        <v>1.08</v>
      </c>
      <c r="Q29" s="252">
        <f t="shared" si="29"/>
        <v>27105.100000000002</v>
      </c>
      <c r="R29" s="317">
        <f t="shared" si="30"/>
        <v>30105.100000000002</v>
      </c>
      <c r="S29" s="295"/>
      <c r="T29" s="46"/>
      <c r="U29" s="9"/>
      <c r="X29" s="4"/>
    </row>
    <row r="30" spans="2:25" ht="17.399999999999999" x14ac:dyDescent="0.3">
      <c r="B30" s="324">
        <v>2</v>
      </c>
      <c r="C30" s="324" t="s">
        <v>174</v>
      </c>
      <c r="D30" s="325">
        <v>1.2</v>
      </c>
      <c r="E30" s="325">
        <v>0.5</v>
      </c>
      <c r="F30" s="324" t="s">
        <v>177</v>
      </c>
      <c r="G30" s="326">
        <v>32125</v>
      </c>
      <c r="H30" s="326">
        <f t="shared" si="10"/>
        <v>64250</v>
      </c>
      <c r="I30" s="318"/>
      <c r="J30" s="265"/>
      <c r="K30" s="47"/>
      <c r="L30" s="47">
        <f t="shared" si="24"/>
        <v>2</v>
      </c>
      <c r="M30" s="267">
        <f t="shared" si="25"/>
        <v>1.28</v>
      </c>
      <c r="N30" s="267">
        <f t="shared" si="26"/>
        <v>0.5</v>
      </c>
      <c r="O30" s="261">
        <f t="shared" si="27"/>
        <v>0.64</v>
      </c>
      <c r="P30" s="259">
        <f t="shared" si="28"/>
        <v>1.28</v>
      </c>
      <c r="Q30" s="252">
        <f t="shared" si="29"/>
        <v>32124.562962962962</v>
      </c>
      <c r="R30" s="317">
        <f t="shared" si="30"/>
        <v>35124.562962962962</v>
      </c>
      <c r="S30" s="295"/>
      <c r="T30" s="46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18"/>
      <c r="H31" s="318"/>
      <c r="I31" s="318"/>
      <c r="J31" s="265"/>
      <c r="K31" s="47"/>
      <c r="L31" s="47"/>
      <c r="M31" s="39"/>
      <c r="N31" s="39"/>
      <c r="O31" s="261"/>
      <c r="P31" s="259"/>
      <c r="Q31" s="252"/>
      <c r="R31" s="317"/>
      <c r="S31" s="295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19"/>
      <c r="I32" s="321"/>
      <c r="J32" s="233"/>
      <c r="K32" s="47"/>
      <c r="L32" s="47"/>
      <c r="M32" s="39"/>
      <c r="N32" s="39"/>
      <c r="O32" s="261"/>
      <c r="P32" s="259"/>
      <c r="Q32" s="252"/>
      <c r="R32" s="258"/>
      <c r="S32" s="295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2" t="s">
        <v>28</v>
      </c>
      <c r="H33" s="323">
        <f>SUM(H21:H32)</f>
        <v>512162</v>
      </c>
      <c r="I33" s="320"/>
      <c r="J33" s="265"/>
      <c r="K33" s="47">
        <v>2600000</v>
      </c>
      <c r="L33" s="47"/>
      <c r="M33" s="39"/>
      <c r="N33" s="39"/>
      <c r="O33" s="261"/>
      <c r="P33" s="259"/>
      <c r="Q33" s="252"/>
      <c r="R33" s="258"/>
      <c r="S33" s="295"/>
      <c r="T33" s="46">
        <f>SUM(T21:T32)</f>
        <v>0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4" t="s">
        <v>51</v>
      </c>
      <c r="H34" s="292">
        <f>H33*19%</f>
        <v>97310.78</v>
      </c>
      <c r="I34" s="320"/>
      <c r="J34" s="265"/>
      <c r="K34" s="47"/>
      <c r="L34" s="47"/>
      <c r="M34" s="39">
        <f>SUM(M21:M22)</f>
        <v>1.74</v>
      </c>
      <c r="N34" s="12"/>
      <c r="O34" s="12"/>
      <c r="P34" s="253">
        <f>SUM(P21:P32)</f>
        <v>3.24</v>
      </c>
      <c r="Q34" s="14"/>
      <c r="R34" s="12"/>
      <c r="S34" s="239">
        <f>SUM(S21:S33)</f>
        <v>0</v>
      </c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3">
        <f>H33+H34</f>
        <v>609472.78</v>
      </c>
      <c r="I35" s="320"/>
      <c r="J35" s="265"/>
      <c r="K35" s="47"/>
      <c r="L35" s="47"/>
      <c r="M35" s="39"/>
      <c r="N35" s="12"/>
      <c r="O35" s="12"/>
      <c r="P35" s="253">
        <f>P34</f>
        <v>3.24</v>
      </c>
      <c r="Q35" s="14"/>
      <c r="R35" s="12"/>
      <c r="S35" s="239"/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0.64800000000000013</v>
      </c>
      <c r="Q36" s="39" t="s">
        <v>130</v>
      </c>
      <c r="R36" s="42"/>
      <c r="S36" s="240">
        <f>S34+T33</f>
        <v>0</v>
      </c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3.8880000000000003</v>
      </c>
      <c r="Q37" s="14"/>
      <c r="R37" s="14"/>
      <c r="S37" s="238">
        <f>S36*20%</f>
        <v>0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>
        <f>S36+S37</f>
        <v>0</v>
      </c>
      <c r="T38" s="14"/>
      <c r="U38" s="300" t="s">
        <v>21</v>
      </c>
      <c r="V38" s="297" t="s">
        <v>152</v>
      </c>
      <c r="W38" s="301">
        <v>44971</v>
      </c>
      <c r="X38" s="302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3.8880000000000003</v>
      </c>
      <c r="N39" s="12">
        <v>3500</v>
      </c>
      <c r="O39" s="12">
        <f t="shared" ref="O39:O44" si="31">M39*N39</f>
        <v>13608.000000000002</v>
      </c>
      <c r="P39" s="14" t="s">
        <v>21</v>
      </c>
      <c r="Q39" s="14"/>
      <c r="R39" s="14"/>
      <c r="S39" s="241"/>
      <c r="T39" s="14"/>
      <c r="U39" s="300" t="s">
        <v>153</v>
      </c>
      <c r="V39" s="297">
        <v>3625</v>
      </c>
      <c r="W39" s="59" t="s">
        <v>154</v>
      </c>
      <c r="X39" s="302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1.05</v>
      </c>
      <c r="N40" s="12">
        <v>23500</v>
      </c>
      <c r="O40" s="12">
        <f t="shared" si="31"/>
        <v>24675</v>
      </c>
      <c r="P40" s="39" t="s">
        <v>31</v>
      </c>
      <c r="Q40" s="42"/>
      <c r="R40" s="14"/>
      <c r="S40" s="240"/>
      <c r="T40" s="14"/>
      <c r="U40" s="300"/>
      <c r="V40" s="59">
        <v>906.25</v>
      </c>
      <c r="W40" s="59" t="s">
        <v>155</v>
      </c>
      <c r="X40" s="302"/>
    </row>
    <row r="41" spans="1:24" s="230" customFormat="1" ht="17.399999999999999" x14ac:dyDescent="0.35">
      <c r="B41" s="24" t="s">
        <v>151</v>
      </c>
      <c r="J41" s="262"/>
      <c r="K41" s="232"/>
      <c r="L41" s="250"/>
      <c r="M41" s="14"/>
      <c r="N41" s="250">
        <v>36000</v>
      </c>
      <c r="O41" s="12">
        <f t="shared" si="31"/>
        <v>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2" t="s">
        <v>156</v>
      </c>
      <c r="X41" s="59"/>
    </row>
    <row r="42" spans="1:24" s="230" customFormat="1" ht="17.399999999999999" x14ac:dyDescent="0.35">
      <c r="B42" s="24" t="s">
        <v>144</v>
      </c>
      <c r="C42"/>
      <c r="D42"/>
      <c r="E42"/>
      <c r="F42"/>
      <c r="J42" s="262"/>
      <c r="K42" s="232"/>
      <c r="L42" s="250"/>
      <c r="M42" s="14">
        <v>1</v>
      </c>
      <c r="N42" s="250">
        <v>25920</v>
      </c>
      <c r="O42" s="12">
        <f t="shared" si="31"/>
        <v>25920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2" t="s">
        <v>157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31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1"/>
      <c r="K44" s="260"/>
      <c r="L44" s="250"/>
      <c r="M44" s="266">
        <v>6.48</v>
      </c>
      <c r="N44" s="12">
        <v>1500</v>
      </c>
      <c r="O44" s="12">
        <f t="shared" si="31"/>
        <v>9720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73923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O45*2.2</f>
        <v>162630.6</v>
      </c>
      <c r="P46" s="14" t="s">
        <v>140</v>
      </c>
      <c r="Q46" s="14"/>
      <c r="R46" s="40">
        <f>P37/R45</f>
        <v>1.0483175150992234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30840</v>
      </c>
      <c r="L47" s="250"/>
      <c r="M47" s="14"/>
      <c r="N47" s="12"/>
      <c r="O47" s="12">
        <f>O46/P35</f>
        <v>50194.629629629628</v>
      </c>
      <c r="P47" s="45" t="s">
        <v>24</v>
      </c>
      <c r="Q47" s="14"/>
      <c r="R47" s="14"/>
      <c r="S47"/>
      <c r="T47" s="238"/>
      <c r="U47" s="59" t="s">
        <v>158</v>
      </c>
      <c r="V47" s="297">
        <v>43650</v>
      </c>
    </row>
    <row r="48" spans="1:24" s="230" customFormat="1" ht="17.399999999999999" x14ac:dyDescent="0.35">
      <c r="G48"/>
      <c r="K48" s="230">
        <f>K47/1.19</f>
        <v>25915.966386554624</v>
      </c>
      <c r="L48" s="250"/>
      <c r="M48" s="13"/>
      <c r="N48" s="14"/>
      <c r="O48" s="17">
        <f>O46/O45</f>
        <v>2.2000000000000002</v>
      </c>
      <c r="P48" s="15"/>
      <c r="Q48"/>
      <c r="R48"/>
      <c r="S48"/>
      <c r="T48" s="238"/>
      <c r="U48" s="59" t="s">
        <v>160</v>
      </c>
      <c r="V48" s="298" t="s">
        <v>159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161</v>
      </c>
      <c r="V49" s="299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156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45799</v>
      </c>
    </row>
    <row r="6" spans="2:31" ht="16.2" thickBot="1" x14ac:dyDescent="0.35">
      <c r="B6" s="140" t="s">
        <v>2</v>
      </c>
      <c r="C6" s="139" t="str">
        <f>'2229'!C10</f>
        <v>J.P.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-66628.133366787442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512162</v>
      </c>
      <c r="E11" s="132">
        <f>D11*0.19</f>
        <v>97310.78</v>
      </c>
      <c r="F11" s="131">
        <f>E11+D11</f>
        <v>609472.78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39361.866633212558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68117.090787439607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21361.866633212558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444044.90921256039</v>
      </c>
      <c r="E13" s="221">
        <f>(D11/D12)-1</f>
        <v>6.5188472390608858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12361.866633212558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-26638.133366787442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112393.19979927535</v>
      </c>
      <c r="F15" s="216">
        <f>E15-D12</f>
        <v>44276.109011835739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-26638.133366787442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13361.866633212558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24675</v>
      </c>
      <c r="E19" s="123">
        <f>D19*0.19</f>
        <v>4688.25</v>
      </c>
      <c r="F19" s="120">
        <f>SUM(D19:E19)</f>
        <v>29363.25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13608.000000000002</v>
      </c>
      <c r="E20" s="121">
        <f>D20*0.19</f>
        <v>2585.5200000000004</v>
      </c>
      <c r="F20" s="120">
        <f>SUM(D20:E20)</f>
        <v>16193.520000000002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38283</v>
      </c>
      <c r="E21" s="116">
        <f>SUM(E18:E20)</f>
        <v>7273.77</v>
      </c>
      <c r="F21" s="115">
        <f>SUM(F18:F20)</f>
        <v>45556.770000000004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90037.01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512162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38283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444044.90921256039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444044.90921256039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2025-05-22T23:13:04Z</dcterms:modified>
</cp:coreProperties>
</file>