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5 MAYO 2025\"/>
    </mc:Choice>
  </mc:AlternateContent>
  <xr:revisionPtr revIDLastSave="0" documentId="13_ncr:1_{F6022E11-DD16-4F9D-BF41-8182EBE76A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31" i="3"/>
  <c r="D27" i="3"/>
  <c r="B32" i="3"/>
  <c r="B31" i="3"/>
  <c r="B24" i="3"/>
  <c r="D24" i="3" s="1"/>
  <c r="B26" i="3"/>
  <c r="D26" i="3" s="1"/>
  <c r="B27" i="3"/>
  <c r="B28" i="3"/>
  <c r="D28" i="3" s="1"/>
  <c r="D30" i="3" s="1"/>
  <c r="B29" i="3"/>
  <c r="D29" i="3" s="1"/>
  <c r="A22" i="3"/>
  <c r="A21" i="3"/>
  <c r="B23" i="3" s="1"/>
  <c r="D23" i="3" s="1"/>
  <c r="A23" i="3"/>
  <c r="B25" i="3" s="1"/>
  <c r="D25" i="3" s="1"/>
  <c r="I29" i="3"/>
  <c r="H20" i="3"/>
  <c r="N17" i="3"/>
  <c r="N18" i="3" s="1"/>
  <c r="H14" i="3"/>
  <c r="H23" i="3"/>
  <c r="C10" i="3"/>
  <c r="H15" i="3"/>
  <c r="H18" i="3"/>
  <c r="H11" i="3"/>
  <c r="C9" i="3"/>
  <c r="H21" i="3" s="1"/>
  <c r="H41" i="3"/>
  <c r="K41" i="3" s="1"/>
  <c r="E33" i="3"/>
  <c r="H38" i="3" s="1"/>
  <c r="O40" i="3"/>
  <c r="O41" i="3" s="1"/>
  <c r="K21" i="1"/>
  <c r="I47" i="1"/>
  <c r="J31" i="1"/>
  <c r="J36" i="1"/>
  <c r="J37" i="1" s="1"/>
  <c r="N34" i="1"/>
  <c r="H30" i="3" l="1"/>
  <c r="H37" i="3"/>
  <c r="H19" i="3"/>
  <c r="H46" i="3"/>
  <c r="H10" i="3"/>
  <c r="H22" i="3"/>
  <c r="H49" i="3"/>
  <c r="H45" i="3"/>
  <c r="H40" i="3"/>
  <c r="K40" i="3" s="1"/>
  <c r="H31" i="3"/>
  <c r="H48" i="3"/>
  <c r="H44" i="3"/>
  <c r="H39" i="3"/>
  <c r="K39" i="3" s="1"/>
  <c r="H47" i="3"/>
  <c r="H43" i="3"/>
  <c r="R22" i="1"/>
  <c r="N33" i="1"/>
  <c r="N35" i="1"/>
  <c r="N36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K21" i="3"/>
  <c r="F24" i="3"/>
  <c r="K22" i="3"/>
  <c r="F25" i="3"/>
  <c r="K23" i="3"/>
  <c r="I25" i="3"/>
  <c r="K25" i="3" s="1"/>
  <c r="F26" i="3"/>
  <c r="K26" i="3"/>
  <c r="F27" i="3"/>
  <c r="K27" i="3"/>
  <c r="F28" i="3"/>
  <c r="K28" i="3"/>
  <c r="F29" i="3"/>
  <c r="K29" i="3"/>
  <c r="F30" i="3"/>
  <c r="K30" i="3"/>
  <c r="F31" i="3"/>
  <c r="K31" i="3"/>
  <c r="K32" i="3"/>
  <c r="K38" i="3"/>
  <c r="K33" i="3"/>
  <c r="K34" i="3"/>
  <c r="K35" i="3"/>
  <c r="K37" i="3" l="1"/>
  <c r="W19" i="3"/>
  <c r="L24" i="3"/>
  <c r="D35" i="3" s="1"/>
  <c r="Y19" i="3"/>
  <c r="Y20" i="3" s="1"/>
  <c r="Y21" i="3" s="1"/>
  <c r="K49" i="3"/>
  <c r="D52" i="3"/>
  <c r="L9" i="3"/>
  <c r="D34" i="3" s="1"/>
  <c r="F23" i="3"/>
  <c r="F32" i="3"/>
  <c r="A32" i="3"/>
  <c r="W20" i="3" l="1"/>
  <c r="W21" i="3" s="1"/>
  <c r="L36" i="3"/>
  <c r="D36" i="3" s="1"/>
  <c r="D38" i="3" s="1"/>
  <c r="M55" i="3" s="1"/>
  <c r="F33" i="3"/>
  <c r="M5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53" i="3" s="1"/>
  <c r="D12" i="3" s="1"/>
  <c r="F20" i="3"/>
  <c r="F21" i="3" s="1"/>
  <c r="N40" i="1" l="1"/>
  <c r="P20" i="1"/>
  <c r="E15" i="3"/>
  <c r="P21" i="1" l="1"/>
  <c r="F15" i="3"/>
  <c r="Q21" i="1" l="1"/>
  <c r="H21" i="1" l="1"/>
  <c r="H25" i="1" s="1"/>
  <c r="H26" i="1" s="1"/>
  <c r="H27" i="1" l="1"/>
  <c r="D11" i="3" l="1"/>
  <c r="X9" i="3" l="1"/>
  <c r="X15" i="3" s="1"/>
  <c r="E13" i="3"/>
  <c r="D13" i="3"/>
  <c r="E11" i="3"/>
  <c r="D50" i="3" s="1"/>
  <c r="M52" i="3"/>
  <c r="M56" i="3" s="1"/>
  <c r="M59" i="3" s="1"/>
  <c r="X14" i="3" l="1"/>
  <c r="X12" i="3"/>
  <c r="X11" i="3"/>
  <c r="X13" i="3"/>
  <c r="X16" i="3"/>
  <c r="F11" i="3"/>
</calcChain>
</file>

<file path=xl/sharedStrings.xml><?xml version="1.0" encoding="utf-8"?>
<sst xmlns="http://schemas.openxmlformats.org/spreadsheetml/2006/main" count="247" uniqueCount="189">
  <si>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</si>
  <si>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</si>
  <si>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</si>
  <si>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</si>
  <si>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</si>
  <si>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</si>
  <si>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</si>
  <si>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</si>
  <si>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</si>
  <si>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</si>
  <si>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</si>
  <si>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</si>
  <si>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</si>
  <si>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</si>
  <si>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</si>
  <si>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</si>
  <si>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</si>
  <si>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</si>
  <si>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</si>
  <si>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</si>
  <si>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</si>
  <si>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</si>
  <si>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</si>
  <si>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</si>
  <si>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</si>
  <si>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</si>
  <si>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</si>
  <si>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</si>
  <si>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</si>
  <si>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</si>
  <si>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</si>
  <si>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</si>
  <si>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</si>
  <si>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</si>
  <si>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</si>
  <si>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</si>
  <si>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</si>
  <si>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</si>
  <si>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</si>
  <si>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</si>
  <si>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</si>
  <si>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</si>
  <si>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</si>
  <si>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</si>
  <si>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</si>
  <si>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</si>
  <si>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</si>
  <si>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</si>
  <si>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</si>
  <si>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</si>
  <si>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</si>
  <si>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</si>
  <si>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</si>
  <si>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</si>
  <si>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</si>
  <si>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</si>
  <si>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</si>
  <si>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</si>
  <si>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</si>
  <si>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</si>
  <si>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</si>
  <si>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</si>
  <si>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</si>
  <si>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</si>
  <si>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</si>
  <si>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</si>
  <si>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</si>
  <si>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POSTFORMADO</t>
  </si>
  <si>
    <t>PEGADO</t>
  </si>
  <si>
    <t>TAG</t>
  </si>
  <si>
    <t>ARMADO</t>
  </si>
  <si>
    <t>TUPIZADO</t>
  </si>
  <si>
    <t>BENCINA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</si>
  <si>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</si>
  <si>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</si>
  <si>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</si>
  <si>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</si>
  <si>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</si>
  <si>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</si>
  <si>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</si>
  <si>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</si>
  <si>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</si>
  <si>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</si>
  <si>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</si>
  <si>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</si>
  <si>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</si>
  <si>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</si>
  <si>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</si>
  <si>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</si>
  <si>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</si>
  <si>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</si>
  <si>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</si>
  <si>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</si>
  <si>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</si>
  <si>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</si>
  <si>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</si>
  <si>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</si>
  <si>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</si>
  <si>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</si>
  <si>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</si>
  <si>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</si>
  <si>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</si>
  <si>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</si>
  <si>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</si>
  <si>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</si>
  <si>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</si>
  <si>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</si>
  <si>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</si>
  <si>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</si>
  <si>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</si>
  <si>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</si>
  <si>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</si>
  <si>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PRECIO</t>
  </si>
  <si>
    <t>$</t>
  </si>
  <si>
    <t>Q/HRS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</si>
  <si>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</si>
  <si>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</si>
  <si>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</si>
  <si>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</si>
  <si>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</si>
  <si>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</si>
  <si>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</si>
  <si>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</si>
  <si>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</si>
  <si>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</si>
  <si>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</si>
  <si>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</si>
  <si>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</si>
  <si>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</si>
  <si>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</si>
  <si>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</si>
  <si>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</si>
  <si>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</si>
  <si>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</si>
  <si>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</si>
  <si>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</si>
  <si>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</si>
  <si>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</si>
  <si>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</si>
  <si>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</si>
  <si>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</si>
  <si>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</si>
  <si>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</si>
  <si>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</si>
  <si>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</si>
  <si>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</si>
  <si>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</si>
  <si>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</si>
  <si>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</si>
  <si>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</si>
  <si>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</si>
  <si>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</si>
  <si>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</si>
  <si>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</si>
  <si>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</si>
  <si>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</si>
  <si>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</si>
  <si>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</si>
  <si>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GRIS NUBE</t>
  </si>
  <si>
    <t>KING</t>
  </si>
  <si>
    <t>MDF 3MM</t>
  </si>
  <si>
    <t>152X244</t>
  </si>
  <si>
    <t>CUBIERTA CON RESPALDO 90°</t>
  </si>
  <si>
    <t>LAMINA 122 X 306</t>
  </si>
  <si>
    <t>5 DIAS HABILES</t>
  </si>
  <si>
    <t>DURACION COTIZACION: 5 DIAS                            FRANCO DONOSO</t>
  </si>
  <si>
    <t>MARI GOMEZ</t>
  </si>
  <si>
    <t>+569 7881 7969</t>
  </si>
  <si>
    <t>BLANCO BR</t>
  </si>
  <si>
    <t>N° 11426</t>
  </si>
  <si>
    <t>VENDEDOR</t>
  </si>
  <si>
    <t>ADMINISTRADOR</t>
  </si>
  <si>
    <t>INTERNET</t>
  </si>
  <si>
    <t>GAS</t>
  </si>
  <si>
    <t>DEPRECIACION MAQUINARIA</t>
  </si>
  <si>
    <t>REPARACION MAQUINARIA</t>
  </si>
  <si>
    <t>GASTOS INDIRECTOS</t>
  </si>
  <si>
    <t>PUBLICIDAD</t>
  </si>
  <si>
    <t>RELBASE</t>
  </si>
  <si>
    <t>WIX</t>
  </si>
  <si>
    <t>BASURA</t>
  </si>
  <si>
    <t>ASEO</t>
  </si>
  <si>
    <t>ML</t>
  </si>
  <si>
    <t>AGUARRAS</t>
  </si>
  <si>
    <t>FILM</t>
  </si>
  <si>
    <t>M.ANCHO</t>
  </si>
  <si>
    <t>EMBALAJE</t>
  </si>
  <si>
    <t>REBAJE LAMINA (R2)</t>
  </si>
  <si>
    <t>DEPRECIACION CAMIONETA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</si>
</sst>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29" xfId="6" applyFont="1" applyFill="1" applyBorder="1"/>
    <xf numFmtId="172" fontId="0" fillId="0" borderId="32" xfId="0" applyNumberFormat="1" applyBorder="1" applyAlignment="1">
      <alignment horizontal="left"/>
    </xf>
    <xf numFmtId="42" fontId="0" fillId="0" borderId="32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5" xfId="0" applyNumberFormat="1" applyBorder="1" applyAlignment="1">
      <alignment horizontal="left"/>
    </xf>
    <xf numFmtId="42" fontId="0" fillId="0" borderId="35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6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4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7" xfId="6" applyFont="1" applyFill="1" applyBorder="1"/>
    <xf numFmtId="0" fontId="8" fillId="0" borderId="4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1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2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5" xfId="0" applyFont="1" applyFill="1" applyBorder="1"/>
    <xf numFmtId="0" fontId="0" fillId="0" borderId="2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9" borderId="46" xfId="0" applyFont="1" applyFill="1" applyBorder="1" applyAlignment="1">
      <alignment horizontal="center"/>
    </xf>
    <xf numFmtId="0" fontId="8" fillId="9" borderId="38" xfId="0" applyFont="1" applyFill="1" applyBorder="1" applyAlignment="1">
      <alignment horizontal="center"/>
    </xf>
    <xf numFmtId="0" fontId="11" fillId="17" borderId="33" xfId="0" applyFont="1" applyFill="1" applyBorder="1" applyAlignment="1">
      <alignment horizontal="center"/>
    </xf>
    <xf numFmtId="164" fontId="0" fillId="0" borderId="1" xfId="5" applyFont="1" applyBorder="1"/>
    <xf numFmtId="164" fontId="0" fillId="0" borderId="32" xfId="5" applyFont="1" applyBorder="1"/>
    <xf numFmtId="174" fontId="0" fillId="0" borderId="35" xfId="5" applyNumberFormat="1" applyFont="1" applyBorder="1"/>
    <xf numFmtId="174" fontId="0" fillId="0" borderId="6" xfId="5" applyNumberFormat="1" applyFont="1" applyBorder="1"/>
    <xf numFmtId="174" fontId="0" fillId="0" borderId="32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7" xfId="0" applyBorder="1" applyAlignment="1">
      <alignment horizontal="center"/>
    </xf>
    <xf numFmtId="42" fontId="0" fillId="0" borderId="44" xfId="6" applyFont="1" applyBorder="1" applyAlignment="1">
      <alignment horizontal="center"/>
    </xf>
    <xf numFmtId="0" fontId="6" fillId="0" borderId="39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5" xfId="0" applyFill="1" applyBorder="1"/>
    <xf numFmtId="0" fontId="0" fillId="8" borderId="45" xfId="0" applyFill="1" applyBorder="1" applyAlignment="1">
      <alignment horizontal="left"/>
    </xf>
    <xf numFmtId="0" fontId="0" fillId="8" borderId="52" xfId="0" applyFill="1" applyBorder="1"/>
    <xf numFmtId="0" fontId="0" fillId="8" borderId="53" xfId="0" applyFill="1" applyBorder="1"/>
    <xf numFmtId="0" fontId="0" fillId="8" borderId="0" xfId="0" applyFill="1"/>
    <xf numFmtId="0" fontId="0" fillId="8" borderId="54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5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5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3" xfId="0" applyBorder="1"/>
    <xf numFmtId="14" fontId="29" fillId="0" borderId="0" xfId="0" applyNumberFormat="1" applyFont="1" applyAlignment="1">
      <alignment horizontal="left"/>
    </xf>
    <xf numFmtId="0" fontId="0" fillId="0" borderId="54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6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1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3" xfId="0" applyBorder="1"/>
    <xf numFmtId="0" fontId="29" fillId="0" borderId="36" xfId="3" applyFont="1" applyFill="1" applyBorder="1" applyAlignment="1">
      <alignment horizontal="left"/>
    </xf>
    <xf numFmtId="0" fontId="0" fillId="0" borderId="36" xfId="3" applyFont="1" applyFill="1" applyBorder="1" applyAlignment="1">
      <alignment horizontal="left"/>
    </xf>
    <xf numFmtId="0" fontId="9" fillId="8" borderId="0" xfId="3" applyFill="1"/>
    <xf numFmtId="0" fontId="7" fillId="8" borderId="53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left"/>
    </xf>
    <xf numFmtId="0" fontId="18" fillId="0" borderId="55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7" xfId="0" applyFont="1" applyFill="1" applyBorder="1" applyAlignment="1">
      <alignment horizontal="center"/>
    </xf>
    <xf numFmtId="0" fontId="8" fillId="11" borderId="50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42" fontId="8" fillId="0" borderId="0" xfId="0" applyNumberFormat="1" applyFont="1" applyFill="1"/>
    <xf numFmtId="0" fontId="8" fillId="9" borderId="45" xfId="0" applyFont="1" applyFill="1" applyBorder="1" applyAlignment="1">
      <alignment horizontal="center"/>
    </xf>
    <xf numFmtId="42" fontId="8" fillId="9" borderId="42" xfId="6" applyFont="1" applyFill="1" applyBorder="1" applyAlignment="1">
      <alignment horizontal="center"/>
    </xf>
    <xf numFmtId="41" fontId="0" fillId="0" borderId="28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41" fontId="0" fillId="0" borderId="26" xfId="0" applyNumberFormat="1" applyBorder="1" applyAlignment="1">
      <alignment horizontal="center"/>
    </xf>
    <xf numFmtId="42" fontId="0" fillId="0" borderId="20" xfId="6" applyFont="1" applyBorder="1" applyAlignment="1">
      <alignment horizontal="center"/>
    </xf>
    <xf numFmtId="41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41" fontId="0" fillId="0" borderId="23" xfId="0" applyNumberFormat="1" applyBorder="1" applyAlignment="1">
      <alignment horizontal="center"/>
    </xf>
    <xf numFmtId="0" fontId="0" fillId="8" borderId="0" xfId="0" applyFont="1" applyFill="1"/>
    <xf numFmtId="0" fontId="0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23</xdr:row>
      <xdr:rowOff>206170</xdr:rowOff>
    </xdr:from>
    <xdr:to>
      <xdr:col>5</xdr:col>
      <xdr:colOff>1643259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opLeftCell="A8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51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135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132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136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118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87" t="s">
        <v>120</v>
      </c>
      <c r="C8" s="288"/>
      <c r="D8" s="319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3" t="s">
        <v>155</v>
      </c>
      <c r="C10" s="274" t="s">
        <v>166</v>
      </c>
      <c r="D10" s="238"/>
      <c r="E10" s="238"/>
      <c r="F10" s="239" t="s">
        <v>0</v>
      </c>
      <c r="G10" s="272">
        <v>45785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3" t="s">
        <v>12</v>
      </c>
      <c r="C11" s="296"/>
      <c r="F11" t="s">
        <v>117</v>
      </c>
      <c r="G11" s="284" t="s">
        <v>164</v>
      </c>
      <c r="H11" s="285"/>
      <c r="P11" s="19"/>
      <c r="Q11" s="25" t="s">
        <v>19</v>
      </c>
      <c r="R11" s="19"/>
    </row>
    <row r="12" spans="2:23" ht="16.8" x14ac:dyDescent="0.4">
      <c r="B12" s="241" t="s">
        <v>138</v>
      </c>
      <c r="C12" s="307"/>
      <c r="D12" s="242"/>
      <c r="E12" s="242"/>
      <c r="F12" s="242" t="s">
        <v>121</v>
      </c>
      <c r="G12" s="273" t="s">
        <v>129</v>
      </c>
      <c r="H12" s="243"/>
      <c r="P12" s="19"/>
      <c r="Q12" s="25"/>
      <c r="R12" s="19"/>
    </row>
    <row r="13" spans="2:23" x14ac:dyDescent="0.3">
      <c r="B13" s="283" t="s">
        <v>139</v>
      </c>
      <c r="F13" t="s">
        <v>130</v>
      </c>
      <c r="G13" s="308" t="s">
        <v>129</v>
      </c>
      <c r="H13" s="285"/>
      <c r="P13" s="19"/>
      <c r="Q13" s="25"/>
      <c r="R13" s="19"/>
    </row>
    <row r="14" spans="2:23" x14ac:dyDescent="0.3">
      <c r="B14" s="241" t="s">
        <v>133</v>
      </c>
      <c r="C14" s="315"/>
      <c r="D14" s="242"/>
      <c r="E14" s="242"/>
      <c r="F14" s="349" t="s">
        <v>186</v>
      </c>
      <c r="G14" s="286" t="s">
        <v>129</v>
      </c>
      <c r="H14" s="243"/>
      <c r="J14" s="29"/>
      <c r="P14" s="20"/>
      <c r="Q14" s="26" t="s">
        <v>18</v>
      </c>
      <c r="R14" s="20"/>
    </row>
    <row r="15" spans="2:23" ht="15.6" x14ac:dyDescent="0.3">
      <c r="B15" s="283" t="s">
        <v>4</v>
      </c>
      <c r="C15" s="310" t="s">
        <v>167</v>
      </c>
      <c r="D15" s="311"/>
      <c r="F15" t="s">
        <v>128</v>
      </c>
      <c r="G15" s="309" t="s">
        <v>129</v>
      </c>
      <c r="H15" s="285"/>
    </row>
    <row r="16" spans="2:23" ht="16.8" x14ac:dyDescent="0.4">
      <c r="B16" s="316" t="s">
        <v>3</v>
      </c>
      <c r="C16" s="307"/>
      <c r="D16" s="242"/>
      <c r="E16" s="242"/>
      <c r="F16" s="317" t="s">
        <v>123</v>
      </c>
      <c r="G16" s="318" t="s">
        <v>156</v>
      </c>
      <c r="H16" s="243"/>
    </row>
    <row r="17" spans="2:24" ht="15" thickBot="1" x14ac:dyDescent="0.35">
      <c r="B17" s="312" t="s">
        <v>13</v>
      </c>
      <c r="C17" s="313" t="s">
        <v>157</v>
      </c>
      <c r="D17" s="314"/>
      <c r="E17" s="118"/>
      <c r="F17" s="326" t="s">
        <v>165</v>
      </c>
      <c r="G17" s="326"/>
      <c r="H17" s="327"/>
      <c r="I17" s="258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8" t="s">
        <v>140</v>
      </c>
      <c r="C19" s="329"/>
      <c r="D19" s="329"/>
      <c r="E19" s="329"/>
      <c r="F19" s="329"/>
      <c r="G19" s="329"/>
      <c r="H19" s="330"/>
      <c r="I19" s="259"/>
      <c r="J19" s="5"/>
      <c r="K19" s="245"/>
      <c r="L19" s="14">
        <v>0.05</v>
      </c>
      <c r="M19" s="14">
        <v>0.08</v>
      </c>
      <c r="N19" s="14"/>
      <c r="O19" s="246" t="s">
        <v>6</v>
      </c>
      <c r="P19" s="36" t="s">
        <v>21</v>
      </c>
      <c r="Q19" s="37" t="s">
        <v>127</v>
      </c>
      <c r="R19" s="10" t="s">
        <v>131</v>
      </c>
      <c r="T19" s="9"/>
      <c r="U19" s="9"/>
      <c r="W19" s="6"/>
      <c r="X19" s="6"/>
    </row>
    <row r="20" spans="2:24" ht="17.399999999999999" x14ac:dyDescent="0.3">
      <c r="B20" s="304" t="s">
        <v>7</v>
      </c>
      <c r="C20" s="305" t="s">
        <v>1</v>
      </c>
      <c r="D20" s="305" t="s">
        <v>10</v>
      </c>
      <c r="E20" s="305" t="s">
        <v>11</v>
      </c>
      <c r="F20" s="305" t="s">
        <v>8</v>
      </c>
      <c r="G20" s="305" t="s">
        <v>5</v>
      </c>
      <c r="H20" s="306" t="s">
        <v>6</v>
      </c>
      <c r="I20" s="260"/>
      <c r="J20" s="47"/>
      <c r="K20" s="263" t="str">
        <f>B20</f>
        <v>UNIDAD</v>
      </c>
      <c r="L20" s="262" t="s">
        <v>125</v>
      </c>
      <c r="M20" s="39" t="str">
        <f t="shared" ref="M20" si="0">E20</f>
        <v>ANCHO</v>
      </c>
      <c r="N20" s="256" t="s">
        <v>126</v>
      </c>
      <c r="O20" s="254" t="s">
        <v>17</v>
      </c>
      <c r="P20" s="247">
        <f>N39</f>
        <v>24786.176470588242</v>
      </c>
      <c r="Q20" s="253">
        <v>10000</v>
      </c>
      <c r="R20" s="38"/>
      <c r="S20" s="14" t="s">
        <v>122</v>
      </c>
      <c r="T20" s="9"/>
      <c r="W20" s="4"/>
    </row>
    <row r="21" spans="2:24" ht="17.399999999999999" x14ac:dyDescent="0.3">
      <c r="B21" s="320">
        <v>1</v>
      </c>
      <c r="C21" s="320" t="s">
        <v>162</v>
      </c>
      <c r="D21" s="321">
        <v>3</v>
      </c>
      <c r="E21" s="321">
        <v>0.6</v>
      </c>
      <c r="F21" s="320" t="s">
        <v>168</v>
      </c>
      <c r="G21" s="322">
        <v>54613.4</v>
      </c>
      <c r="H21" s="322">
        <f>G21*B21</f>
        <v>54613.4</v>
      </c>
      <c r="I21" s="260"/>
      <c r="J21" s="47"/>
      <c r="K21" s="324">
        <f>B21</f>
        <v>1</v>
      </c>
      <c r="L21" s="39">
        <f t="shared" ref="L21" si="1">D21+L$19</f>
        <v>3.05</v>
      </c>
      <c r="M21" s="39">
        <f t="shared" ref="M21" si="2">E21+M$19</f>
        <v>0.67999999999999994</v>
      </c>
      <c r="N21" s="256">
        <f t="shared" ref="N21" si="3">L21*M21</f>
        <v>2.0739999999999998</v>
      </c>
      <c r="O21" s="254">
        <f t="shared" ref="O21" si="4">N21*K21</f>
        <v>2.0739999999999998</v>
      </c>
      <c r="P21" s="247">
        <f t="shared" ref="P21" si="5">P$20*N21</f>
        <v>51406.530000000006</v>
      </c>
      <c r="Q21" s="323">
        <f t="shared" ref="Q21" si="6">P21+Q$20</f>
        <v>61406.530000000006</v>
      </c>
      <c r="R21" s="293">
        <f>L21*K21*2</f>
        <v>6.1</v>
      </c>
      <c r="S21" s="46">
        <f>M21*2*K21</f>
        <v>1.3599999999999999</v>
      </c>
      <c r="T21" s="9"/>
      <c r="W21" s="4"/>
    </row>
    <row r="22" spans="2:24" ht="17.399999999999999" x14ac:dyDescent="0.3">
      <c r="B22" s="281"/>
      <c r="C22" s="281"/>
      <c r="D22" s="282"/>
      <c r="E22" s="282"/>
      <c r="F22" s="281"/>
      <c r="G22" s="325"/>
      <c r="H22" s="325"/>
      <c r="I22" s="260"/>
      <c r="J22" s="47"/>
      <c r="K22" s="324"/>
      <c r="L22" s="39"/>
      <c r="M22" s="39"/>
      <c r="N22" s="256"/>
      <c r="O22" s="254"/>
      <c r="P22" s="247"/>
      <c r="Q22" s="323"/>
      <c r="R22" s="293">
        <f t="shared" ref="R22" si="7">L22*K22*2</f>
        <v>0</v>
      </c>
      <c r="S22" s="46"/>
      <c r="T22" s="9"/>
      <c r="W22" s="4"/>
    </row>
    <row r="23" spans="2:24" ht="17.399999999999999" x14ac:dyDescent="0.3">
      <c r="B23" s="281"/>
      <c r="C23" s="281"/>
      <c r="D23" s="282"/>
      <c r="E23" s="282"/>
      <c r="F23" s="281"/>
      <c r="G23" s="325"/>
      <c r="H23" s="325"/>
      <c r="I23" s="260"/>
      <c r="J23" s="47"/>
      <c r="K23" s="324"/>
      <c r="L23" s="39"/>
      <c r="M23" s="39"/>
      <c r="N23" s="256"/>
      <c r="O23" s="254"/>
      <c r="P23" s="247"/>
      <c r="Q23" s="323"/>
      <c r="R23" s="293"/>
      <c r="S23" s="46"/>
      <c r="T23" s="9"/>
      <c r="W23" s="4"/>
    </row>
    <row r="24" spans="2:24" ht="18" thickBot="1" x14ac:dyDescent="0.35">
      <c r="B24" s="281"/>
      <c r="C24" s="281"/>
      <c r="D24" s="282"/>
      <c r="E24" s="282"/>
      <c r="F24" s="281"/>
      <c r="G24" s="260"/>
      <c r="H24" s="228"/>
      <c r="I24" s="228"/>
      <c r="J24" s="47"/>
      <c r="K24" s="47"/>
      <c r="L24" s="39"/>
      <c r="M24" s="39"/>
      <c r="N24" s="256">
        <v>0</v>
      </c>
      <c r="O24" s="254"/>
      <c r="P24" s="247"/>
      <c r="Q24" s="253"/>
      <c r="R24" s="293"/>
      <c r="S24" s="14"/>
      <c r="T24" s="9"/>
      <c r="W24" s="4"/>
    </row>
    <row r="25" spans="2:24" ht="17.399999999999999" x14ac:dyDescent="0.3">
      <c r="B25" s="281"/>
      <c r="C25" s="281"/>
      <c r="D25" s="282"/>
      <c r="E25" s="282"/>
      <c r="F25" s="281"/>
      <c r="G25" s="294" t="s">
        <v>29</v>
      </c>
      <c r="H25" s="295">
        <f>SUM(H21:H24)</f>
        <v>54613.4</v>
      </c>
      <c r="I25" s="260"/>
      <c r="J25" s="47"/>
      <c r="K25" s="47"/>
      <c r="L25" s="39">
        <f>SUM(L21:L24)</f>
        <v>3.05</v>
      </c>
      <c r="M25" s="39"/>
      <c r="N25" s="256"/>
      <c r="O25" s="254"/>
      <c r="P25" s="247"/>
      <c r="Q25" s="253"/>
      <c r="R25" s="293"/>
      <c r="S25" s="46">
        <f>SUM(S21:S24)</f>
        <v>1.3599999999999999</v>
      </c>
      <c r="T25" s="9"/>
      <c r="W25" s="4"/>
    </row>
    <row r="26" spans="2:24" ht="17.399999999999999" x14ac:dyDescent="0.3">
      <c r="B26" s="275"/>
      <c r="C26" s="278"/>
      <c r="D26" s="279"/>
      <c r="E26" s="279"/>
      <c r="F26" s="280"/>
      <c r="G26" s="292" t="s">
        <v>52</v>
      </c>
      <c r="H26" s="290">
        <f>H25*19%</f>
        <v>10376.546</v>
      </c>
      <c r="I26" s="260"/>
      <c r="J26" s="47"/>
      <c r="K26" s="47"/>
      <c r="L26" s="39"/>
      <c r="M26" s="12"/>
      <c r="N26" s="12"/>
      <c r="O26" s="248">
        <f>SUM(O21:O22)</f>
        <v>2.0739999999999998</v>
      </c>
      <c r="P26" s="14"/>
      <c r="Q26" s="12"/>
      <c r="R26" s="234"/>
      <c r="S26" s="46">
        <f>S25*20%</f>
        <v>0.27199999999999996</v>
      </c>
      <c r="T26" s="9"/>
      <c r="W26" s="4"/>
    </row>
    <row r="27" spans="2:24" ht="18" thickBot="1" x14ac:dyDescent="0.35">
      <c r="B27" s="271"/>
      <c r="C27" s="277"/>
      <c r="D27" s="267"/>
      <c r="E27" s="267"/>
      <c r="F27" s="268"/>
      <c r="G27" s="276" t="s">
        <v>6</v>
      </c>
      <c r="H27" s="291">
        <f>H25+H26</f>
        <v>64989.946000000004</v>
      </c>
      <c r="I27" s="260"/>
      <c r="J27" s="47"/>
      <c r="K27" s="47"/>
      <c r="L27" s="39"/>
      <c r="M27" s="12"/>
      <c r="N27" s="12"/>
      <c r="O27" s="248">
        <f>O26</f>
        <v>2.0739999999999998</v>
      </c>
      <c r="P27" s="14"/>
      <c r="Q27" s="12"/>
      <c r="R27" s="234">
        <f>SUM(R21:R26)</f>
        <v>6.1</v>
      </c>
      <c r="S27" s="46">
        <f>S25+S26</f>
        <v>1.6319999999999999</v>
      </c>
      <c r="T27" s="9"/>
      <c r="W27" s="4"/>
    </row>
    <row r="28" spans="2:24" ht="17.399999999999999" x14ac:dyDescent="0.3">
      <c r="B28" s="271"/>
      <c r="C28" s="266"/>
      <c r="D28" s="267"/>
      <c r="E28" s="267"/>
      <c r="F28" s="268"/>
      <c r="I28" s="260"/>
      <c r="J28" s="47">
        <v>147074</v>
      </c>
      <c r="K28" s="47"/>
      <c r="L28" s="14"/>
      <c r="M28" s="12"/>
      <c r="N28" s="12"/>
      <c r="O28" s="39">
        <f>O27*20%</f>
        <v>0.4148</v>
      </c>
      <c r="P28" s="39" t="s">
        <v>124</v>
      </c>
      <c r="Q28" s="42"/>
      <c r="R28" s="235"/>
      <c r="S28" s="14"/>
      <c r="T28" s="9"/>
      <c r="W28" s="4"/>
    </row>
    <row r="29" spans="2:24" ht="17.399999999999999" x14ac:dyDescent="0.3">
      <c r="B29" s="266"/>
      <c r="C29" s="266"/>
      <c r="D29" s="267"/>
      <c r="E29" s="267"/>
      <c r="F29" s="268"/>
      <c r="G29" s="269"/>
      <c r="H29" s="270"/>
      <c r="I29" s="260"/>
      <c r="J29" s="47">
        <v>33749</v>
      </c>
      <c r="K29" s="47"/>
      <c r="L29" s="14"/>
      <c r="M29" s="12"/>
      <c r="N29" s="12"/>
      <c r="O29" s="46">
        <f>O27+O28</f>
        <v>2.4887999999999999</v>
      </c>
      <c r="P29" s="14"/>
      <c r="Q29" s="14"/>
      <c r="R29" s="233">
        <v>40</v>
      </c>
      <c r="S29" s="14"/>
      <c r="T29" s="9"/>
      <c r="W29" s="4"/>
    </row>
    <row r="30" spans="2:24" ht="17.399999999999999" x14ac:dyDescent="0.35">
      <c r="B30" s="264"/>
      <c r="C30" s="225"/>
      <c r="D30" s="225"/>
      <c r="E30" s="228"/>
      <c r="F30" s="229"/>
      <c r="G30" s="225"/>
      <c r="H30" s="270"/>
      <c r="I30" s="260"/>
      <c r="J30" s="47">
        <v>94650</v>
      </c>
      <c r="K30" s="47"/>
      <c r="L30" s="14"/>
      <c r="M30" s="14"/>
      <c r="N30" s="14"/>
      <c r="O30" s="14"/>
      <c r="P30" s="14"/>
      <c r="Q30" s="14"/>
      <c r="R30" s="233"/>
      <c r="S30" s="14"/>
      <c r="T30" s="300" t="s">
        <v>22</v>
      </c>
      <c r="U30" s="297" t="s">
        <v>145</v>
      </c>
      <c r="V30" s="301">
        <v>44971</v>
      </c>
      <c r="W30" s="302"/>
    </row>
    <row r="31" spans="2:24" ht="17.399999999999999" x14ac:dyDescent="0.35">
      <c r="B31" s="230"/>
      <c r="C31" s="231"/>
      <c r="D31" s="232"/>
      <c r="E31" s="230"/>
      <c r="F31" s="225"/>
      <c r="G31" s="225"/>
      <c r="I31" s="260"/>
      <c r="J31" s="47">
        <f>SUM(J28:J30)</f>
        <v>275473</v>
      </c>
      <c r="K31" s="47"/>
      <c r="L31" s="39">
        <f>O29</f>
        <v>2.4887999999999999</v>
      </c>
      <c r="M31" s="12">
        <v>3500</v>
      </c>
      <c r="N31" s="12">
        <f t="shared" ref="N31:N36" si="8">L31*M31</f>
        <v>8710.7999999999993</v>
      </c>
      <c r="O31" s="14" t="s">
        <v>22</v>
      </c>
      <c r="P31" s="14"/>
      <c r="Q31" s="14"/>
      <c r="R31" s="236"/>
      <c r="S31" s="14"/>
      <c r="T31" s="300" t="s">
        <v>146</v>
      </c>
      <c r="U31" s="297">
        <v>3625</v>
      </c>
      <c r="V31" s="59" t="s">
        <v>147</v>
      </c>
      <c r="W31" s="302"/>
    </row>
    <row r="32" spans="2:24" ht="17.399999999999999" x14ac:dyDescent="0.35">
      <c r="B32" s="225"/>
      <c r="C32" s="225"/>
      <c r="D32" s="225"/>
      <c r="E32" s="225"/>
      <c r="F32" s="225"/>
      <c r="G32" s="225"/>
      <c r="I32" s="260"/>
      <c r="J32" s="47"/>
      <c r="K32" s="47"/>
      <c r="L32" s="244">
        <v>0.67100000000000004</v>
      </c>
      <c r="M32" s="12">
        <v>23500</v>
      </c>
      <c r="N32" s="12">
        <f t="shared" si="8"/>
        <v>15768.500000000002</v>
      </c>
      <c r="O32" s="39" t="s">
        <v>32</v>
      </c>
      <c r="P32" s="42"/>
      <c r="Q32" s="14"/>
      <c r="R32" s="235"/>
      <c r="S32" s="14"/>
      <c r="T32" s="300"/>
      <c r="U32" s="59">
        <v>906.25</v>
      </c>
      <c r="V32" s="59" t="s">
        <v>148</v>
      </c>
      <c r="W32" s="302"/>
    </row>
    <row r="33" spans="2:23" s="225" customFormat="1" ht="17.399999999999999" x14ac:dyDescent="0.35">
      <c r="I33" s="257"/>
      <c r="J33" s="227"/>
      <c r="K33" s="245"/>
      <c r="L33" s="14"/>
      <c r="M33" s="245">
        <v>61860</v>
      </c>
      <c r="N33" s="12">
        <f t="shared" si="8"/>
        <v>0</v>
      </c>
      <c r="O33" s="39" t="s">
        <v>31</v>
      </c>
      <c r="P33" s="42"/>
      <c r="R33" s="235"/>
      <c r="S33" s="251"/>
      <c r="T33" s="59"/>
      <c r="U33" s="59">
        <f>U32*20%</f>
        <v>181.25</v>
      </c>
      <c r="V33" s="302" t="s">
        <v>149</v>
      </c>
      <c r="W33" s="59"/>
    </row>
    <row r="34" spans="2:23" s="225" customFormat="1" ht="17.399999999999999" x14ac:dyDescent="0.35">
      <c r="B34" s="24" t="s">
        <v>144</v>
      </c>
      <c r="I34" s="257"/>
      <c r="J34" s="227"/>
      <c r="K34" s="245"/>
      <c r="L34" s="14"/>
      <c r="M34" s="245">
        <v>0</v>
      </c>
      <c r="N34" s="12">
        <f t="shared" si="8"/>
        <v>0</v>
      </c>
      <c r="O34" s="14" t="s">
        <v>163</v>
      </c>
      <c r="P34" s="17"/>
      <c r="R34" s="233"/>
      <c r="S34" s="251"/>
      <c r="T34" s="59"/>
      <c r="U34" s="59">
        <f>U32+U33</f>
        <v>1087.5</v>
      </c>
      <c r="V34" s="302" t="s">
        <v>150</v>
      </c>
      <c r="W34" s="59"/>
    </row>
    <row r="35" spans="2:23" s="225" customFormat="1" ht="17.399999999999999" x14ac:dyDescent="0.35">
      <c r="B35" s="24" t="s">
        <v>137</v>
      </c>
      <c r="C35"/>
      <c r="D35"/>
      <c r="E35"/>
      <c r="F35"/>
      <c r="I35" s="257"/>
      <c r="J35" s="225">
        <v>27000</v>
      </c>
      <c r="K35" s="245"/>
      <c r="L35" s="244"/>
      <c r="M35" s="245">
        <v>300</v>
      </c>
      <c r="N35" s="12">
        <f t="shared" si="8"/>
        <v>0</v>
      </c>
      <c r="O35" s="14" t="s">
        <v>33</v>
      </c>
      <c r="P35" s="14"/>
      <c r="Q35" s="225">
        <v>1.52</v>
      </c>
      <c r="R35" s="233"/>
      <c r="S35" s="233"/>
    </row>
    <row r="36" spans="2:23" s="225" customFormat="1" ht="17.399999999999999" x14ac:dyDescent="0.35">
      <c r="B36" s="29" t="s">
        <v>119</v>
      </c>
      <c r="C36"/>
      <c r="D36"/>
      <c r="E36"/>
      <c r="F36" s="224" t="s">
        <v>16</v>
      </c>
      <c r="I36" s="289"/>
      <c r="J36" s="225">
        <f>J35*19%</f>
        <v>5130</v>
      </c>
      <c r="K36" s="245"/>
      <c r="L36" s="261"/>
      <c r="M36" s="12">
        <v>1500</v>
      </c>
      <c r="N36" s="12">
        <f t="shared" si="8"/>
        <v>0</v>
      </c>
      <c r="O36" s="14" t="s">
        <v>23</v>
      </c>
      <c r="P36" s="14"/>
      <c r="Q36">
        <v>2.44</v>
      </c>
      <c r="R36"/>
      <c r="S36" s="233"/>
      <c r="W36" s="226"/>
    </row>
    <row r="37" spans="2:23" s="225" customFormat="1" ht="17.399999999999999" x14ac:dyDescent="0.35">
      <c r="I37" s="225" t="s">
        <v>159</v>
      </c>
      <c r="J37" s="225">
        <f>J35+J36</f>
        <v>32130</v>
      </c>
      <c r="K37" s="245"/>
      <c r="L37" s="14"/>
      <c r="M37" s="12"/>
      <c r="N37" s="12">
        <f>SUM(N31:N36)</f>
        <v>24479.300000000003</v>
      </c>
      <c r="O37" s="39" t="s">
        <v>24</v>
      </c>
      <c r="P37" s="14"/>
      <c r="Q37">
        <f>Q35*Q36</f>
        <v>3.7088000000000001</v>
      </c>
      <c r="R37"/>
      <c r="S37" s="233"/>
      <c r="W37" s="226"/>
    </row>
    <row r="38" spans="2:23" s="225" customFormat="1" ht="17.399999999999999" x14ac:dyDescent="0.35">
      <c r="K38" s="245"/>
      <c r="L38" s="249" t="s">
        <v>34</v>
      </c>
      <c r="M38" s="12"/>
      <c r="N38" s="250">
        <f>N37*2.1</f>
        <v>51406.530000000006</v>
      </c>
      <c r="O38" s="14" t="s">
        <v>134</v>
      </c>
      <c r="P38" s="14"/>
      <c r="Q38" s="40">
        <f>O29/Q37</f>
        <v>0.67105263157894735</v>
      </c>
      <c r="R38"/>
      <c r="S38" s="252"/>
    </row>
    <row r="39" spans="2:23" s="225" customFormat="1" ht="17.399999999999999" x14ac:dyDescent="0.35">
      <c r="G39"/>
      <c r="H39" s="255"/>
      <c r="I39" s="225" t="s">
        <v>158</v>
      </c>
      <c r="J39" s="225">
        <v>23560</v>
      </c>
      <c r="K39" s="245">
        <v>0</v>
      </c>
      <c r="L39" s="14"/>
      <c r="M39" s="12"/>
      <c r="N39" s="12">
        <f>N38/O27</f>
        <v>24786.176470588242</v>
      </c>
      <c r="O39" s="45" t="s">
        <v>25</v>
      </c>
      <c r="P39" s="14"/>
      <c r="Q39" s="14"/>
      <c r="R39"/>
      <c r="S39" s="233"/>
      <c r="T39" s="59" t="s">
        <v>151</v>
      </c>
      <c r="U39" s="297">
        <v>43650</v>
      </c>
    </row>
    <row r="40" spans="2:23" s="225" customFormat="1" ht="17.399999999999999" x14ac:dyDescent="0.35">
      <c r="G40"/>
      <c r="J40" s="225">
        <f>J39/1.19</f>
        <v>19798.319327731093</v>
      </c>
      <c r="K40" s="245"/>
      <c r="L40" s="13"/>
      <c r="M40" s="14"/>
      <c r="N40" s="17">
        <f>N38/N37</f>
        <v>2.1</v>
      </c>
      <c r="O40" s="15"/>
      <c r="P40"/>
      <c r="Q40"/>
      <c r="R40"/>
      <c r="S40" s="233"/>
      <c r="T40" s="59" t="s">
        <v>153</v>
      </c>
      <c r="U40" s="298" t="s">
        <v>152</v>
      </c>
      <c r="V40" s="59">
        <v>2.4</v>
      </c>
    </row>
    <row r="41" spans="2:23" s="225" customFormat="1" ht="17.399999999999999" x14ac:dyDescent="0.35">
      <c r="G41" s="23"/>
      <c r="K41" s="12"/>
      <c r="S41" s="233"/>
      <c r="T41" s="59" t="s">
        <v>154</v>
      </c>
      <c r="U41" s="299">
        <v>395.37</v>
      </c>
    </row>
    <row r="42" spans="2:23" s="225" customFormat="1" ht="17.399999999999999" x14ac:dyDescent="0.35">
      <c r="B42"/>
      <c r="C42" s="223"/>
      <c r="D42" s="22"/>
      <c r="E42" s="22"/>
      <c r="F42" s="21"/>
      <c r="G42" s="23"/>
      <c r="I42" s="225" t="s">
        <v>160</v>
      </c>
      <c r="K42" s="12"/>
      <c r="S42" s="233"/>
      <c r="T42" s="59" t="s">
        <v>149</v>
      </c>
      <c r="U42" s="59">
        <v>474.45</v>
      </c>
    </row>
    <row r="43" spans="2:23" ht="14.4" customHeight="1" x14ac:dyDescent="0.3">
      <c r="I43" t="s">
        <v>161</v>
      </c>
      <c r="J43">
        <v>8990</v>
      </c>
      <c r="K43" s="12"/>
      <c r="T43" s="59"/>
      <c r="U43" s="59"/>
    </row>
    <row r="44" spans="2:23" x14ac:dyDescent="0.3">
      <c r="K44" s="245"/>
    </row>
    <row r="45" spans="2:23" x14ac:dyDescent="0.3">
      <c r="I45">
        <v>46850</v>
      </c>
      <c r="K45" s="245"/>
      <c r="S45" s="265"/>
    </row>
    <row r="46" spans="2:23" x14ac:dyDescent="0.3">
      <c r="K46" s="245"/>
    </row>
    <row r="47" spans="2:23" ht="15" customHeight="1" x14ac:dyDescent="0.3">
      <c r="I47">
        <f>I45/1.19</f>
        <v>39369.747899159665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141</v>
      </c>
    </row>
    <row r="75" spans="3:14" x14ac:dyDescent="0.3">
      <c r="C75" t="s">
        <v>140</v>
      </c>
    </row>
    <row r="78" spans="3:14" x14ac:dyDescent="0.3">
      <c r="C78" t="s">
        <v>140</v>
      </c>
    </row>
    <row r="155" spans="3:3" x14ac:dyDescent="0.3">
      <c r="C155" t="s">
        <v>140</v>
      </c>
    </row>
    <row r="156" spans="3:3" x14ac:dyDescent="0.3">
      <c r="C156" t="s">
        <v>142</v>
      </c>
    </row>
    <row r="157" spans="3:3" x14ac:dyDescent="0.3">
      <c r="C157" t="s">
        <v>143</v>
      </c>
    </row>
    <row r="582" spans="3:3" x14ac:dyDescent="0.3">
      <c r="C582" t="s">
        <v>140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66"/>
  <sheetViews>
    <sheetView tabSelected="1" topLeftCell="A24" workbookViewId="0">
      <selection activeCell="N41" sqref="N41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104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45785</v>
      </c>
    </row>
    <row r="6" spans="2:31" ht="16.2" thickBot="1" x14ac:dyDescent="0.35">
      <c r="B6" s="139" t="s">
        <v>2</v>
      </c>
      <c r="C6" s="138" t="str">
        <f>'2229'!C10</f>
        <v>MARI GOMEZ</v>
      </c>
      <c r="D6" s="137"/>
      <c r="E6" s="137"/>
      <c r="F6" s="137"/>
      <c r="N6" s="75" t="s">
        <v>103</v>
      </c>
      <c r="O6" s="75"/>
      <c r="P6" s="141" t="s">
        <v>102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2" t="s">
        <v>97</v>
      </c>
      <c r="I7" s="333"/>
      <c r="J7" s="333"/>
      <c r="K7" s="334"/>
      <c r="N7" s="75"/>
      <c r="O7" s="331" t="s">
        <v>101</v>
      </c>
      <c r="P7" s="140" t="s">
        <v>100</v>
      </c>
      <c r="Q7" s="140"/>
    </row>
    <row r="8" spans="2:31" ht="16.2" thickBot="1" x14ac:dyDescent="0.35">
      <c r="B8" s="139" t="s">
        <v>99</v>
      </c>
      <c r="C8" s="138" t="str">
        <f>'2229'!D8</f>
        <v>N° 11426</v>
      </c>
      <c r="D8" s="137"/>
      <c r="E8" s="137"/>
      <c r="F8" s="137"/>
      <c r="H8" s="181" t="s">
        <v>114</v>
      </c>
      <c r="I8" s="153" t="s">
        <v>113</v>
      </c>
      <c r="J8" s="222" t="s">
        <v>94</v>
      </c>
      <c r="K8" s="134" t="s">
        <v>6</v>
      </c>
      <c r="L8" s="133" t="s">
        <v>6</v>
      </c>
      <c r="N8" s="75"/>
      <c r="O8" s="331"/>
      <c r="P8" s="75" t="s">
        <v>98</v>
      </c>
      <c r="Q8" s="75"/>
      <c r="X8">
        <f>SUM(Q11:Q16)</f>
        <v>6</v>
      </c>
    </row>
    <row r="9" spans="2:31" ht="16.2" thickBot="1" x14ac:dyDescent="0.35">
      <c r="B9" s="139" t="s">
        <v>182</v>
      </c>
      <c r="C9">
        <f>SUM('2229'!L25)</f>
        <v>3.05</v>
      </c>
      <c r="H9" s="194" t="s">
        <v>95</v>
      </c>
      <c r="I9" s="195" t="s">
        <v>112</v>
      </c>
      <c r="J9" s="182" t="s">
        <v>91</v>
      </c>
      <c r="K9" s="155"/>
      <c r="L9" s="101">
        <f>SUM(K10:K23)</f>
        <v>6136.4000000000005</v>
      </c>
      <c r="S9" s="28" t="s">
        <v>9</v>
      </c>
      <c r="T9" s="28"/>
      <c r="W9" s="8"/>
      <c r="X9" s="175">
        <f>(E15-D11)/X8</f>
        <v>3355.6028260869557</v>
      </c>
    </row>
    <row r="10" spans="2:31" ht="16.2" thickBot="1" x14ac:dyDescent="0.35">
      <c r="B10" s="139" t="s">
        <v>185</v>
      </c>
      <c r="C10">
        <f>SUM('2229'!M21:M24)</f>
        <v>0.67999999999999994</v>
      </c>
      <c r="D10" s="213" t="s">
        <v>29</v>
      </c>
      <c r="E10" s="214" t="s">
        <v>52</v>
      </c>
      <c r="F10" s="215" t="s">
        <v>6</v>
      </c>
      <c r="H10" s="188">
        <f>C9</f>
        <v>3.05</v>
      </c>
      <c r="I10" s="199">
        <v>300</v>
      </c>
      <c r="J10" s="196" t="s">
        <v>33</v>
      </c>
      <c r="K10" s="156">
        <f t="shared" ref="K10:K23" si="0">I10*H10</f>
        <v>915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1"/>
      <c r="AE10" s="10"/>
    </row>
    <row r="11" spans="2:31" ht="16.2" thickBot="1" x14ac:dyDescent="0.35">
      <c r="C11" s="206" t="s">
        <v>92</v>
      </c>
      <c r="D11" s="132">
        <f>'2229'!H25</f>
        <v>54613.4</v>
      </c>
      <c r="E11" s="131">
        <f>D11*0.19</f>
        <v>10376.546</v>
      </c>
      <c r="F11" s="130">
        <f>E11+D11</f>
        <v>64989.946000000004</v>
      </c>
      <c r="H11" s="189">
        <f>C9</f>
        <v>3.05</v>
      </c>
      <c r="I11" s="173">
        <v>1500</v>
      </c>
      <c r="J11" s="147" t="s">
        <v>23</v>
      </c>
      <c r="K11" s="157">
        <f t="shared" si="0"/>
        <v>4575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5">
        <f t="shared" ref="X11:X16" si="2">V11+$X$9</f>
        <v>109345.60282608695</v>
      </c>
      <c r="Y11" s="174">
        <v>108990</v>
      </c>
      <c r="AA11" s="6"/>
      <c r="AB11" s="6"/>
      <c r="AC11" s="220"/>
      <c r="AD11" s="53"/>
      <c r="AE11" s="217"/>
    </row>
    <row r="12" spans="2:31" ht="16.2" thickBot="1" x14ac:dyDescent="0.35">
      <c r="C12" s="136" t="s">
        <v>96</v>
      </c>
      <c r="D12" s="135">
        <f>SUM(M53:M55)</f>
        <v>45301.222397891965</v>
      </c>
      <c r="F12" s="61"/>
      <c r="H12" s="189">
        <v>0</v>
      </c>
      <c r="I12" s="173">
        <v>7500</v>
      </c>
      <c r="J12" s="149" t="s">
        <v>110</v>
      </c>
      <c r="K12" s="157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5">
        <f t="shared" si="2"/>
        <v>91345.60282608695</v>
      </c>
      <c r="Y12" s="174">
        <v>89990</v>
      </c>
      <c r="Z12" s="2"/>
      <c r="AA12" s="218"/>
      <c r="AB12" s="219"/>
      <c r="AC12" s="220"/>
      <c r="AD12" s="53"/>
      <c r="AE12" s="217"/>
    </row>
    <row r="13" spans="2:31" ht="16.2" thickBot="1" x14ac:dyDescent="0.35">
      <c r="C13" s="207" t="s">
        <v>90</v>
      </c>
      <c r="D13" s="212">
        <f>D11-D12</f>
        <v>9312.1776021080368</v>
      </c>
      <c r="E13" s="216">
        <f>(D11/D12)-1</f>
        <v>0.2055612875148678</v>
      </c>
      <c r="H13" s="189">
        <v>0</v>
      </c>
      <c r="I13" s="173">
        <v>50</v>
      </c>
      <c r="J13" s="149" t="s">
        <v>111</v>
      </c>
      <c r="K13" s="157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5">
        <f t="shared" si="2"/>
        <v>82345.60282608695</v>
      </c>
      <c r="Y13" s="174">
        <v>81990</v>
      </c>
      <c r="Z13" s="2"/>
      <c r="AA13" s="218"/>
      <c r="AB13" s="219"/>
      <c r="AC13" s="220"/>
      <c r="AD13" s="53"/>
      <c r="AE13" s="217"/>
    </row>
    <row r="14" spans="2:31" ht="15" thickBot="1" x14ac:dyDescent="0.35">
      <c r="D14" s="145" t="s">
        <v>116</v>
      </c>
      <c r="E14" s="178" t="s">
        <v>29</v>
      </c>
      <c r="F14" s="177" t="s">
        <v>109</v>
      </c>
      <c r="H14" s="189">
        <f>IF('2229'!G14="SI",(I14*C9),0)</f>
        <v>0</v>
      </c>
      <c r="I14" s="173">
        <v>50</v>
      </c>
      <c r="J14" s="149" t="s">
        <v>184</v>
      </c>
      <c r="K14" s="157">
        <f t="shared" si="0"/>
        <v>0</v>
      </c>
      <c r="L14" s="61"/>
      <c r="P14" s="125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5">
        <f t="shared" si="2"/>
        <v>43345.602826086957</v>
      </c>
      <c r="Y14" s="174">
        <v>39990</v>
      </c>
      <c r="Z14" s="2"/>
      <c r="AA14" s="218"/>
      <c r="AB14" s="219"/>
      <c r="AC14" s="220"/>
      <c r="AD14" s="53"/>
      <c r="AE14" s="217"/>
    </row>
    <row r="15" spans="2:31" ht="15" thickBot="1" x14ac:dyDescent="0.35">
      <c r="C15" s="208" t="s">
        <v>115</v>
      </c>
      <c r="D15" s="209">
        <v>0.65</v>
      </c>
      <c r="E15" s="210">
        <f>(100%+D15)*D12</f>
        <v>74747.016956521737</v>
      </c>
      <c r="F15" s="211">
        <f>E15-D12</f>
        <v>29445.794558629772</v>
      </c>
      <c r="H15" s="189">
        <f>C9</f>
        <v>3.05</v>
      </c>
      <c r="I15" s="173">
        <v>22</v>
      </c>
      <c r="J15" s="149" t="s">
        <v>183</v>
      </c>
      <c r="K15" s="157">
        <f t="shared" si="0"/>
        <v>67.099999999999994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5">
        <f t="shared" si="2"/>
        <v>43345.602826086957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0">
        <v>12</v>
      </c>
      <c r="I16" s="197">
        <v>2</v>
      </c>
      <c r="J16" s="147" t="s">
        <v>89</v>
      </c>
      <c r="K16" s="157">
        <f t="shared" si="0"/>
        <v>24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5">
        <f t="shared" si="2"/>
        <v>83345.60282608695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87</v>
      </c>
      <c r="C17" s="128" t="s">
        <v>86</v>
      </c>
      <c r="D17" s="128" t="s">
        <v>29</v>
      </c>
      <c r="E17" s="127" t="s">
        <v>52</v>
      </c>
      <c r="F17" s="126" t="s">
        <v>6</v>
      </c>
      <c r="H17" s="191">
        <v>12</v>
      </c>
      <c r="I17" s="197">
        <v>11</v>
      </c>
      <c r="J17" s="187" t="s">
        <v>88</v>
      </c>
      <c r="K17" s="157">
        <f t="shared" si="0"/>
        <v>132</v>
      </c>
      <c r="L17" s="61"/>
      <c r="N17">
        <f>25000/1.19</f>
        <v>21008.403361344539</v>
      </c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A18" s="350"/>
      <c r="C18" s="124" t="s">
        <v>84</v>
      </c>
      <c r="D18" s="121">
        <f>'2229'!N33</f>
        <v>0</v>
      </c>
      <c r="E18" s="122">
        <f>D18*0.19</f>
        <v>0</v>
      </c>
      <c r="F18" s="119">
        <f>SUM(D18:E18)</f>
        <v>0</v>
      </c>
      <c r="H18" s="190">
        <f>C9</f>
        <v>3.05</v>
      </c>
      <c r="I18" s="197">
        <v>90</v>
      </c>
      <c r="J18" s="183" t="s">
        <v>85</v>
      </c>
      <c r="K18" s="157">
        <f t="shared" si="0"/>
        <v>274.5</v>
      </c>
      <c r="L18" s="61"/>
      <c r="N18">
        <f>N17/25</f>
        <v>840.3361344537816</v>
      </c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A19" s="350"/>
      <c r="C19" s="79" t="s">
        <v>32</v>
      </c>
      <c r="D19" s="121">
        <f>'2229'!N32</f>
        <v>15768.500000000002</v>
      </c>
      <c r="E19" s="122">
        <f>D19*0.19</f>
        <v>2996.0150000000003</v>
      </c>
      <c r="F19" s="119">
        <f>SUM(D19:E19)</f>
        <v>18764.515000000003</v>
      </c>
      <c r="H19" s="190">
        <f>C9</f>
        <v>3.05</v>
      </c>
      <c r="I19" s="197">
        <v>2</v>
      </c>
      <c r="J19" s="183" t="s">
        <v>83</v>
      </c>
      <c r="K19" s="157">
        <f t="shared" si="0"/>
        <v>6.1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A20" s="80"/>
      <c r="C20" s="74" t="s">
        <v>22</v>
      </c>
      <c r="D20" s="121">
        <f>'2229'!N31</f>
        <v>8710.7999999999993</v>
      </c>
      <c r="E20" s="120">
        <f>D20*0.19</f>
        <v>1655.0519999999999</v>
      </c>
      <c r="F20" s="119">
        <f>SUM(D20:E20)</f>
        <v>10365.851999999999</v>
      </c>
      <c r="H20" s="190">
        <f>IF('2229'!G14="SI",C9,0)</f>
        <v>0</v>
      </c>
      <c r="I20" s="197">
        <v>841</v>
      </c>
      <c r="J20" s="183" t="s">
        <v>82</v>
      </c>
      <c r="K20" s="157">
        <f t="shared" si="0"/>
        <v>0</v>
      </c>
      <c r="V20" s="31" t="s">
        <v>30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80">
        <f>950000*1.2</f>
        <v>1140000</v>
      </c>
      <c r="B21" s="118"/>
      <c r="C21" s="117" t="s">
        <v>6</v>
      </c>
      <c r="D21" s="116">
        <f>SUM(D18:D20)</f>
        <v>24479.300000000003</v>
      </c>
      <c r="E21" s="115">
        <f>SUM(E18:E20)</f>
        <v>4651.067</v>
      </c>
      <c r="F21" s="114">
        <f>SUM(F18:F20)</f>
        <v>29130.367000000002</v>
      </c>
      <c r="H21" s="190">
        <f>C9</f>
        <v>3.05</v>
      </c>
      <c r="I21" s="197">
        <v>21</v>
      </c>
      <c r="J21" s="183" t="s">
        <v>81</v>
      </c>
      <c r="K21" s="157">
        <f t="shared" si="0"/>
        <v>64.05</v>
      </c>
      <c r="M21" s="152"/>
      <c r="Q21" s="50" t="s">
        <v>40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80">
        <f>950000*1.2</f>
        <v>1140000</v>
      </c>
      <c r="B22" s="113" t="s">
        <v>79</v>
      </c>
      <c r="C22" s="112" t="s">
        <v>78</v>
      </c>
      <c r="D22" s="111" t="s">
        <v>77</v>
      </c>
      <c r="E22" s="110" t="s">
        <v>76</v>
      </c>
      <c r="F22" s="109" t="s">
        <v>6</v>
      </c>
      <c r="H22" s="348">
        <f>E33</f>
        <v>0.54999999999999993</v>
      </c>
      <c r="I22" s="197">
        <v>143</v>
      </c>
      <c r="J22" s="147" t="s">
        <v>80</v>
      </c>
      <c r="K22" s="157">
        <f t="shared" si="0"/>
        <v>78.649999999999991</v>
      </c>
      <c r="M22" s="104"/>
      <c r="N22" s="58"/>
      <c r="Q22" s="50" t="s">
        <v>35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2">
        <f>A21/22</f>
        <v>51818.181818181816</v>
      </c>
      <c r="C23" s="82" t="s">
        <v>26</v>
      </c>
      <c r="D23" s="108">
        <f>B23/8</f>
        <v>6477.272727272727</v>
      </c>
      <c r="E23" s="107">
        <v>0.1</v>
      </c>
      <c r="F23" s="106">
        <f t="shared" ref="F23:F32" si="3">D23*E23</f>
        <v>647.72727272727275</v>
      </c>
      <c r="H23" s="192">
        <f>IF('2229'!G14="SI",((C10*3)*3),0)</f>
        <v>0</v>
      </c>
      <c r="I23" s="198">
        <v>13</v>
      </c>
      <c r="J23" s="184" t="s">
        <v>75</v>
      </c>
      <c r="K23" s="157">
        <f t="shared" si="0"/>
        <v>0</v>
      </c>
      <c r="M23" s="104"/>
      <c r="N23" s="58"/>
      <c r="Q23" s="50" t="s">
        <v>28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80">
        <v>1300000</v>
      </c>
      <c r="B24" s="102">
        <f>A22/22</f>
        <v>51818.181818181816</v>
      </c>
      <c r="C24" s="79" t="s">
        <v>73</v>
      </c>
      <c r="D24" s="99">
        <f>B24/8</f>
        <v>6477.272727272727</v>
      </c>
      <c r="E24" s="98">
        <v>0.05</v>
      </c>
      <c r="F24" s="97">
        <f t="shared" si="3"/>
        <v>323.86363636363637</v>
      </c>
      <c r="H24" s="150" t="s">
        <v>114</v>
      </c>
      <c r="I24" s="154" t="s">
        <v>112</v>
      </c>
      <c r="J24" s="180" t="s">
        <v>74</v>
      </c>
      <c r="K24" s="151" t="s">
        <v>93</v>
      </c>
      <c r="L24" s="101">
        <f>SUM(K25:K35)</f>
        <v>7819.1405797101452</v>
      </c>
      <c r="X24" s="100"/>
      <c r="Y24" s="100"/>
      <c r="Z24" s="100"/>
      <c r="AA24" s="100"/>
      <c r="AB24" s="14"/>
      <c r="AD24" s="43"/>
    </row>
    <row r="25" spans="1:31" x14ac:dyDescent="0.3">
      <c r="A25" s="80">
        <v>1300000</v>
      </c>
      <c r="B25" s="102">
        <f>A23/22</f>
        <v>43636.36363636364</v>
      </c>
      <c r="C25" s="79" t="s">
        <v>187</v>
      </c>
      <c r="D25" s="99">
        <f>B25/8</f>
        <v>5454.545454545455</v>
      </c>
      <c r="E25" s="98"/>
      <c r="F25" s="97">
        <f t="shared" si="3"/>
        <v>0</v>
      </c>
      <c r="H25" s="204">
        <v>1</v>
      </c>
      <c r="I25" s="199">
        <f>((480000/23)/9)</f>
        <v>2318.840579710145</v>
      </c>
      <c r="J25" s="186" t="s">
        <v>107</v>
      </c>
      <c r="K25" s="148">
        <f t="shared" ref="K25:K35" si="4">H25*I25</f>
        <v>2318.840579710145</v>
      </c>
      <c r="X25" s="100"/>
      <c r="Z25" s="100"/>
      <c r="AA25" s="100"/>
      <c r="AB25" s="39"/>
      <c r="AD25" s="43"/>
    </row>
    <row r="26" spans="1:31" x14ac:dyDescent="0.3">
      <c r="A26" s="80"/>
      <c r="B26" s="102">
        <f>A24/22</f>
        <v>59090.909090909088</v>
      </c>
      <c r="C26" s="79" t="s">
        <v>71</v>
      </c>
      <c r="D26" s="99">
        <f>B26/8</f>
        <v>7386.363636363636</v>
      </c>
      <c r="E26" s="98">
        <v>0.1</v>
      </c>
      <c r="F26" s="97">
        <f t="shared" si="3"/>
        <v>738.63636363636363</v>
      </c>
      <c r="H26" s="190">
        <v>1</v>
      </c>
      <c r="I26" s="173">
        <v>3000</v>
      </c>
      <c r="J26" s="183" t="s">
        <v>72</v>
      </c>
      <c r="K26" s="96">
        <f t="shared" si="4"/>
        <v>3000</v>
      </c>
      <c r="L26" s="61"/>
      <c r="X26" s="95"/>
      <c r="Z26" s="100"/>
      <c r="AA26" s="100"/>
      <c r="AB26" s="14"/>
      <c r="AD26" s="44"/>
    </row>
    <row r="27" spans="1:31" x14ac:dyDescent="0.3">
      <c r="A27" s="80">
        <v>1300000</v>
      </c>
      <c r="B27" s="102">
        <f>A25/22</f>
        <v>59090.909090909088</v>
      </c>
      <c r="C27" s="79" t="s">
        <v>70</v>
      </c>
      <c r="D27" s="99">
        <f>B27/8</f>
        <v>7386.363636363636</v>
      </c>
      <c r="E27" s="98">
        <v>0.1</v>
      </c>
      <c r="F27" s="97">
        <f t="shared" si="3"/>
        <v>738.63636363636363</v>
      </c>
      <c r="H27" s="190">
        <v>0</v>
      </c>
      <c r="I27" s="173"/>
      <c r="J27" s="183" t="s">
        <v>69</v>
      </c>
      <c r="K27" s="96">
        <f t="shared" si="4"/>
        <v>0</v>
      </c>
      <c r="L27" s="61"/>
      <c r="X27" s="95"/>
      <c r="Z27" s="100"/>
      <c r="AA27" s="100"/>
      <c r="AB27" s="45"/>
    </row>
    <row r="28" spans="1:31" x14ac:dyDescent="0.3">
      <c r="A28" s="80">
        <v>450000</v>
      </c>
      <c r="B28" s="102">
        <f>A27/22</f>
        <v>59090.909090909088</v>
      </c>
      <c r="C28" s="79" t="s">
        <v>68</v>
      </c>
      <c r="D28" s="99">
        <f>B28/8</f>
        <v>7386.363636363636</v>
      </c>
      <c r="E28" s="98">
        <v>0.1</v>
      </c>
      <c r="F28" s="97">
        <f t="shared" si="3"/>
        <v>738.63636363636363</v>
      </c>
      <c r="H28" s="190">
        <v>0</v>
      </c>
      <c r="I28" s="173"/>
      <c r="J28" s="183" t="s">
        <v>105</v>
      </c>
      <c r="K28" s="96">
        <f t="shared" si="4"/>
        <v>0</v>
      </c>
      <c r="L28" s="61"/>
      <c r="X28" s="95"/>
      <c r="Y28" s="13"/>
      <c r="Z28" s="14"/>
      <c r="AA28" s="17"/>
      <c r="AB28" s="94"/>
    </row>
    <row r="29" spans="1:31" x14ac:dyDescent="0.3">
      <c r="A29" s="80"/>
      <c r="B29" s="102">
        <f>A28/22</f>
        <v>20454.545454545456</v>
      </c>
      <c r="C29" s="79" t="s">
        <v>67</v>
      </c>
      <c r="D29" s="99">
        <f>B29/8</f>
        <v>2556.818181818182</v>
      </c>
      <c r="E29" s="98">
        <v>0.1</v>
      </c>
      <c r="F29" s="97">
        <f t="shared" si="3"/>
        <v>255.68181818181822</v>
      </c>
      <c r="H29" s="189">
        <v>0</v>
      </c>
      <c r="I29" s="173">
        <f>((400000/22)/8)</f>
        <v>2272.7272727272725</v>
      </c>
      <c r="J29" s="149" t="s">
        <v>65</v>
      </c>
      <c r="K29" s="96">
        <f t="shared" si="4"/>
        <v>0</v>
      </c>
      <c r="L29" s="61"/>
    </row>
    <row r="30" spans="1:31" x14ac:dyDescent="0.3">
      <c r="A30" s="80">
        <v>950000</v>
      </c>
      <c r="B30" s="93"/>
      <c r="C30" s="79" t="s">
        <v>23</v>
      </c>
      <c r="D30" s="99">
        <f>D28</f>
        <v>7386.363636363636</v>
      </c>
      <c r="E30" s="98"/>
      <c r="F30" s="97">
        <f t="shared" si="3"/>
        <v>0</v>
      </c>
      <c r="H30" s="344">
        <f>E33</f>
        <v>0.54999999999999993</v>
      </c>
      <c r="I30" s="173">
        <v>2020</v>
      </c>
      <c r="J30" s="149" t="s">
        <v>171</v>
      </c>
      <c r="K30" s="96">
        <f t="shared" si="4"/>
        <v>1110.9999999999998</v>
      </c>
      <c r="L30" s="61"/>
    </row>
    <row r="31" spans="1:31" x14ac:dyDescent="0.3">
      <c r="A31" s="80">
        <v>350000</v>
      </c>
      <c r="B31" s="93">
        <f>A30/22</f>
        <v>43181.818181818184</v>
      </c>
      <c r="C31" s="79" t="s">
        <v>66</v>
      </c>
      <c r="D31" s="99">
        <f>B31/8</f>
        <v>5397.727272727273</v>
      </c>
      <c r="E31" s="98">
        <v>0</v>
      </c>
      <c r="F31" s="97">
        <f t="shared" si="3"/>
        <v>0</v>
      </c>
      <c r="H31" s="344">
        <f>E33</f>
        <v>0.54999999999999993</v>
      </c>
      <c r="I31" s="173">
        <v>2526</v>
      </c>
      <c r="J31" s="149" t="s">
        <v>170</v>
      </c>
      <c r="K31" s="96">
        <f t="shared" si="4"/>
        <v>1389.2999999999997</v>
      </c>
    </row>
    <row r="32" spans="1:31" ht="15" thickBot="1" x14ac:dyDescent="0.35">
      <c r="A32" s="80">
        <f>A21+A24+A27+A28+A30</f>
        <v>5140000</v>
      </c>
      <c r="B32" s="93">
        <f>400000/22</f>
        <v>18181.81818181818</v>
      </c>
      <c r="C32" s="92" t="s">
        <v>65</v>
      </c>
      <c r="D32" s="91">
        <f>B32/8</f>
        <v>2272.7272727272725</v>
      </c>
      <c r="E32" s="90">
        <v>0</v>
      </c>
      <c r="F32" s="89">
        <f t="shared" si="3"/>
        <v>0</v>
      </c>
      <c r="H32" s="191">
        <v>0</v>
      </c>
      <c r="I32" s="200"/>
      <c r="J32" s="187" t="s">
        <v>42</v>
      </c>
      <c r="K32" s="96">
        <f t="shared" si="4"/>
        <v>0</v>
      </c>
    </row>
    <row r="33" spans="2:16" ht="15" thickBot="1" x14ac:dyDescent="0.35">
      <c r="B33" s="233"/>
      <c r="C33" s="88" t="s">
        <v>6</v>
      </c>
      <c r="D33" s="87">
        <f>SUM(D23:D32)</f>
        <v>58181.818181818177</v>
      </c>
      <c r="E33" s="86">
        <f>SUM(E23:E32)</f>
        <v>0.54999999999999993</v>
      </c>
      <c r="F33" s="85">
        <f>SUM(F23:F32)</f>
        <v>3443.181818181818</v>
      </c>
      <c r="H33" s="193">
        <v>0</v>
      </c>
      <c r="I33" s="173"/>
      <c r="J33" s="185" t="s">
        <v>41</v>
      </c>
      <c r="K33" s="96">
        <f t="shared" si="4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6136.4000000000005</v>
      </c>
      <c r="H34" s="190">
        <v>0</v>
      </c>
      <c r="I34" s="173">
        <v>15000</v>
      </c>
      <c r="J34" s="147" t="s">
        <v>106</v>
      </c>
      <c r="K34" s="96">
        <f t="shared" si="4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7819.1405797101452</v>
      </c>
      <c r="H35" s="192">
        <v>0</v>
      </c>
      <c r="I35" s="201">
        <v>7500</v>
      </c>
      <c r="J35" s="179" t="s">
        <v>108</v>
      </c>
      <c r="K35" s="205">
        <f t="shared" si="4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3423.2</v>
      </c>
      <c r="E36" s="58"/>
      <c r="H36" s="194" t="s">
        <v>95</v>
      </c>
      <c r="I36" s="195" t="s">
        <v>112</v>
      </c>
      <c r="J36" s="340" t="s">
        <v>176</v>
      </c>
      <c r="K36" s="341" t="s">
        <v>93</v>
      </c>
      <c r="L36" s="203">
        <f>SUM(K37:K49)</f>
        <v>3423.2</v>
      </c>
      <c r="N36" s="65"/>
    </row>
    <row r="37" spans="2:16" ht="15" thickBot="1" x14ac:dyDescent="0.35">
      <c r="B37" s="75"/>
      <c r="C37" s="74" t="s">
        <v>43</v>
      </c>
      <c r="D37" s="73"/>
      <c r="H37" s="342">
        <f>$E$33</f>
        <v>0.54999999999999993</v>
      </c>
      <c r="I37" s="199">
        <v>4394</v>
      </c>
      <c r="J37" s="343" t="s">
        <v>46</v>
      </c>
      <c r="K37" s="148">
        <f>I37*H37</f>
        <v>2416.6999999999998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17378.740579710146</v>
      </c>
      <c r="H38" s="344">
        <f t="shared" ref="H38:H49" si="5">$E$33</f>
        <v>0.54999999999999993</v>
      </c>
      <c r="I38" s="173">
        <v>127</v>
      </c>
      <c r="J38" s="149" t="s">
        <v>44</v>
      </c>
      <c r="K38" s="345">
        <f>I38*H38</f>
        <v>69.849999999999994</v>
      </c>
    </row>
    <row r="39" spans="2:16" x14ac:dyDescent="0.3">
      <c r="C39" s="338"/>
      <c r="D39" s="339"/>
      <c r="H39" s="344">
        <f t="shared" si="5"/>
        <v>0.54999999999999993</v>
      </c>
      <c r="I39" s="173">
        <v>253</v>
      </c>
      <c r="J39" s="149" t="s">
        <v>173</v>
      </c>
      <c r="K39" s="345">
        <f t="shared" ref="K39:K41" si="6">I39*H39</f>
        <v>139.14999999999998</v>
      </c>
    </row>
    <row r="40" spans="2:16" x14ac:dyDescent="0.3">
      <c r="C40" s="338"/>
      <c r="D40" s="339"/>
      <c r="H40" s="344">
        <f t="shared" si="5"/>
        <v>0.54999999999999993</v>
      </c>
      <c r="I40" s="173">
        <v>61</v>
      </c>
      <c r="J40" s="149" t="s">
        <v>172</v>
      </c>
      <c r="K40" s="345">
        <f t="shared" si="6"/>
        <v>33.549999999999997</v>
      </c>
      <c r="O40">
        <f>O39/22</f>
        <v>0</v>
      </c>
    </row>
    <row r="41" spans="2:16" x14ac:dyDescent="0.3">
      <c r="C41" s="338"/>
      <c r="D41" s="339"/>
      <c r="H41" s="344">
        <f t="shared" si="5"/>
        <v>0.54999999999999993</v>
      </c>
      <c r="I41" s="173">
        <v>379</v>
      </c>
      <c r="J41" s="149" t="s">
        <v>174</v>
      </c>
      <c r="K41" s="345">
        <f t="shared" si="6"/>
        <v>208.45</v>
      </c>
      <c r="O41">
        <f>O40/9</f>
        <v>0</v>
      </c>
    </row>
    <row r="42" spans="2:16" x14ac:dyDescent="0.3">
      <c r="C42" s="338"/>
      <c r="D42" s="339"/>
      <c r="H42" s="344"/>
      <c r="I42" s="173"/>
      <c r="J42" s="149" t="s">
        <v>188</v>
      </c>
      <c r="K42" s="345"/>
    </row>
    <row r="43" spans="2:16" x14ac:dyDescent="0.3">
      <c r="C43" s="338"/>
      <c r="D43" s="339"/>
      <c r="H43" s="344">
        <f t="shared" si="5"/>
        <v>0.54999999999999993</v>
      </c>
      <c r="I43" s="173">
        <v>26</v>
      </c>
      <c r="J43" s="149" t="s">
        <v>175</v>
      </c>
      <c r="K43" s="345"/>
    </row>
    <row r="44" spans="2:16" x14ac:dyDescent="0.3">
      <c r="C44" s="338"/>
      <c r="D44" s="339"/>
      <c r="H44" s="344">
        <f t="shared" si="5"/>
        <v>0.54999999999999993</v>
      </c>
      <c r="I44" s="173">
        <v>253</v>
      </c>
      <c r="J44" s="149" t="s">
        <v>177</v>
      </c>
      <c r="K44" s="345"/>
    </row>
    <row r="45" spans="2:16" x14ac:dyDescent="0.3">
      <c r="C45" s="338"/>
      <c r="D45" s="339"/>
      <c r="H45" s="344">
        <f t="shared" si="5"/>
        <v>0.54999999999999993</v>
      </c>
      <c r="I45" s="173">
        <v>355</v>
      </c>
      <c r="J45" s="149" t="s">
        <v>178</v>
      </c>
      <c r="K45" s="345"/>
    </row>
    <row r="46" spans="2:16" x14ac:dyDescent="0.3">
      <c r="C46" s="338"/>
      <c r="D46" s="339"/>
      <c r="H46" s="344">
        <f t="shared" si="5"/>
        <v>0.54999999999999993</v>
      </c>
      <c r="I46" s="173">
        <v>76</v>
      </c>
      <c r="J46" s="149" t="s">
        <v>179</v>
      </c>
      <c r="K46" s="345"/>
    </row>
    <row r="47" spans="2:16" x14ac:dyDescent="0.3">
      <c r="C47" s="338"/>
      <c r="D47" s="339"/>
      <c r="H47" s="344">
        <f t="shared" si="5"/>
        <v>0.54999999999999993</v>
      </c>
      <c r="I47" s="173">
        <v>303</v>
      </c>
      <c r="J47" s="149" t="s">
        <v>180</v>
      </c>
      <c r="K47" s="345"/>
    </row>
    <row r="48" spans="2:16" x14ac:dyDescent="0.3">
      <c r="C48" s="338"/>
      <c r="D48" s="339"/>
      <c r="H48" s="344">
        <f t="shared" si="5"/>
        <v>0.54999999999999993</v>
      </c>
      <c r="I48" s="173">
        <v>405</v>
      </c>
      <c r="J48" s="149" t="s">
        <v>181</v>
      </c>
      <c r="K48" s="345"/>
    </row>
    <row r="49" spans="2:13" ht="15" thickBot="1" x14ac:dyDescent="0.35">
      <c r="H49" s="346">
        <f t="shared" si="5"/>
        <v>0.54999999999999993</v>
      </c>
      <c r="I49" s="201">
        <v>1010</v>
      </c>
      <c r="J49" s="347" t="s">
        <v>45</v>
      </c>
      <c r="K49" s="84">
        <f>I49*H49</f>
        <v>555.49999999999989</v>
      </c>
    </row>
    <row r="50" spans="2:13" ht="15" thickBot="1" x14ac:dyDescent="0.35">
      <c r="B50" s="68" t="s">
        <v>53</v>
      </c>
      <c r="C50" s="67" t="s">
        <v>52</v>
      </c>
      <c r="D50" s="66">
        <f>E11-E21</f>
        <v>5725.4790000000003</v>
      </c>
    </row>
    <row r="51" spans="2:13" ht="15" thickBot="1" x14ac:dyDescent="0.35">
      <c r="H51" s="335" t="s">
        <v>61</v>
      </c>
      <c r="I51" s="336"/>
      <c r="J51" s="336"/>
      <c r="K51" s="336"/>
      <c r="L51" s="336"/>
      <c r="M51" s="337"/>
    </row>
    <row r="52" spans="2:13" ht="15" thickBot="1" x14ac:dyDescent="0.35">
      <c r="B52" s="75" t="s">
        <v>47</v>
      </c>
      <c r="C52" s="75"/>
      <c r="D52" s="202">
        <f>E33</f>
        <v>0.54999999999999993</v>
      </c>
      <c r="H52" s="77" t="s">
        <v>59</v>
      </c>
      <c r="I52" s="158" t="s">
        <v>58</v>
      </c>
      <c r="J52" s="159"/>
      <c r="K52" s="159"/>
      <c r="L52" s="160"/>
      <c r="M52" s="76">
        <f>D11</f>
        <v>54613.4</v>
      </c>
    </row>
    <row r="53" spans="2:13" ht="15" thickBot="1" x14ac:dyDescent="0.35">
      <c r="D53" s="57"/>
      <c r="H53" s="72" t="s">
        <v>57</v>
      </c>
      <c r="I53" s="161" t="s">
        <v>56</v>
      </c>
      <c r="J53" s="162"/>
      <c r="K53" s="162"/>
      <c r="L53" s="163"/>
      <c r="M53" s="64">
        <f>D21</f>
        <v>24479.300000000003</v>
      </c>
    </row>
    <row r="54" spans="2:13" x14ac:dyDescent="0.3">
      <c r="D54" s="57"/>
      <c r="I54" s="164" t="s">
        <v>55</v>
      </c>
      <c r="J54" s="165"/>
      <c r="K54" s="165"/>
      <c r="L54" s="166"/>
      <c r="M54" s="69">
        <f>F33</f>
        <v>3443.181818181818</v>
      </c>
    </row>
    <row r="55" spans="2:13" ht="15" thickBot="1" x14ac:dyDescent="0.35">
      <c r="D55" s="60"/>
      <c r="I55" s="167" t="s">
        <v>54</v>
      </c>
      <c r="J55" s="168"/>
      <c r="K55" s="168"/>
      <c r="L55" s="169"/>
      <c r="M55" s="63">
        <f>D38</f>
        <v>17378.740579710146</v>
      </c>
    </row>
    <row r="56" spans="2:13" ht="15" thickBot="1" x14ac:dyDescent="0.35">
      <c r="D56" s="60"/>
      <c r="I56" s="170" t="s">
        <v>51</v>
      </c>
      <c r="J56" s="171"/>
      <c r="K56" s="171"/>
      <c r="L56" s="172"/>
      <c r="M56" s="62">
        <f>M52-(SUM(M53:M55))</f>
        <v>9312.1776021080368</v>
      </c>
    </row>
    <row r="57" spans="2:13" x14ac:dyDescent="0.3">
      <c r="I57" s="161" t="s">
        <v>50</v>
      </c>
      <c r="J57" s="162"/>
      <c r="K57" s="162"/>
      <c r="L57" s="163"/>
      <c r="M57" s="64"/>
    </row>
    <row r="58" spans="2:13" ht="15" thickBot="1" x14ac:dyDescent="0.35">
      <c r="D58" s="60"/>
      <c r="I58" s="167" t="s">
        <v>49</v>
      </c>
      <c r="J58" s="168"/>
      <c r="K58" s="168"/>
      <c r="L58" s="169"/>
      <c r="M58" s="63"/>
    </row>
    <row r="59" spans="2:13" ht="15" thickBot="1" x14ac:dyDescent="0.35">
      <c r="C59" s="59"/>
      <c r="D59" s="58"/>
      <c r="I59" s="170" t="s">
        <v>48</v>
      </c>
      <c r="J59" s="171"/>
      <c r="K59" s="171"/>
      <c r="L59" s="172"/>
      <c r="M59" s="62">
        <f>M56-SUM(M57:M58)</f>
        <v>9312.1776021080368</v>
      </c>
    </row>
    <row r="62" spans="2:13" x14ac:dyDescent="0.3">
      <c r="D62" s="57"/>
    </row>
    <row r="64" spans="2:13" x14ac:dyDescent="0.3">
      <c r="D64" s="57"/>
    </row>
    <row r="66" spans="4:4" x14ac:dyDescent="0.3">
      <c r="D66" s="57"/>
    </row>
  </sheetData>
  <mergeCells count="3">
    <mergeCell ref="O7:O8"/>
    <mergeCell ref="H7:K7"/>
    <mergeCell ref="H51:M5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2025-05-08T17:12:16Z</cp:lastPrinted>
  <dcterms:created xsi:type="dcterms:W3CDTF">2013-03-18T13:35:42Z</dcterms:created>
  <dcterms:modified xsi:type="dcterms:W3CDTF">2025-05-11T04:42:44Z</dcterms:modified>
</cp:coreProperties>
</file>