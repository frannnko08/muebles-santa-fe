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8_{400C885C-741B-43A7-A5D9-1CCD4E02B770}" xr6:coauthVersionLast="47" xr6:coauthVersionMax="47" xr10:uidLastSave="{00000000-0000-0000-0000-000000000000}"/>
  <bookViews>
    <workbookView xWindow="-108" yWindow="-108" windowWidth="23256" windowHeight="12456" activeTab="1" xr2:uid="{4616CCE1-2689-4AD0-A48C-1A11E9E768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H4" i="2" l="1"/>
  <c r="K12" i="1" l="1"/>
  <c r="E15" i="1"/>
  <c r="E14" i="1"/>
</calcChain>
</file>

<file path=xl/sharedStrings.xml><?xml version="1.0" encoding="utf-8"?>
<sst xmlns="http://schemas.openxmlformats.org/spreadsheetml/2006/main" count="40" uniqueCount="36">
  <si>
    <t>FELIPE</t>
  </si>
  <si>
    <t>FEBRERO</t>
  </si>
  <si>
    <t>MONTO IVA</t>
  </si>
  <si>
    <t>MES</t>
  </si>
  <si>
    <t>DICIEMBRE</t>
  </si>
  <si>
    <t>ENERO</t>
  </si>
  <si>
    <t>PAGADO</t>
  </si>
  <si>
    <t>MARZO</t>
  </si>
  <si>
    <t>CHARLY - DEUDA PENDIENTE</t>
  </si>
  <si>
    <t>FINIQUITO</t>
  </si>
  <si>
    <t>10 MESES</t>
  </si>
  <si>
    <t>ULTIMO MES</t>
  </si>
  <si>
    <t>NOVIEMBRE</t>
  </si>
  <si>
    <t xml:space="preserve">OCTUBRE </t>
  </si>
  <si>
    <t>TESORERIA</t>
  </si>
  <si>
    <t>PENDIENTE</t>
  </si>
  <si>
    <t>FUTUROS INGRESOS</t>
  </si>
  <si>
    <t xml:space="preserve">Deudas </t>
  </si>
  <si>
    <t>Charly Finiquito</t>
  </si>
  <si>
    <t>Charly sueldo</t>
  </si>
  <si>
    <t>Deuda Mama</t>
  </si>
  <si>
    <t xml:space="preserve">Deuda Franco </t>
  </si>
  <si>
    <t>Deuda Sem. Franco</t>
  </si>
  <si>
    <t>Deuda Luz</t>
  </si>
  <si>
    <t>Deuda Sra Atlantide</t>
  </si>
  <si>
    <t>Deuda Felipe</t>
  </si>
  <si>
    <t>Deuda INAF</t>
  </si>
  <si>
    <t>Deuda Imposiciones</t>
  </si>
  <si>
    <t>Deuda SII</t>
  </si>
  <si>
    <t>Deuda TGR</t>
  </si>
  <si>
    <t>Deuda ISAPRE</t>
  </si>
  <si>
    <t>ASENJO</t>
  </si>
  <si>
    <t>Q CLASS</t>
  </si>
  <si>
    <t>FECHA</t>
  </si>
  <si>
    <t>CONVENIO TGR</t>
  </si>
  <si>
    <t>Deuda Papá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</si>
</sst>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42" fontId="0" fillId="0" borderId="0" xfId="1" applyFont="1"/>
    <xf numFmtId="42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42" fontId="0" fillId="2" borderId="0" xfId="1" applyFont="1" applyFill="1"/>
    <xf numFmtId="0" fontId="0" fillId="3" borderId="0" xfId="0" applyFill="1"/>
    <xf numFmtId="42" fontId="0" fillId="3" borderId="0" xfId="1" applyFont="1" applyFill="1"/>
    <xf numFmtId="0" fontId="0" fillId="4" borderId="0" xfId="0" applyFill="1"/>
    <xf numFmtId="42" fontId="0" fillId="4" borderId="0" xfId="1" applyFont="1" applyFill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60B1-9D23-471B-A97E-42CAC9B88F97}">
  <dimension ref="C2:K19"/>
  <sheetViews>
    <sheetView workbookViewId="0">
      <selection activeCell="G12" sqref="G12"/>
    </sheetView>
  </sheetViews>
  <sheetFormatPr baseColWidth="10" defaultRowHeight="14.4" x14ac:dyDescent="0.3"/>
  <cols>
    <col min="5" max="5" width="14.109375" customWidth="1"/>
  </cols>
  <sheetData>
    <row r="2" spans="3:11" x14ac:dyDescent="0.3">
      <c r="C2" t="s">
        <v>3</v>
      </c>
      <c r="D2" t="s">
        <v>2</v>
      </c>
    </row>
    <row r="3" spans="3:11" x14ac:dyDescent="0.3">
      <c r="C3" t="s">
        <v>1</v>
      </c>
      <c r="D3" s="1">
        <v>796000</v>
      </c>
      <c r="E3" t="s">
        <v>15</v>
      </c>
    </row>
    <row r="4" spans="3:11" x14ac:dyDescent="0.3">
      <c r="C4" t="s">
        <v>5</v>
      </c>
      <c r="D4" s="1" t="s">
        <v>6</v>
      </c>
    </row>
    <row r="5" spans="3:11" x14ac:dyDescent="0.3">
      <c r="C5" t="s">
        <v>4</v>
      </c>
      <c r="D5" s="1">
        <v>1010468</v>
      </c>
      <c r="E5" t="s">
        <v>14</v>
      </c>
    </row>
    <row r="6" spans="3:11" x14ac:dyDescent="0.3">
      <c r="C6" t="s">
        <v>12</v>
      </c>
      <c r="D6" s="1" t="s">
        <v>6</v>
      </c>
    </row>
    <row r="7" spans="3:11" x14ac:dyDescent="0.3">
      <c r="C7" t="s">
        <v>13</v>
      </c>
      <c r="D7" s="1">
        <v>235387</v>
      </c>
      <c r="E7" t="s">
        <v>14</v>
      </c>
    </row>
    <row r="8" spans="3:11" x14ac:dyDescent="0.3">
      <c r="D8" s="1"/>
    </row>
    <row r="11" spans="3:11" x14ac:dyDescent="0.3">
      <c r="D11" s="3" t="s">
        <v>8</v>
      </c>
      <c r="E11" s="3"/>
    </row>
    <row r="12" spans="3:11" x14ac:dyDescent="0.3">
      <c r="D12" t="s">
        <v>1</v>
      </c>
      <c r="E12" s="1">
        <v>150000</v>
      </c>
      <c r="K12">
        <f>875000+255000</f>
        <v>1130000</v>
      </c>
    </row>
    <row r="13" spans="3:11" x14ac:dyDescent="0.3">
      <c r="D13" t="s">
        <v>5</v>
      </c>
      <c r="E13" s="1">
        <v>10000</v>
      </c>
    </row>
    <row r="14" spans="3:11" x14ac:dyDescent="0.3">
      <c r="D14" t="s">
        <v>7</v>
      </c>
      <c r="E14" s="1">
        <f>15000*7</f>
        <v>105000</v>
      </c>
    </row>
    <row r="15" spans="3:11" x14ac:dyDescent="0.3">
      <c r="E15" s="2">
        <f>SUM(E12:E14)</f>
        <v>265000</v>
      </c>
    </row>
    <row r="17" spans="3:5" x14ac:dyDescent="0.3">
      <c r="C17" t="s">
        <v>10</v>
      </c>
      <c r="D17" s="3" t="s">
        <v>9</v>
      </c>
      <c r="E17" s="3"/>
    </row>
    <row r="18" spans="3:5" x14ac:dyDescent="0.3">
      <c r="E18" s="1">
        <v>190000</v>
      </c>
    </row>
    <row r="19" spans="3:5" x14ac:dyDescent="0.3">
      <c r="D19" t="s">
        <v>11</v>
      </c>
      <c r="E19" s="1">
        <v>199000</v>
      </c>
    </row>
  </sheetData>
  <mergeCells count="2">
    <mergeCell ref="D11:E11"/>
    <mergeCell ref="D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E115-F1D6-4A9F-A694-ED0BDFAA0A68}">
  <dimension ref="B2:N33"/>
  <sheetViews>
    <sheetView tabSelected="1" topLeftCell="A4" workbookViewId="0">
      <selection activeCell="E25" sqref="E25"/>
    </sheetView>
  </sheetViews>
  <sheetFormatPr baseColWidth="10" defaultRowHeight="14.4" x14ac:dyDescent="0.3"/>
  <cols>
    <col min="2" max="2" width="18.77734375" bestFit="1" customWidth="1"/>
    <col min="3" max="3" width="18" style="1" bestFit="1" customWidth="1"/>
    <col min="13" max="14" width="11.5546875" style="1"/>
  </cols>
  <sheetData>
    <row r="2" spans="2:14" x14ac:dyDescent="0.3">
      <c r="B2" s="3" t="s">
        <v>16</v>
      </c>
      <c r="C2" s="3"/>
      <c r="L2" t="s">
        <v>33</v>
      </c>
      <c r="M2" s="1" t="s">
        <v>0</v>
      </c>
    </row>
    <row r="3" spans="2:14" x14ac:dyDescent="0.3">
      <c r="B3" t="s">
        <v>31</v>
      </c>
      <c r="H3">
        <v>1466441</v>
      </c>
      <c r="I3" s="2">
        <f>H3-C12</f>
        <v>1276441</v>
      </c>
      <c r="L3" s="4">
        <v>45733</v>
      </c>
      <c r="M3" s="1">
        <v>200000</v>
      </c>
    </row>
    <row r="4" spans="2:14" x14ac:dyDescent="0.3">
      <c r="B4" t="s">
        <v>32</v>
      </c>
      <c r="H4" s="2">
        <f>H3-C13</f>
        <v>1201441</v>
      </c>
      <c r="L4" s="4">
        <v>45726</v>
      </c>
      <c r="M4" s="1">
        <v>100000</v>
      </c>
    </row>
    <row r="5" spans="2:14" x14ac:dyDescent="0.3">
      <c r="L5" s="4">
        <v>45726</v>
      </c>
      <c r="M5" s="1">
        <v>200000</v>
      </c>
    </row>
    <row r="6" spans="2:14" x14ac:dyDescent="0.3">
      <c r="L6" s="4">
        <v>45723</v>
      </c>
      <c r="M6" s="1">
        <v>20000</v>
      </c>
    </row>
    <row r="7" spans="2:14" x14ac:dyDescent="0.3">
      <c r="L7" s="4">
        <v>45722</v>
      </c>
      <c r="M7" s="1">
        <v>40000</v>
      </c>
    </row>
    <row r="8" spans="2:14" x14ac:dyDescent="0.3">
      <c r="L8" s="4">
        <v>45721</v>
      </c>
      <c r="M8" s="1">
        <v>500000</v>
      </c>
    </row>
    <row r="9" spans="2:14" x14ac:dyDescent="0.3">
      <c r="L9" s="4">
        <v>45719</v>
      </c>
      <c r="M9" s="1">
        <v>90000</v>
      </c>
    </row>
    <row r="10" spans="2:14" x14ac:dyDescent="0.3">
      <c r="L10" s="4">
        <v>45715</v>
      </c>
      <c r="N10" s="1">
        <v>30000</v>
      </c>
    </row>
    <row r="11" spans="2:14" x14ac:dyDescent="0.3">
      <c r="B11" s="3" t="s">
        <v>17</v>
      </c>
      <c r="C11" s="3"/>
      <c r="L11" s="4">
        <v>45715</v>
      </c>
      <c r="M11" s="1">
        <v>115000</v>
      </c>
    </row>
    <row r="12" spans="2:14" x14ac:dyDescent="0.3">
      <c r="B12" t="s">
        <v>18</v>
      </c>
      <c r="C12" s="1">
        <v>190000</v>
      </c>
      <c r="L12" s="4">
        <v>45715</v>
      </c>
      <c r="M12" s="1">
        <v>20000</v>
      </c>
    </row>
    <row r="13" spans="2:14" x14ac:dyDescent="0.3">
      <c r="B13" s="6" t="s">
        <v>19</v>
      </c>
      <c r="C13" s="7">
        <v>265000</v>
      </c>
      <c r="L13" s="4">
        <v>45707</v>
      </c>
      <c r="M13" s="1">
        <v>100000</v>
      </c>
    </row>
    <row r="14" spans="2:14" x14ac:dyDescent="0.3">
      <c r="B14" t="s">
        <v>20</v>
      </c>
      <c r="C14" s="1">
        <v>800000</v>
      </c>
      <c r="L14" s="4">
        <v>45706</v>
      </c>
      <c r="M14" s="1">
        <v>120000</v>
      </c>
    </row>
    <row r="15" spans="2:14" x14ac:dyDescent="0.3">
      <c r="B15" t="s">
        <v>21</v>
      </c>
      <c r="C15" s="1">
        <v>300000</v>
      </c>
      <c r="L15" s="4">
        <v>45705</v>
      </c>
      <c r="M15" s="1">
        <v>50000</v>
      </c>
    </row>
    <row r="16" spans="2:14" x14ac:dyDescent="0.3">
      <c r="B16" t="s">
        <v>22</v>
      </c>
      <c r="C16" s="1">
        <v>100000</v>
      </c>
      <c r="L16" s="4">
        <v>45699</v>
      </c>
      <c r="M16" s="1">
        <v>300000</v>
      </c>
    </row>
    <row r="17" spans="2:14" x14ac:dyDescent="0.3">
      <c r="B17" t="s">
        <v>23</v>
      </c>
      <c r="C17" s="1">
        <v>174160</v>
      </c>
      <c r="L17" s="4">
        <v>45698</v>
      </c>
      <c r="M17" s="1">
        <v>110000</v>
      </c>
    </row>
    <row r="18" spans="2:14" x14ac:dyDescent="0.3">
      <c r="B18" t="s">
        <v>24</v>
      </c>
      <c r="C18" s="1">
        <v>3000000</v>
      </c>
      <c r="L18" s="4">
        <v>45698</v>
      </c>
      <c r="M18" s="1">
        <v>100000</v>
      </c>
    </row>
    <row r="19" spans="2:14" x14ac:dyDescent="0.3">
      <c r="B19" t="s">
        <v>25</v>
      </c>
      <c r="C19" s="1">
        <v>500000</v>
      </c>
      <c r="L19" s="4">
        <v>45693</v>
      </c>
      <c r="M19" s="1">
        <v>20000</v>
      </c>
    </row>
    <row r="20" spans="2:14" x14ac:dyDescent="0.3">
      <c r="B20" t="s">
        <v>26</v>
      </c>
      <c r="C20" s="1">
        <v>900000</v>
      </c>
      <c r="L20" s="4">
        <v>45692</v>
      </c>
      <c r="N20" s="1">
        <v>250000</v>
      </c>
    </row>
    <row r="21" spans="2:14" x14ac:dyDescent="0.3">
      <c r="B21" t="s">
        <v>27</v>
      </c>
      <c r="L21" s="4">
        <v>45691</v>
      </c>
      <c r="M21" s="1">
        <v>30000</v>
      </c>
    </row>
    <row r="22" spans="2:14" x14ac:dyDescent="0.3">
      <c r="B22" t="s">
        <v>28</v>
      </c>
      <c r="C22" s="1">
        <v>765000</v>
      </c>
      <c r="L22" s="4">
        <v>45691</v>
      </c>
      <c r="M22" s="1">
        <v>30000</v>
      </c>
    </row>
    <row r="23" spans="2:14" x14ac:dyDescent="0.3">
      <c r="B23" t="s">
        <v>29</v>
      </c>
      <c r="C23" s="1">
        <v>14456000</v>
      </c>
      <c r="L23" s="4">
        <v>45691</v>
      </c>
      <c r="M23" s="1">
        <v>70000</v>
      </c>
    </row>
    <row r="24" spans="2:14" x14ac:dyDescent="0.3">
      <c r="B24" t="s">
        <v>30</v>
      </c>
      <c r="L24" s="4">
        <v>45688</v>
      </c>
      <c r="M24" s="1">
        <v>20000</v>
      </c>
    </row>
    <row r="25" spans="2:14" x14ac:dyDescent="0.3">
      <c r="B25" s="8" t="s">
        <v>34</v>
      </c>
      <c r="C25" s="9">
        <v>407000</v>
      </c>
      <c r="L25" s="4">
        <v>45686</v>
      </c>
      <c r="M25" s="1">
        <v>10000</v>
      </c>
    </row>
    <row r="26" spans="2:14" x14ac:dyDescent="0.3">
      <c r="B26" t="s">
        <v>35</v>
      </c>
      <c r="C26" s="1">
        <v>300000</v>
      </c>
      <c r="L26" s="4">
        <v>45679</v>
      </c>
      <c r="M26" s="5">
        <v>22000</v>
      </c>
    </row>
    <row r="27" spans="2:14" x14ac:dyDescent="0.3">
      <c r="L27" s="4">
        <v>45677</v>
      </c>
      <c r="M27" s="1">
        <v>100000</v>
      </c>
    </row>
    <row r="28" spans="2:14" x14ac:dyDescent="0.3">
      <c r="L28" s="4">
        <v>45672</v>
      </c>
      <c r="M28" s="1">
        <v>20000</v>
      </c>
    </row>
    <row r="29" spans="2:14" x14ac:dyDescent="0.3">
      <c r="L29" s="4">
        <v>45671</v>
      </c>
      <c r="M29" s="1">
        <v>20000</v>
      </c>
    </row>
    <row r="30" spans="2:14" x14ac:dyDescent="0.3">
      <c r="L30" s="4">
        <v>45667</v>
      </c>
      <c r="M30" s="1">
        <v>10000</v>
      </c>
    </row>
    <row r="31" spans="2:14" x14ac:dyDescent="0.3">
      <c r="L31" s="4">
        <v>45663</v>
      </c>
      <c r="M31" s="1">
        <v>50000</v>
      </c>
    </row>
    <row r="32" spans="2:14" x14ac:dyDescent="0.3">
      <c r="L32" s="4">
        <v>45663</v>
      </c>
      <c r="M32" s="5">
        <v>28000</v>
      </c>
    </row>
    <row r="33" spans="12:13" x14ac:dyDescent="0.3">
      <c r="L33" s="4">
        <v>45659</v>
      </c>
      <c r="M33" s="1">
        <v>100000</v>
      </c>
    </row>
  </sheetData>
  <mergeCells count="2">
    <mergeCell ref="B2:C2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donoso</dc:creator>
  <cp:lastModifiedBy>franco donoso</cp:lastModifiedBy>
  <dcterms:created xsi:type="dcterms:W3CDTF">2025-03-10T18:18:10Z</dcterms:created>
  <dcterms:modified xsi:type="dcterms:W3CDTF">2025-03-19T17:34:38Z</dcterms:modified>
</cp:coreProperties>
</file>