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43FE8DA1-4237-48A5-BA6D-3F2C0F332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M22" i="1"/>
  <c r="S22" i="1" s="1"/>
  <c r="N22" i="1"/>
  <c r="H22" i="1"/>
  <c r="N21" i="1"/>
  <c r="T21" i="1" s="1"/>
  <c r="T22" i="1" l="1"/>
  <c r="T25" i="1" s="1"/>
  <c r="O22" i="1"/>
  <c r="P22" i="1" s="1"/>
  <c r="M21" i="1"/>
  <c r="S21" i="1" s="1"/>
  <c r="M26" i="1" l="1"/>
  <c r="S26" i="1"/>
  <c r="S28" i="1" s="1"/>
  <c r="O21" i="1"/>
  <c r="P21" i="1" s="1"/>
  <c r="P26" i="1" s="1"/>
  <c r="K40" i="1"/>
  <c r="S29" i="1" l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<sst xmlns="http://schemas.openxmlformats.org/spreadsheetml/2006/main" count="231" uniqueCount="173">
  <si>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</si>
  <si>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</si>
  <si>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</si>
  <si>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</si>
  <si>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</si>
  <si>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</si>
  <si>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</si>
  <si>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</si>
  <si>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</si>
  <si>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</si>
  <si>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</si>
  <si>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</si>
  <si>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</si>
  <si>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</si>
  <si>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</si>
  <si>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</si>
  <si>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</si>
  <si>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</si>
  <si>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</si>
  <si>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</si>
  <si>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</si>
  <si>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</si>
  <si>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</si>
  <si>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</si>
  <si>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</si>
  <si>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</si>
  <si>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</si>
  <si>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</si>
  <si>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</si>
  <si>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</si>
  <si>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</si>
  <si>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</si>
  <si>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</si>
  <si>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</si>
  <si>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</si>
  <si>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</si>
  <si>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</si>
  <si>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</si>
  <si>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</si>
  <si>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</si>
  <si>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</si>
  <si>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</si>
  <si>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</si>
  <si>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</si>
  <si>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</si>
  <si>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</si>
  <si>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</si>
  <si>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</si>
  <si>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</si>
  <si>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</si>
  <si>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</si>
  <si>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</si>
  <si>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</si>
  <si>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</si>
  <si>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</si>
  <si>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</si>
  <si>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</si>
  <si>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</si>
  <si>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</si>
  <si>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</si>
  <si>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</si>
  <si>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</si>
  <si>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</si>
  <si>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</si>
  <si>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</si>
  <si>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</si>
  <si>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</si>
  <si>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</si>
  <si>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</si>
  <si>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</si>
  <si>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</si>
  <si>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</si>
  <si>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</si>
  <si>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</si>
  <si>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</si>
  <si>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</si>
  <si>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</si>
  <si>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</si>
  <si>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</si>
  <si>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</si>
  <si>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</si>
  <si>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</si>
  <si>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</si>
  <si>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</si>
  <si>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</si>
  <si>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</si>
  <si>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</si>
  <si>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</si>
  <si>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</si>
  <si>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</si>
  <si>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</si>
  <si>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</si>
  <si>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</si>
  <si>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</si>
  <si>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</si>
  <si>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</si>
  <si>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</si>
  <si>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</si>
  <si>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</si>
  <si>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</si>
  <si>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</si>
  <si>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</si>
  <si>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</si>
  <si>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</si>
  <si>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</si>
  <si>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</si>
  <si>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</si>
  <si>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</si>
  <si>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</si>
  <si>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</si>
  <si>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</si>
  <si>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</si>
  <si>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</si>
  <si>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</si>
  <si>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</si>
  <si>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</si>
  <si>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</si>
  <si>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</si>
  <si>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</si>
  <si>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</si>
  <si>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</si>
  <si>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</si>
  <si>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</si>
  <si>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</si>
  <si>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</si>
  <si>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</si>
  <si>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</si>
  <si>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</si>
  <si>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</si>
  <si>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</si>
  <si>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</si>
  <si>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</si>
  <si>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</si>
  <si>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</si>
  <si>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</si>
  <si>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</si>
  <si>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</si>
  <si>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</si>
  <si>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</si>
  <si>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</si>
  <si>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</si>
  <si>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</si>
  <si>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</si>
  <si>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</si>
  <si>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</si>
  <si>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</si>
  <si>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</si>
  <si>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</si>
  <si>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</si>
  <si>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</si>
  <si>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</si>
  <si>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</si>
  <si>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</si>
  <si>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</si>
  <si>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</si>
  <si>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</si>
  <si>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</si>
  <si>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</si>
  <si>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</si>
  <si>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</si>
  <si>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</si>
  <si>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</si>
  <si>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</si>
  <si>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</si>
  <si>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</si>
  <si>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</si>
  <si>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</si>
  <si>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</si>
  <si>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CUB CON RESPALDO Y FRENTE 90°</t>
  </si>
  <si>
    <t>N° 11445</t>
  </si>
  <si>
    <t>GABRIEL FERNANDEZ</t>
  </si>
  <si>
    <t>+569 8928 3707</t>
  </si>
  <si>
    <t>BLACK PEARL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</si>
</sst>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SOBRED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32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170</v>
      </c>
      <c r="D10" s="243"/>
      <c r="E10" s="243"/>
      <c r="F10" s="244" t="s">
        <v>0</v>
      </c>
      <c r="G10" s="276">
        <v>45799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171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79602.266112266123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4" t="s">
        <v>168</v>
      </c>
      <c r="D21" s="325">
        <v>2.21</v>
      </c>
      <c r="E21" s="325">
        <v>0.6</v>
      </c>
      <c r="F21" s="324" t="s">
        <v>172</v>
      </c>
      <c r="G21" s="326">
        <v>112374</v>
      </c>
      <c r="H21" s="326">
        <f>G21*B21</f>
        <v>112374</v>
      </c>
      <c r="I21" s="318"/>
      <c r="J21" s="265"/>
      <c r="K21" s="47"/>
      <c r="L21" s="47">
        <f>B21</f>
        <v>1</v>
      </c>
      <c r="M21" s="267">
        <f>D21+M$19</f>
        <v>2.29</v>
      </c>
      <c r="N21" s="267">
        <f>E21+$N$19</f>
        <v>0.6</v>
      </c>
      <c r="O21" s="261">
        <f t="shared" ref="O21" si="0">M21*N21</f>
        <v>1.3739999999999999</v>
      </c>
      <c r="P21" s="259">
        <f t="shared" ref="P21" si="1">O21*L21</f>
        <v>1.3739999999999999</v>
      </c>
      <c r="Q21" s="252">
        <f t="shared" ref="Q21" si="2">Q$20*O21</f>
        <v>109373.51363825364</v>
      </c>
      <c r="R21" s="317">
        <f t="shared" ref="R21" si="3">Q21+R$20</f>
        <v>112373.51363825364</v>
      </c>
      <c r="S21" s="295">
        <f>M21*L21</f>
        <v>2.29</v>
      </c>
      <c r="T21" s="46">
        <f>N21*2*L21</f>
        <v>1.2</v>
      </c>
      <c r="U21" s="9"/>
      <c r="X21" s="4"/>
    </row>
    <row r="22" spans="1:25" ht="17.399999999999999" x14ac:dyDescent="0.3">
      <c r="B22" s="324">
        <v>1</v>
      </c>
      <c r="C22" s="324" t="s">
        <v>168</v>
      </c>
      <c r="D22" s="325">
        <v>1.02</v>
      </c>
      <c r="E22" s="325">
        <v>0.5</v>
      </c>
      <c r="F22" s="324" t="s">
        <v>172</v>
      </c>
      <c r="G22" s="326">
        <v>46781</v>
      </c>
      <c r="H22" s="326">
        <f>G22*B22</f>
        <v>46781</v>
      </c>
      <c r="I22" s="318"/>
      <c r="J22" s="265"/>
      <c r="K22" s="47"/>
      <c r="L22" s="47">
        <f>B22</f>
        <v>1</v>
      </c>
      <c r="M22" s="267">
        <f>D22+M$19</f>
        <v>1.1000000000000001</v>
      </c>
      <c r="N22" s="267">
        <f>E22+$N$19</f>
        <v>0.5</v>
      </c>
      <c r="O22" s="261">
        <f t="shared" ref="O22" si="4">M22*N22</f>
        <v>0.55000000000000004</v>
      </c>
      <c r="P22" s="259">
        <f t="shared" ref="P22" si="5">O22*L22</f>
        <v>0.55000000000000004</v>
      </c>
      <c r="Q22" s="252">
        <f t="shared" ref="Q22" si="6">Q$20*O22</f>
        <v>43781.246361746373</v>
      </c>
      <c r="R22" s="317">
        <f t="shared" ref="R22" si="7">Q22+R$20</f>
        <v>46781.246361746373</v>
      </c>
      <c r="S22" s="295">
        <f t="shared" ref="S22" si="8">M22*L22</f>
        <v>1.1000000000000001</v>
      </c>
      <c r="T22" s="46">
        <f t="shared" ref="T22" si="9">N22*2*L22</f>
        <v>1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8"/>
      <c r="H23" s="318"/>
      <c r="I23" s="318"/>
      <c r="J23" s="265"/>
      <c r="K23" s="47"/>
      <c r="L23" s="47"/>
      <c r="M23" s="39"/>
      <c r="N23" s="39"/>
      <c r="O23" s="261"/>
      <c r="P23" s="259"/>
      <c r="Q23" s="252"/>
      <c r="R23" s="317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159155</v>
      </c>
      <c r="I25" s="320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2.2000000000000002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30239.45</v>
      </c>
      <c r="I26" s="320"/>
      <c r="J26" s="265"/>
      <c r="K26" s="47"/>
      <c r="L26" s="47"/>
      <c r="M26" s="39">
        <f>SUM(M21:M22)</f>
        <v>3.39</v>
      </c>
      <c r="N26" s="12"/>
      <c r="O26" s="12"/>
      <c r="P26" s="253">
        <f>SUM(P21:P24)</f>
        <v>1.9239999999999999</v>
      </c>
      <c r="Q26" s="14"/>
      <c r="R26" s="12"/>
      <c r="S26" s="239">
        <f>SUM(S21:S25)</f>
        <v>3.39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189394.45</v>
      </c>
      <c r="I27" s="320"/>
      <c r="J27" s="265"/>
      <c r="K27" s="47"/>
      <c r="L27" s="47"/>
      <c r="M27" s="39"/>
      <c r="N27" s="12"/>
      <c r="O27" s="12"/>
      <c r="P27" s="253">
        <f>P26</f>
        <v>1.9239999999999999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0.38480000000000003</v>
      </c>
      <c r="Q28" s="39" t="s">
        <v>130</v>
      </c>
      <c r="R28" s="42"/>
      <c r="S28" s="240">
        <f>S26+T25</f>
        <v>5.59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2.3087999999999997</v>
      </c>
      <c r="Q29" s="14"/>
      <c r="R29" s="14"/>
      <c r="S29" s="238">
        <f>S28*20%</f>
        <v>1.1180000000000001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6.7080000000000002</v>
      </c>
      <c r="T30" s="14"/>
      <c r="U30" s="300" t="s">
        <v>21</v>
      </c>
      <c r="V30" s="297" t="s">
        <v>152</v>
      </c>
      <c r="W30" s="301">
        <v>44971</v>
      </c>
      <c r="X30" s="302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2.3087999999999997</v>
      </c>
      <c r="N31" s="12">
        <v>3500</v>
      </c>
      <c r="O31" s="12">
        <f t="shared" ref="O31:O36" si="10">M31*N31</f>
        <v>8080.7999999999993</v>
      </c>
      <c r="P31" s="14" t="s">
        <v>21</v>
      </c>
      <c r="Q31" s="14"/>
      <c r="R31" s="14"/>
      <c r="S31" s="241"/>
      <c r="T31" s="14"/>
      <c r="U31" s="300" t="s">
        <v>153</v>
      </c>
      <c r="V31" s="297">
        <v>3625</v>
      </c>
      <c r="W31" s="59" t="s">
        <v>154</v>
      </c>
      <c r="X31" s="302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23500</v>
      </c>
      <c r="O32" s="12">
        <f t="shared" si="10"/>
        <v>16450</v>
      </c>
      <c r="P32" s="39" t="s">
        <v>31</v>
      </c>
      <c r="Q32" s="42"/>
      <c r="R32" s="14"/>
      <c r="S32" s="240"/>
      <c r="T32" s="14"/>
      <c r="U32" s="300"/>
      <c r="V32" s="59">
        <v>906.25</v>
      </c>
      <c r="W32" s="59" t="s">
        <v>155</v>
      </c>
      <c r="X32" s="302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36000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2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40000</v>
      </c>
      <c r="O34" s="12">
        <f t="shared" si="10"/>
        <v>40000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2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>
        <v>3.39</v>
      </c>
      <c r="N36" s="12">
        <v>1500</v>
      </c>
      <c r="O36" s="12">
        <f t="shared" si="10"/>
        <v>5085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69615.8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153154.76</v>
      </c>
      <c r="P38" s="14" t="s">
        <v>140</v>
      </c>
      <c r="Q38" s="14"/>
      <c r="R38" s="40">
        <f>P29/R37</f>
        <v>0.62251941328731653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30840</v>
      </c>
      <c r="L39" s="250"/>
      <c r="M39" s="14"/>
      <c r="N39" s="12"/>
      <c r="O39" s="12">
        <f>O38/P27</f>
        <v>79602.266112266123</v>
      </c>
      <c r="P39" s="45" t="s">
        <v>24</v>
      </c>
      <c r="Q39" s="14"/>
      <c r="R39" s="14"/>
      <c r="S39"/>
      <c r="T39" s="238"/>
      <c r="U39" s="59" t="s">
        <v>158</v>
      </c>
      <c r="V39" s="297">
        <v>43650</v>
      </c>
    </row>
    <row r="40" spans="2:24" s="230" customFormat="1" ht="17.399999999999999" x14ac:dyDescent="0.35">
      <c r="G40"/>
      <c r="K40" s="230">
        <f>K39/1.19</f>
        <v>25915.966386554624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298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299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45799</v>
      </c>
    </row>
    <row r="6" spans="2:31" ht="16.2" thickBot="1" x14ac:dyDescent="0.35">
      <c r="B6" s="140" t="s">
        <v>2</v>
      </c>
      <c r="C6" s="139" t="str">
        <f>'2229'!C10</f>
        <v>GABRIEL FERNANDEZ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-11575.48836678744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159155</v>
      </c>
      <c r="E11" s="132">
        <f>D11*0.19</f>
        <v>30239.45</v>
      </c>
      <c r="F11" s="131">
        <f>E11+D11</f>
        <v>189394.45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94414.511633212562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54364.89078743961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76414.511633212562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104790.10921256039</v>
      </c>
      <c r="E13" s="221">
        <f>(D11/D12)-1</f>
        <v>1.9275327825503688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67414.511633212562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28414.511633212562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89702.069799275356</v>
      </c>
      <c r="F15" s="216">
        <f>E15-D12</f>
        <v>35337.179011835746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28414.511633212562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68414.511633212562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8080.7999999999993</v>
      </c>
      <c r="E20" s="121">
        <f>D20*0.19</f>
        <v>1535.3519999999999</v>
      </c>
      <c r="F20" s="120">
        <f>SUM(D20:E20)</f>
        <v>9616.1519999999982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24530.799999999999</v>
      </c>
      <c r="E21" s="116">
        <f>SUM(E18:E20)</f>
        <v>4660.8519999999999</v>
      </c>
      <c r="F21" s="115">
        <f>SUM(F18:F20)</f>
        <v>29191.651999999998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25578.598000000002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159155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24530.799999999999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104790.10921256039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104790.10921256039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2025-05-26T19:43:30Z</dcterms:modified>
</cp:coreProperties>
</file>