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F5F346E0-0513-4992-87DC-717C6282A7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4" i="1"/>
  <c r="M24" i="1"/>
  <c r="O24" i="1" s="1"/>
  <c r="P24" i="1" s="1"/>
  <c r="N24" i="1"/>
  <c r="L24" i="1"/>
  <c r="H22" i="1"/>
  <c r="H23" i="1"/>
  <c r="M22" i="1"/>
  <c r="N22" i="1"/>
  <c r="O22" i="1"/>
  <c r="M23" i="1"/>
  <c r="N23" i="1"/>
  <c r="O23" i="1"/>
  <c r="N21" i="1"/>
  <c r="P23" i="1" l="1"/>
  <c r="P22" i="1"/>
  <c r="M21" i="1"/>
  <c r="M28" i="1" s="1"/>
  <c r="S21" i="1" l="1"/>
  <c r="S28" i="1" s="1"/>
  <c r="T21" i="1"/>
  <c r="T27" i="1" s="1"/>
  <c r="O21" i="1"/>
  <c r="P21" i="1" s="1"/>
  <c r="P28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Q24" i="1" s="1"/>
  <c r="R24" i="1" s="1"/>
  <c r="D21" i="3"/>
  <c r="M43" i="3" s="1"/>
  <c r="D12" i="3" s="1"/>
  <c r="F20" i="3"/>
  <c r="F21" i="3" s="1"/>
  <c r="Q23" i="1" l="1"/>
  <c r="R23" i="1" s="1"/>
  <c r="Q22" i="1"/>
  <c r="R22" i="1" s="1"/>
  <c r="O42" i="1"/>
  <c r="E15" i="3"/>
  <c r="Q21" i="1" l="1"/>
  <c r="F15" i="3"/>
  <c r="R21" i="1" l="1"/>
  <c r="H21" i="1" l="1"/>
  <c r="H28" i="1" l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<sst xmlns="http://schemas.openxmlformats.org/spreadsheetml/2006/main" count="239" uniqueCount="180">
  <si>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</si>
  <si>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</si>
  <si>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</si>
  <si>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</si>
  <si>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</si>
  <si>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</si>
  <si>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</si>
  <si>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</si>
  <si>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</si>
  <si>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</si>
  <si>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</si>
  <si>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</si>
  <si>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</si>
  <si>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</si>
  <si>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</si>
  <si>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</si>
  <si>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</si>
  <si>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</si>
  <si>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</si>
  <si>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</si>
  <si>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</si>
  <si>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</si>
  <si>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</si>
  <si>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</si>
  <si>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</si>
  <si>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</si>
  <si>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</si>
  <si>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</si>
  <si>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</si>
  <si>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</si>
  <si>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</si>
  <si>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</si>
  <si>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</si>
  <si>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</si>
  <si>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</si>
  <si>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</si>
  <si>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</si>
  <si>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</si>
  <si>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</si>
  <si>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</si>
  <si>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</si>
  <si>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</si>
  <si>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</si>
  <si>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</si>
  <si>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</si>
  <si>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</si>
  <si>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</si>
  <si>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</si>
  <si>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</si>
  <si>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</si>
  <si>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</si>
  <si>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</si>
  <si>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</si>
  <si>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</si>
  <si>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</si>
  <si>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</si>
  <si>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</si>
  <si>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</si>
  <si>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</si>
  <si>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</si>
  <si>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</si>
  <si>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</si>
  <si>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</si>
  <si>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</si>
  <si>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</si>
  <si>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</si>
  <si>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</si>
  <si>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</si>
  <si>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</si>
  <si>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</si>
  <si>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</si>
  <si>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</si>
  <si>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</si>
  <si>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</si>
  <si>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</si>
  <si>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</si>
  <si>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</si>
  <si>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</si>
  <si>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</si>
  <si>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</si>
  <si>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</si>
  <si>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</si>
  <si>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</si>
  <si>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</si>
  <si>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</si>
  <si>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</si>
  <si>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</si>
  <si>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</si>
  <si>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</si>
  <si>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</si>
  <si>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</si>
  <si>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</si>
  <si>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</si>
  <si>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</si>
  <si>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</si>
  <si>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</si>
  <si>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</si>
  <si>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</si>
  <si>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</si>
  <si>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</si>
  <si>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</si>
  <si>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</si>
  <si>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</si>
  <si>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</si>
  <si>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</si>
  <si>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</si>
  <si>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</si>
  <si>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</si>
  <si>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</si>
  <si>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</si>
  <si>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</si>
  <si>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</si>
  <si>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</si>
  <si>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</si>
  <si>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</si>
  <si>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</si>
  <si>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</si>
  <si>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</si>
  <si>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</si>
  <si>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</si>
  <si>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</si>
  <si>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</si>
  <si>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</si>
  <si>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</si>
  <si>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</si>
  <si>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</si>
  <si>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</si>
  <si>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</si>
  <si>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</si>
  <si>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</si>
  <si>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</si>
  <si>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</si>
  <si>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</si>
  <si>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</si>
  <si>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</si>
  <si>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</si>
  <si>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</si>
  <si>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</si>
  <si>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</si>
  <si>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</si>
  <si>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</si>
  <si>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</si>
  <si>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</si>
  <si>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</si>
  <si>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</si>
  <si>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</si>
  <si>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</si>
  <si>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</si>
  <si>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</si>
  <si>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</si>
  <si>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</si>
  <si>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</si>
  <si>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</si>
  <si>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</si>
  <si>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</si>
  <si>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</si>
  <si>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</si>
  <si>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</si>
  <si>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</si>
  <si>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</si>
  <si>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</si>
  <si>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</si>
  <si>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</si>
  <si>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</si>
  <si>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</si>
  <si>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</si>
  <si>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CUB CON RESPALDO FRENTE 90°</t>
  </si>
  <si>
    <t>EMBALAJE</t>
  </si>
  <si>
    <t>PLAZO ENTREGA</t>
  </si>
  <si>
    <t>FECHA</t>
  </si>
  <si>
    <t>DESPACHO</t>
  </si>
  <si>
    <t>N° 11431</t>
  </si>
  <si>
    <t>JORMAS MONTAJE INDUSTRIAL SPA</t>
  </si>
  <si>
    <t>77.718.564-0</t>
  </si>
  <si>
    <t>+569 5423 2521</t>
  </si>
  <si>
    <t>DANIELA PEREZ</t>
  </si>
  <si>
    <t>BLANCO OPACO</t>
  </si>
  <si>
    <t xml:space="preserve">CUB MESA RECTA </t>
  </si>
  <si>
    <t>CUB A PISO</t>
  </si>
  <si>
    <t>COLOR CHOCOLATE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</si>
</sst>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10" sqref="G10"/>
    </sheetView>
  </sheetViews>
  <sheetFormatPr baseColWidth="10" defaultRowHeight="14.4" x14ac:dyDescent="0.3"/>
  <cols>
    <col min="1" max="1" width="6" customWidth="1"/>
    <col min="2" max="2" width="10.5546875" customWidth="1"/>
    <col min="3" max="3" width="31.886718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172</v>
      </c>
      <c r="D10" s="243"/>
      <c r="E10" s="243"/>
      <c r="F10" s="244" t="s">
        <v>169</v>
      </c>
      <c r="G10" s="276">
        <v>45790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173</v>
      </c>
      <c r="F11" t="s">
        <v>168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C13" t="s">
        <v>175</v>
      </c>
      <c r="F13" t="s">
        <v>167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170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2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88966.890756302528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166</v>
      </c>
      <c r="D21" s="330">
        <v>0.75</v>
      </c>
      <c r="E21" s="330">
        <v>0.5</v>
      </c>
      <c r="F21" s="329" t="s">
        <v>176</v>
      </c>
      <c r="G21" s="331">
        <v>38045</v>
      </c>
      <c r="H21" s="331">
        <f>G21*B21</f>
        <v>38045</v>
      </c>
      <c r="I21" s="319"/>
      <c r="J21" s="265"/>
      <c r="K21" s="47"/>
      <c r="L21" s="47"/>
      <c r="M21" s="39">
        <f>D21+M$19</f>
        <v>0.83</v>
      </c>
      <c r="N21" s="39">
        <f>E21+$N$19</f>
        <v>0.5</v>
      </c>
      <c r="O21" s="261">
        <f t="shared" ref="O21" si="1">M21*N21</f>
        <v>0.41499999999999998</v>
      </c>
      <c r="P21" s="259">
        <f t="shared" ref="P21" si="2">O21*L21</f>
        <v>0</v>
      </c>
      <c r="Q21" s="252">
        <f t="shared" ref="Q21" si="3">Q$20*O21</f>
        <v>36921.259663865545</v>
      </c>
      <c r="R21" s="318">
        <f t="shared" ref="R21" si="4">Q21+R$20</f>
        <v>39921.259663865545</v>
      </c>
      <c r="S21" s="297">
        <f>M21*L21</f>
        <v>0</v>
      </c>
      <c r="T21" s="46">
        <f>N21*2*L21*2</f>
        <v>0</v>
      </c>
      <c r="U21" s="9"/>
      <c r="X21" s="4"/>
    </row>
    <row r="22" spans="2:25" ht="17.399999999999999" x14ac:dyDescent="0.3">
      <c r="B22" s="329">
        <v>1</v>
      </c>
      <c r="C22" s="329" t="s">
        <v>177</v>
      </c>
      <c r="D22" s="330">
        <v>1.36</v>
      </c>
      <c r="E22" s="330">
        <v>0.6</v>
      </c>
      <c r="F22" s="329" t="s">
        <v>176</v>
      </c>
      <c r="G22" s="331">
        <v>75960</v>
      </c>
      <c r="H22" s="331">
        <f t="shared" ref="H22:H24" si="5">G22*B22</f>
        <v>75960</v>
      </c>
      <c r="I22" s="319"/>
      <c r="J22" s="265"/>
      <c r="K22" s="47"/>
      <c r="L22" s="47"/>
      <c r="M22" s="39">
        <f t="shared" ref="M22:M23" si="6">D22+M$19</f>
        <v>1.4400000000000002</v>
      </c>
      <c r="N22" s="39">
        <f t="shared" ref="N22:N23" si="7">E22+$N$19</f>
        <v>0.6</v>
      </c>
      <c r="O22" s="261">
        <f t="shared" ref="O22:O23" si="8">M22*N22</f>
        <v>0.8640000000000001</v>
      </c>
      <c r="P22" s="259">
        <f t="shared" ref="P22:P23" si="9">O22*L22</f>
        <v>0</v>
      </c>
      <c r="Q22" s="252">
        <f t="shared" ref="Q22:Q23" si="10">Q$20*O22</f>
        <v>76867.393613445398</v>
      </c>
      <c r="R22" s="318">
        <f t="shared" ref="R22:R23" si="11">Q22+R$20</f>
        <v>79867.393613445398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178</v>
      </c>
      <c r="D23" s="330">
        <v>0.75</v>
      </c>
      <c r="E23" s="330">
        <v>0.6</v>
      </c>
      <c r="F23" s="329" t="s">
        <v>176</v>
      </c>
      <c r="G23" s="331">
        <v>45054</v>
      </c>
      <c r="H23" s="331">
        <f t="shared" si="5"/>
        <v>45054</v>
      </c>
      <c r="I23" s="319"/>
      <c r="J23" s="265"/>
      <c r="K23" s="47"/>
      <c r="L23" s="47"/>
      <c r="M23" s="39">
        <f t="shared" si="6"/>
        <v>0.83</v>
      </c>
      <c r="N23" s="39">
        <f t="shared" si="7"/>
        <v>0.6</v>
      </c>
      <c r="O23" s="261">
        <f t="shared" si="8"/>
        <v>0.49799999999999994</v>
      </c>
      <c r="P23" s="259">
        <f t="shared" si="9"/>
        <v>0</v>
      </c>
      <c r="Q23" s="252">
        <f t="shared" si="10"/>
        <v>44305.511596638651</v>
      </c>
      <c r="R23" s="318">
        <f t="shared" si="11"/>
        <v>47305.511596638651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177</v>
      </c>
      <c r="D24" s="330">
        <v>2.2999999999999998</v>
      </c>
      <c r="E24" s="330">
        <v>0.6</v>
      </c>
      <c r="F24" s="329" t="s">
        <v>179</v>
      </c>
      <c r="G24" s="331">
        <v>130045</v>
      </c>
      <c r="H24" s="331">
        <f t="shared" si="5"/>
        <v>130045</v>
      </c>
      <c r="I24" s="319"/>
      <c r="J24" s="265"/>
      <c r="K24" s="47"/>
      <c r="L24" s="47">
        <f t="shared" ref="L22:L24" si="12">B24</f>
        <v>1</v>
      </c>
      <c r="M24" s="39">
        <f t="shared" ref="M24" si="13">D24+M$19</f>
        <v>2.38</v>
      </c>
      <c r="N24" s="39">
        <f t="shared" ref="N24" si="14">E24+$N$19</f>
        <v>0.6</v>
      </c>
      <c r="O24" s="261">
        <f t="shared" ref="O24" si="15">M24*N24</f>
        <v>1.4279999999999999</v>
      </c>
      <c r="P24" s="259">
        <f t="shared" ref="P24" si="16">O24*L24</f>
        <v>1.4279999999999999</v>
      </c>
      <c r="Q24" s="252">
        <f t="shared" ref="Q24" si="17">Q$20*O24</f>
        <v>127044.72</v>
      </c>
      <c r="R24" s="318">
        <f t="shared" ref="R24" si="18">Q24+R$20</f>
        <v>130044.72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289104</v>
      </c>
      <c r="I27" s="321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54929.760000000002</v>
      </c>
      <c r="I28" s="321"/>
      <c r="J28" s="265"/>
      <c r="K28" s="47"/>
      <c r="L28" s="47"/>
      <c r="M28" s="39">
        <f>SUM(M21:M21)</f>
        <v>0.83</v>
      </c>
      <c r="N28" s="12"/>
      <c r="O28" s="12"/>
      <c r="P28" s="253">
        <f>SUM(P21:P26)</f>
        <v>1.4279999999999999</v>
      </c>
      <c r="Q28" s="14"/>
      <c r="R28" s="12"/>
      <c r="S28" s="239">
        <f>SUM(S21:S27)</f>
        <v>0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344033.76</v>
      </c>
      <c r="I29" s="321"/>
      <c r="J29" s="265"/>
      <c r="K29" s="47"/>
      <c r="L29" s="47"/>
      <c r="M29" s="39"/>
      <c r="N29" s="12"/>
      <c r="O29" s="12"/>
      <c r="P29" s="253">
        <f>P28</f>
        <v>1.4279999999999999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0.28560000000000002</v>
      </c>
      <c r="Q30" s="39" t="s">
        <v>129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1.7136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149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1.7136</v>
      </c>
      <c r="N33" s="12">
        <v>3500</v>
      </c>
      <c r="O33" s="12">
        <f t="shared" ref="O33:O38" si="19">M33*N33</f>
        <v>5997.6</v>
      </c>
      <c r="P33" s="14" t="s">
        <v>21</v>
      </c>
      <c r="Q33" s="14"/>
      <c r="R33" s="14"/>
      <c r="S33" s="241"/>
      <c r="T33" s="14"/>
      <c r="U33" s="302" t="s">
        <v>150</v>
      </c>
      <c r="V33" s="299">
        <v>3625</v>
      </c>
      <c r="W33" s="59" t="s">
        <v>151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0.5</v>
      </c>
      <c r="N34" s="12">
        <v>23500</v>
      </c>
      <c r="O34" s="12">
        <f t="shared" si="19"/>
        <v>11750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152</v>
      </c>
      <c r="X34" s="304"/>
    </row>
    <row r="35" spans="1:24" s="230" customFormat="1" ht="17.399999999999999" x14ac:dyDescent="0.35">
      <c r="B35" s="24" t="s">
        <v>148</v>
      </c>
      <c r="J35" s="262"/>
      <c r="K35" s="232"/>
      <c r="L35" s="250"/>
      <c r="M35" s="14"/>
      <c r="N35" s="250">
        <v>65000</v>
      </c>
      <c r="O35" s="12">
        <f t="shared" si="19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153</v>
      </c>
      <c r="X35" s="59"/>
    </row>
    <row r="36" spans="1:24" s="230" customFormat="1" ht="17.399999999999999" x14ac:dyDescent="0.35">
      <c r="B36" s="24" t="s">
        <v>164</v>
      </c>
      <c r="C36"/>
      <c r="D36"/>
      <c r="E36"/>
      <c r="F36"/>
      <c r="J36" s="262"/>
      <c r="K36" s="232"/>
      <c r="L36" s="250"/>
      <c r="M36" s="14">
        <v>1</v>
      </c>
      <c r="N36" s="250">
        <v>40000</v>
      </c>
      <c r="O36" s="12">
        <f t="shared" si="19"/>
        <v>40000</v>
      </c>
      <c r="P36" s="14" t="s">
        <v>139</v>
      </c>
      <c r="Q36" s="17"/>
      <c r="S36" s="238"/>
      <c r="T36" s="256"/>
      <c r="U36" s="59"/>
      <c r="V36" s="59">
        <f>V34+V35</f>
        <v>1087.5</v>
      </c>
      <c r="W36" s="304" t="s">
        <v>154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9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/>
      <c r="N38" s="12">
        <v>1500</v>
      </c>
      <c r="O38" s="12">
        <f t="shared" si="19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57747.6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127044.72</v>
      </c>
      <c r="P40" s="14" t="s">
        <v>138</v>
      </c>
      <c r="Q40" s="14"/>
      <c r="R40" s="40">
        <f>P31/R39</f>
        <v>0.46203623813632438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49120</v>
      </c>
      <c r="L41" s="250"/>
      <c r="M41" s="14"/>
      <c r="N41" s="12"/>
      <c r="O41" s="12">
        <f>O40/P29</f>
        <v>88966.890756302528</v>
      </c>
      <c r="P41" s="45" t="s">
        <v>24</v>
      </c>
      <c r="Q41" s="14"/>
      <c r="R41" s="14"/>
      <c r="S41"/>
      <c r="T41" s="238"/>
      <c r="U41" s="59" t="s">
        <v>155</v>
      </c>
      <c r="V41" s="299">
        <v>43650</v>
      </c>
    </row>
    <row r="42" spans="1:24" s="230" customFormat="1" ht="17.399999999999999" x14ac:dyDescent="0.35">
      <c r="G42"/>
      <c r="K42" s="230">
        <f>K41/1.19</f>
        <v>41277.310924369747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300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45790</v>
      </c>
    </row>
    <row r="6" spans="2:31" ht="16.2" thickBot="1" x14ac:dyDescent="0.35">
      <c r="B6" s="140" t="s">
        <v>2</v>
      </c>
      <c r="C6" s="139" t="str">
        <f>'2229'!C10</f>
        <v>JORMAS MONTAJE INDUSTRIAL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-35099.035033454107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289104</v>
      </c>
      <c r="E11" s="132">
        <f>D11*0.19</f>
        <v>54929.760000000002</v>
      </c>
      <c r="F11" s="131">
        <f>E11+D11</f>
        <v>344033.76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70890.9649665459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47581.690787439613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52890.964966545893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241522.30921256039</v>
      </c>
      <c r="E13" s="221">
        <f>(D11/D12)-1</f>
        <v>5.0759505434875445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43890.964966545893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4890.9649665458928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78509.789799275357</v>
      </c>
      <c r="F15" s="216">
        <f>E15-D12</f>
        <v>30928.099011835744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4890.9649665458928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44890.964966545893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5997.6</v>
      </c>
      <c r="E20" s="121">
        <f>D20*0.19</f>
        <v>1139.5440000000001</v>
      </c>
      <c r="F20" s="120">
        <f>SUM(D20:E20)</f>
        <v>7137.1440000000002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17747.599999999999</v>
      </c>
      <c r="E21" s="116">
        <f>SUM(E18:E20)</f>
        <v>3372.0439999999999</v>
      </c>
      <c r="F21" s="115">
        <f>SUM(F18:F20)</f>
        <v>21119.644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51557.716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289104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17747.599999999999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241522.30921256039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241522.30921256039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2025-05-13T13:46:52Z</cp:lastPrinted>
  <dcterms:created xsi:type="dcterms:W3CDTF">2013-03-18T13:35:42Z</dcterms:created>
  <dcterms:modified xsi:type="dcterms:W3CDTF">2025-05-13T14:20:41Z</dcterms:modified>
</cp:coreProperties>
</file>