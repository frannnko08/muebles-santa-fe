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5 MAYO 2025\"/>
    </mc:Choice>
  </mc:AlternateContent>
  <xr:revisionPtr revIDLastSave="0" documentId="13_ncr:1_{448303F3-0DE6-473E-A26F-5CD2125F59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" i="1" l="1"/>
  <c r="H22" i="1"/>
  <c r="H21" i="1"/>
  <c r="L21" i="1"/>
  <c r="S21" i="1" s="1"/>
  <c r="M21" i="1"/>
  <c r="N21" i="1"/>
  <c r="L22" i="1"/>
  <c r="S22" i="1" s="1"/>
  <c r="M22" i="1"/>
  <c r="N22" i="1"/>
  <c r="O21" i="1" l="1"/>
  <c r="P21" i="1"/>
  <c r="O22" i="1"/>
  <c r="P22" i="1" s="1"/>
  <c r="T25" i="1"/>
  <c r="S26" i="1" l="1"/>
  <c r="S28" i="1" s="1"/>
  <c r="P26" i="1"/>
  <c r="K40" i="1"/>
  <c r="S29" i="1" l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O39" i="1" l="1"/>
  <c r="D20" i="3"/>
  <c r="E20" i="3" s="1"/>
  <c r="E21" i="3" s="1"/>
  <c r="Q20" i="1" l="1"/>
  <c r="D21" i="3"/>
  <c r="M43" i="3" s="1"/>
  <c r="D12" i="3" s="1"/>
  <c r="F20" i="3"/>
  <c r="F21" i="3" s="1"/>
  <c r="Q22" i="1" l="1"/>
  <c r="R22" i="1" s="1"/>
  <c r="Q21" i="1"/>
  <c r="R21" i="1" s="1"/>
  <c r="O40" i="1"/>
  <c r="E15" i="3"/>
  <c r="F15" i="3" l="1"/>
  <c r="H25" i="1" l="1"/>
  <c r="H26" i="1" l="1"/>
  <c r="D11" i="3" l="1"/>
  <c r="X9" i="3" s="1"/>
  <c r="X15" i="3" s="1"/>
  <c r="H27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<sst xmlns="http://schemas.openxmlformats.org/spreadsheetml/2006/main" count="234" uniqueCount="176">
  <si>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</si>
  <si>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</si>
  <si>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</si>
  <si>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</si>
  <si>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</si>
  <si>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</si>
  <si>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</si>
  <si>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</si>
  <si>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</si>
  <si>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</si>
  <si>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</si>
  <si>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</si>
  <si>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</si>
  <si>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</si>
  <si>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</si>
  <si>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</si>
  <si>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</si>
  <si>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</si>
  <si>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</si>
  <si>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</si>
  <si>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</si>
  <si>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</si>
  <si>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</si>
  <si>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</si>
  <si>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</si>
  <si>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</si>
  <si>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</si>
  <si>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</si>
  <si>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</si>
  <si>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</si>
  <si>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</si>
  <si>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</si>
  <si>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</si>
  <si>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</si>
  <si>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</si>
  <si>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</si>
  <si>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</si>
  <si>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</si>
  <si>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</si>
  <si>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</si>
  <si>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</si>
  <si>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</si>
  <si>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</si>
  <si>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</si>
  <si>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</si>
  <si>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</si>
  <si>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</si>
  <si>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</si>
  <si>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</si>
  <si>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</si>
  <si>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</si>
  <si>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</si>
  <si>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</si>
  <si>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</si>
  <si>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</si>
  <si>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</si>
  <si>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</si>
  <si>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</si>
  <si>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</si>
  <si>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</si>
  <si>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</si>
  <si>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</si>
  <si>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</si>
  <si>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</si>
  <si>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</si>
  <si>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</si>
  <si>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</si>
  <si>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</si>
  <si>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</si>
  <si>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</si>
  <si>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</si>
  <si>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</si>
  <si>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</si>
  <si>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</si>
  <si>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</si>
  <si>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</si>
  <si>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</si>
  <si>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</si>
  <si>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</si>
  <si>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</si>
  <si>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</si>
  <si>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</si>
  <si>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</si>
  <si>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</si>
  <si>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</si>
  <si>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</si>
  <si>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</si>
  <si>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</si>
  <si>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</si>
  <si>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</si>
  <si>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</si>
  <si>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</si>
  <si>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</si>
  <si>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</si>
  <si>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</si>
  <si>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</si>
  <si>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</si>
  <si>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</si>
  <si>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</si>
  <si>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</si>
  <si>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</si>
  <si>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</si>
  <si>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</si>
  <si>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</si>
  <si>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</si>
  <si>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</si>
  <si>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</si>
  <si>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</si>
  <si>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</si>
  <si>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</si>
  <si>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</si>
  <si>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</si>
  <si>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</si>
  <si>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</si>
  <si>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</si>
  <si>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</si>
  <si>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</si>
  <si>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</si>
  <si>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</si>
  <si>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</si>
  <si>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</si>
  <si>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</si>
  <si>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</si>
  <si>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</si>
  <si>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</si>
  <si>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</si>
  <si>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</si>
  <si>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</si>
  <si>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</si>
  <si>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</si>
  <si>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</si>
  <si>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</si>
  <si>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</si>
  <si>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</si>
  <si>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</si>
  <si>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</si>
  <si>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</si>
  <si>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</si>
  <si>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</si>
  <si>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</si>
  <si>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</si>
  <si>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</si>
  <si>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</si>
  <si>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</si>
  <si>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</si>
  <si>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</si>
  <si>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</si>
  <si>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</si>
  <si>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</si>
  <si>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</si>
  <si>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</si>
  <si>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</si>
  <si>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</si>
  <si>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</si>
  <si>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</si>
  <si>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</si>
  <si>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</si>
  <si>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</si>
  <si>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</si>
  <si>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</si>
  <si>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</si>
  <si>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</si>
  <si>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</si>
  <si>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</si>
  <si>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</si>
  <si>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</si>
  <si>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</si>
  <si>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7 DIAS HABILES</t>
  </si>
  <si>
    <t>J.P. SERVICIOS SPA</t>
  </si>
  <si>
    <t>78.008.476-6</t>
  </si>
  <si>
    <t>JORGE PAINIQUEO</t>
  </si>
  <si>
    <t>+569 5401 6253</t>
  </si>
  <si>
    <t>EL LIBANO 3388 MACUL</t>
  </si>
  <si>
    <t>CUB CON RESPALDO Y FRENTE 90°</t>
  </si>
  <si>
    <t>GRANITO METALIZADO 5030 MT</t>
  </si>
  <si>
    <t>N° 11447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</si>
</sst>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4" fillId="20" borderId="3" xfId="0" applyFont="1" applyFill="1" applyBorder="1" applyAlignment="1">
      <alignment horizontal="center"/>
    </xf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20" borderId="40" xfId="0" applyFont="1" applyFill="1" applyBorder="1" applyAlignment="1">
      <alignment horizontal="center" vertical="center"/>
    </xf>
    <xf numFmtId="0" fontId="5" fillId="20" borderId="39" xfId="0" applyFont="1" applyFill="1" applyBorder="1" applyAlignment="1">
      <alignment horizontal="center" vertical="center"/>
    </xf>
    <xf numFmtId="0" fontId="5" fillId="20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solidFill>
          <a:schemeClr val="bg2">
            <a:lumMod val="90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</a:t>
          </a:r>
          <a:r>
            <a:rPr lang="es-CL" sz="1200" b="1" baseline="0"/>
            <a:t> ENTREGAN CON SOBRED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5" zoomScale="93" zoomScaleNormal="93" workbookViewId="0">
      <selection activeCell="G43" sqref="G43"/>
    </sheetView>
  </sheetViews>
  <sheetFormatPr baseColWidth="10" defaultRowHeight="14.4" x14ac:dyDescent="0.3"/>
  <cols>
    <col min="1" max="1" width="6" customWidth="1"/>
    <col min="2" max="2" width="10.5546875" customWidth="1"/>
    <col min="3" max="3" width="32.77734375" customWidth="1"/>
    <col min="4" max="4" width="11.109375" customWidth="1"/>
    <col min="5" max="5" width="10.5546875" customWidth="1"/>
    <col min="6" max="6" width="32.8867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8.10937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7" t="s">
        <v>126</v>
      </c>
      <c r="C8" s="328"/>
      <c r="D8" s="329" t="s">
        <v>175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3" t="s">
        <v>162</v>
      </c>
      <c r="C10" s="278" t="s">
        <v>168</v>
      </c>
      <c r="D10" s="243"/>
      <c r="E10" s="243"/>
      <c r="F10" s="244" t="s">
        <v>0</v>
      </c>
      <c r="G10" s="276">
        <v>45805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6" t="s">
        <v>169</v>
      </c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4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C13" t="s">
        <v>170</v>
      </c>
      <c r="G13" s="305"/>
      <c r="H13" s="289"/>
      <c r="Q13" s="19"/>
      <c r="R13" s="25"/>
      <c r="S13" s="19"/>
    </row>
    <row r="14" spans="2:24" x14ac:dyDescent="0.3">
      <c r="B14" s="246" t="s">
        <v>139</v>
      </c>
      <c r="C14" s="312"/>
      <c r="D14" s="247"/>
      <c r="E14" s="247"/>
      <c r="F14" s="313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7" t="s">
        <v>171</v>
      </c>
      <c r="D15" s="308"/>
      <c r="F15" t="s">
        <v>134</v>
      </c>
      <c r="G15" s="306" t="s">
        <v>135</v>
      </c>
      <c r="H15" s="289"/>
    </row>
    <row r="16" spans="2:24" ht="16.8" x14ac:dyDescent="0.4">
      <c r="B16" s="314" t="s">
        <v>3</v>
      </c>
      <c r="C16" s="304" t="s">
        <v>172</v>
      </c>
      <c r="D16" s="247"/>
      <c r="E16" s="247"/>
      <c r="F16" s="315" t="s">
        <v>129</v>
      </c>
      <c r="G16" s="316" t="s">
        <v>163</v>
      </c>
      <c r="H16" s="248"/>
    </row>
    <row r="17" spans="1:25" ht="15" thickBot="1" x14ac:dyDescent="0.35">
      <c r="B17" s="309" t="s">
        <v>13</v>
      </c>
      <c r="C17" s="310" t="s">
        <v>166</v>
      </c>
      <c r="D17" s="311"/>
      <c r="E17" s="119"/>
      <c r="F17" s="333" t="s">
        <v>165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30" t="s">
        <v>7</v>
      </c>
      <c r="C20" s="331" t="s">
        <v>1</v>
      </c>
      <c r="D20" s="331" t="s">
        <v>10</v>
      </c>
      <c r="E20" s="331" t="s">
        <v>11</v>
      </c>
      <c r="F20" s="331" t="s">
        <v>8</v>
      </c>
      <c r="G20" s="331" t="s">
        <v>5</v>
      </c>
      <c r="H20" s="332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>E20</f>
        <v>ANCHO</v>
      </c>
      <c r="O20" s="261" t="s">
        <v>132</v>
      </c>
      <c r="P20" s="259" t="s">
        <v>16</v>
      </c>
      <c r="Q20" s="252">
        <f>O39</f>
        <v>75529.473684210534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24">
        <v>1</v>
      </c>
      <c r="C21" s="324" t="s">
        <v>173</v>
      </c>
      <c r="D21" s="325">
        <v>2.16</v>
      </c>
      <c r="E21" s="325">
        <v>0.55000000000000004</v>
      </c>
      <c r="F21" s="324" t="s">
        <v>174</v>
      </c>
      <c r="G21" s="326">
        <v>93052</v>
      </c>
      <c r="H21" s="326">
        <f t="shared" ref="H21:H22" si="0">G21*B21</f>
        <v>93052</v>
      </c>
      <c r="I21" s="318"/>
      <c r="J21" s="265"/>
      <c r="K21" s="47"/>
      <c r="L21" s="47">
        <f t="shared" ref="L21:L22" si="1">B21</f>
        <v>1</v>
      </c>
      <c r="M21" s="267">
        <f t="shared" ref="M21:M22" si="2">D21+M$19</f>
        <v>2.2400000000000002</v>
      </c>
      <c r="N21" s="267">
        <f t="shared" ref="N21:N22" si="3">E21+$N$19</f>
        <v>0.55000000000000004</v>
      </c>
      <c r="O21" s="261">
        <f t="shared" ref="O21:O22" si="4">M21*N21</f>
        <v>1.2320000000000002</v>
      </c>
      <c r="P21" s="259">
        <f t="shared" ref="P21:P22" si="5">O21*L21</f>
        <v>1.2320000000000002</v>
      </c>
      <c r="Q21" s="252">
        <f t="shared" ref="Q21:Q22" si="6">Q$20*O21</f>
        <v>93052.311578947396</v>
      </c>
      <c r="R21" s="317">
        <f t="shared" ref="R21:R22" si="7">Q21+R$20</f>
        <v>96052.311578947396</v>
      </c>
      <c r="S21" s="295">
        <f>L21*M21</f>
        <v>2.2400000000000002</v>
      </c>
      <c r="T21" s="46"/>
      <c r="U21" s="9"/>
      <c r="X21" s="4"/>
    </row>
    <row r="22" spans="1:25" ht="17.399999999999999" x14ac:dyDescent="0.3">
      <c r="B22" s="324">
        <v>1</v>
      </c>
      <c r="C22" s="324" t="s">
        <v>173</v>
      </c>
      <c r="D22" s="325">
        <v>0.8</v>
      </c>
      <c r="E22" s="325">
        <v>0.5</v>
      </c>
      <c r="F22" s="324" t="s">
        <v>174</v>
      </c>
      <c r="G22" s="326">
        <v>33233</v>
      </c>
      <c r="H22" s="326">
        <f t="shared" si="0"/>
        <v>33233</v>
      </c>
      <c r="I22" s="318"/>
      <c r="J22" s="265"/>
      <c r="K22" s="47"/>
      <c r="L22" s="47">
        <f t="shared" si="1"/>
        <v>1</v>
      </c>
      <c r="M22" s="267">
        <f t="shared" si="2"/>
        <v>0.88</v>
      </c>
      <c r="N22" s="267">
        <f t="shared" si="3"/>
        <v>0.5</v>
      </c>
      <c r="O22" s="261">
        <f t="shared" si="4"/>
        <v>0.44</v>
      </c>
      <c r="P22" s="259">
        <f t="shared" si="5"/>
        <v>0.44</v>
      </c>
      <c r="Q22" s="252">
        <f t="shared" si="6"/>
        <v>33232.968421052632</v>
      </c>
      <c r="R22" s="317">
        <f t="shared" si="7"/>
        <v>36232.968421052632</v>
      </c>
      <c r="S22" s="295">
        <f>L22*M22</f>
        <v>0.88</v>
      </c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18"/>
      <c r="H23" s="318"/>
      <c r="I23" s="318"/>
      <c r="J23" s="265"/>
      <c r="K23" s="47"/>
      <c r="L23" s="47"/>
      <c r="M23" s="39"/>
      <c r="N23" s="39"/>
      <c r="O23" s="261"/>
      <c r="P23" s="259"/>
      <c r="Q23" s="252"/>
      <c r="R23" s="317"/>
      <c r="S23" s="295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19"/>
      <c r="I24" s="321"/>
      <c r="J24" s="233"/>
      <c r="K24" s="47"/>
      <c r="L24" s="47"/>
      <c r="M24" s="39"/>
      <c r="N24" s="39"/>
      <c r="O24" s="261"/>
      <c r="P24" s="259"/>
      <c r="Q24" s="252"/>
      <c r="R24" s="258"/>
      <c r="S24" s="295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2" t="s">
        <v>28</v>
      </c>
      <c r="H25" s="323">
        <f>SUM(H21:H24)</f>
        <v>126285</v>
      </c>
      <c r="I25" s="320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5"/>
      <c r="T25" s="46">
        <f>SUM(T21:T24)</f>
        <v>0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4" t="s">
        <v>51</v>
      </c>
      <c r="H26" s="292">
        <f>H25*19%</f>
        <v>23994.15</v>
      </c>
      <c r="I26" s="320"/>
      <c r="J26" s="265"/>
      <c r="K26" s="47"/>
      <c r="L26" s="47"/>
      <c r="M26" s="39" t="e">
        <f>SUM(#REF!)</f>
        <v>#REF!</v>
      </c>
      <c r="N26" s="12"/>
      <c r="O26" s="12"/>
      <c r="P26" s="253">
        <f>SUM(P21:P24)</f>
        <v>1.6720000000000002</v>
      </c>
      <c r="Q26" s="14"/>
      <c r="R26" s="12"/>
      <c r="S26" s="239">
        <f>SUM(S21:S25)</f>
        <v>3.12</v>
      </c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3">
        <f>H25+H26</f>
        <v>150279.15</v>
      </c>
      <c r="I27" s="320"/>
      <c r="J27" s="265"/>
      <c r="K27" s="47"/>
      <c r="L27" s="47"/>
      <c r="M27" s="39"/>
      <c r="N27" s="12"/>
      <c r="O27" s="12"/>
      <c r="P27" s="253">
        <f>P26</f>
        <v>1.6720000000000002</v>
      </c>
      <c r="Q27" s="14"/>
      <c r="R27" s="12"/>
      <c r="S27" s="239"/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0.33440000000000003</v>
      </c>
      <c r="Q28" s="39" t="s">
        <v>130</v>
      </c>
      <c r="R28" s="42"/>
      <c r="S28" s="240">
        <f>S26+T25</f>
        <v>3.12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2.0064000000000002</v>
      </c>
      <c r="Q29" s="14"/>
      <c r="R29" s="14"/>
      <c r="S29" s="238">
        <f>S28*20%</f>
        <v>0.62400000000000011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3.7440000000000002</v>
      </c>
      <c r="T30" s="14"/>
      <c r="U30" s="300" t="s">
        <v>21</v>
      </c>
      <c r="V30" s="297" t="s">
        <v>152</v>
      </c>
      <c r="W30" s="301">
        <v>44971</v>
      </c>
      <c r="X30" s="302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2.0064000000000002</v>
      </c>
      <c r="N31" s="12">
        <v>3500</v>
      </c>
      <c r="O31" s="12">
        <f t="shared" ref="O31:O36" si="8">M31*N31</f>
        <v>7022.4000000000005</v>
      </c>
      <c r="P31" s="14" t="s">
        <v>21</v>
      </c>
      <c r="Q31" s="14"/>
      <c r="R31" s="14"/>
      <c r="S31" s="241"/>
      <c r="T31" s="14"/>
      <c r="U31" s="300" t="s">
        <v>153</v>
      </c>
      <c r="V31" s="297">
        <v>3625</v>
      </c>
      <c r="W31" s="59" t="s">
        <v>154</v>
      </c>
      <c r="X31" s="302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0.6</v>
      </c>
      <c r="N32" s="12">
        <v>23500</v>
      </c>
      <c r="O32" s="12">
        <f t="shared" si="8"/>
        <v>14100</v>
      </c>
      <c r="P32" s="39" t="s">
        <v>31</v>
      </c>
      <c r="Q32" s="42"/>
      <c r="R32" s="14"/>
      <c r="S32" s="240"/>
      <c r="T32" s="14"/>
      <c r="U32" s="300"/>
      <c r="V32" s="59">
        <v>906.25</v>
      </c>
      <c r="W32" s="59" t="s">
        <v>155</v>
      </c>
      <c r="X32" s="302"/>
    </row>
    <row r="33" spans="2:24" s="230" customFormat="1" ht="17.399999999999999" x14ac:dyDescent="0.35">
      <c r="B33" s="24" t="s">
        <v>151</v>
      </c>
      <c r="J33" s="262"/>
      <c r="K33" s="232"/>
      <c r="L33" s="250"/>
      <c r="M33" s="14"/>
      <c r="N33" s="250">
        <v>62227</v>
      </c>
      <c r="O33" s="12">
        <f t="shared" si="8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2" t="s">
        <v>156</v>
      </c>
      <c r="X33" s="59"/>
    </row>
    <row r="34" spans="2:24" s="230" customFormat="1" ht="17.399999999999999" x14ac:dyDescent="0.35">
      <c r="B34" s="24" t="s">
        <v>144</v>
      </c>
      <c r="C34"/>
      <c r="D34"/>
      <c r="E34"/>
      <c r="F34"/>
      <c r="J34" s="262"/>
      <c r="K34" s="232"/>
      <c r="L34" s="250"/>
      <c r="M34" s="14">
        <v>1</v>
      </c>
      <c r="N34" s="250">
        <v>31600</v>
      </c>
      <c r="O34" s="12">
        <f t="shared" si="8"/>
        <v>31600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2" t="s">
        <v>157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900</v>
      </c>
      <c r="O35" s="12">
        <f t="shared" si="8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1"/>
      <c r="K36" s="260"/>
      <c r="L36" s="250"/>
      <c r="M36" s="266">
        <v>3.12</v>
      </c>
      <c r="N36" s="12">
        <v>1500</v>
      </c>
      <c r="O36" s="12">
        <f t="shared" si="8"/>
        <v>4680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57402.400000000001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O37*2.2</f>
        <v>126285.28000000001</v>
      </c>
      <c r="P38" s="14" t="s">
        <v>140</v>
      </c>
      <c r="Q38" s="14"/>
      <c r="R38" s="40">
        <f>P29/R37</f>
        <v>0.54098360655737709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48890</v>
      </c>
      <c r="L39" s="250"/>
      <c r="M39" s="14"/>
      <c r="N39" s="12"/>
      <c r="O39" s="12">
        <f>O38/P27</f>
        <v>75529.473684210534</v>
      </c>
      <c r="P39" s="45" t="s">
        <v>24</v>
      </c>
      <c r="Q39" s="14"/>
      <c r="R39" s="14"/>
      <c r="S39"/>
      <c r="T39" s="238"/>
      <c r="U39" s="59" t="s">
        <v>158</v>
      </c>
      <c r="V39" s="297">
        <v>43650</v>
      </c>
    </row>
    <row r="40" spans="2:24" s="230" customFormat="1" ht="17.399999999999999" x14ac:dyDescent="0.35">
      <c r="G40"/>
      <c r="K40" s="230">
        <f>K39/1.19</f>
        <v>41084.033613445383</v>
      </c>
      <c r="L40" s="250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160</v>
      </c>
      <c r="V40" s="298" t="s">
        <v>159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161</v>
      </c>
      <c r="V41" s="299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156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148</v>
      </c>
    </row>
    <row r="75" spans="3:15" x14ac:dyDescent="0.3">
      <c r="C75" t="s">
        <v>147</v>
      </c>
    </row>
    <row r="78" spans="3:15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45805</v>
      </c>
    </row>
    <row r="6" spans="2:31" ht="16.2" thickBot="1" x14ac:dyDescent="0.35">
      <c r="B6" s="140" t="s">
        <v>2</v>
      </c>
      <c r="C6" s="139" t="str">
        <f>'2229'!C10</f>
        <v>J.P. SERVICIOS SPA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11447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-7034.4650334541075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126285</v>
      </c>
      <c r="E11" s="132">
        <f>D11*0.19</f>
        <v>23994.15</v>
      </c>
      <c r="F11" s="131">
        <f>E11+D11</f>
        <v>150279.15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98955.534966545893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50956.490787439616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80955.534966545893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75328.509212560384</v>
      </c>
      <c r="E13" s="221">
        <f>(D11/D12)-1</f>
        <v>1.4782907544945831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71955.534966545893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32955.534966545893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84078.209799275355</v>
      </c>
      <c r="F15" s="216">
        <f>E15-D12</f>
        <v>33121.719011835739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32955.534966545893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72955.534966545893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14100</v>
      </c>
      <c r="E19" s="123">
        <f>D19*0.19</f>
        <v>2679</v>
      </c>
      <c r="F19" s="120">
        <f>SUM(D19:E19)</f>
        <v>16779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7022.4000000000005</v>
      </c>
      <c r="E20" s="121">
        <f>D20*0.19</f>
        <v>1334.2560000000001</v>
      </c>
      <c r="F20" s="120">
        <f>SUM(D20:E20)</f>
        <v>8356.6560000000009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21122.400000000001</v>
      </c>
      <c r="E21" s="116">
        <f>SUM(E18:E20)</f>
        <v>4013.2560000000003</v>
      </c>
      <c r="F21" s="115">
        <f>SUM(F18:F20)</f>
        <v>25135.656000000003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19980.894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126285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21122.400000000001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75328.509212560384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75328.509212560384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2024-11-15T12:18:00Z</cp:lastPrinted>
  <dcterms:created xsi:type="dcterms:W3CDTF">2013-03-18T13:35:42Z</dcterms:created>
  <dcterms:modified xsi:type="dcterms:W3CDTF">2025-05-28T19:58:43Z</dcterms:modified>
</cp:coreProperties>
</file>