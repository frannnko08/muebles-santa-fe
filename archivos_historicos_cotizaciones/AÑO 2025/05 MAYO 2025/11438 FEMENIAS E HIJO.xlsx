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A1ADA018-31B8-4586-A23E-C2324E75F4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L23" i="1"/>
  <c r="M23" i="1"/>
  <c r="N23" i="1"/>
  <c r="L24" i="1"/>
  <c r="M24" i="1"/>
  <c r="N24" i="1"/>
  <c r="H22" i="1"/>
  <c r="L22" i="1"/>
  <c r="M22" i="1"/>
  <c r="N22" i="1"/>
  <c r="L21" i="1"/>
  <c r="N21" i="1"/>
  <c r="O24" i="1" l="1"/>
  <c r="P24" i="1" s="1"/>
  <c r="O22" i="1"/>
  <c r="P22" i="1" s="1"/>
  <c r="O23" i="1"/>
  <c r="P23" i="1" s="1"/>
  <c r="M21" i="1"/>
  <c r="M28" i="1" s="1"/>
  <c r="S21" i="1" l="1"/>
  <c r="S28" i="1" s="1"/>
  <c r="T21" i="1"/>
  <c r="T27" i="1" s="1"/>
  <c r="O21" i="1"/>
  <c r="P21" i="1" s="1"/>
  <c r="P28" i="1" s="1"/>
  <c r="K42" i="1"/>
  <c r="V35" i="1" l="1"/>
  <c r="V36" i="1" s="1"/>
  <c r="O34" i="1" l="1"/>
  <c r="P29" i="1" l="1"/>
  <c r="N20" i="1"/>
  <c r="L20" i="1"/>
  <c r="P30" i="1" l="1"/>
  <c r="P31" i="1" s="1"/>
  <c r="M33" i="1" s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O41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Q24" i="1"/>
  <c r="R24" i="1" s="1"/>
  <c r="Q23" i="1"/>
  <c r="R23" i="1" s="1"/>
  <c r="O42" i="1"/>
  <c r="E15" i="3"/>
  <c r="Q21" i="1" l="1"/>
  <c r="F15" i="3"/>
  <c r="R21" i="1" l="1"/>
  <c r="H21" i="1" l="1"/>
  <c r="H27" i="1" s="1"/>
  <c r="H28" i="1" l="1"/>
  <c r="D11" i="3" l="1"/>
  <c r="X9" i="3" s="1"/>
  <c r="X15" i="3" s="1"/>
  <c r="H29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<sst xmlns="http://schemas.openxmlformats.org/spreadsheetml/2006/main" count="238" uniqueCount="177">
  <si>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</si>
  <si>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</si>
  <si>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</si>
  <si>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</si>
  <si>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</si>
  <si>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</si>
  <si>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</si>
  <si>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</si>
  <si>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</si>
  <si>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</si>
  <si>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</si>
  <si>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</si>
  <si>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</si>
  <si>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</si>
  <si>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</si>
  <si>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</si>
  <si>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</si>
  <si>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</si>
  <si>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</si>
  <si>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</si>
  <si>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</si>
  <si>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</si>
  <si>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</si>
  <si>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</si>
  <si>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</si>
  <si>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</si>
  <si>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</si>
  <si>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</si>
  <si>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</si>
  <si>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</si>
  <si>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</si>
  <si>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</si>
  <si>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</si>
  <si>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</si>
  <si>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</si>
  <si>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</si>
  <si>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</si>
  <si>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</si>
  <si>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</si>
  <si>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</si>
  <si>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</si>
  <si>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</si>
  <si>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</si>
  <si>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</si>
  <si>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</si>
  <si>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</si>
  <si>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</si>
  <si>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</si>
  <si>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</si>
  <si>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</si>
  <si>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</si>
  <si>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</si>
  <si>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</si>
  <si>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</si>
  <si>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</si>
  <si>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</si>
  <si>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</si>
  <si>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</si>
  <si>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</si>
  <si>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</si>
  <si>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</si>
  <si>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</si>
  <si>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</si>
  <si>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</si>
  <si>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</si>
  <si>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</si>
  <si>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</si>
  <si>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</si>
  <si>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</si>
  <si>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</si>
  <si>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</si>
  <si>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</si>
  <si>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</si>
  <si>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</si>
  <si>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</si>
  <si>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</si>
  <si>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</si>
  <si>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</si>
  <si>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</si>
  <si>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</si>
  <si>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</si>
  <si>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</si>
  <si>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</si>
  <si>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</si>
  <si>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</si>
  <si>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</si>
  <si>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</si>
  <si>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</si>
  <si>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</si>
  <si>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</si>
  <si>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</si>
  <si>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</si>
  <si>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</si>
  <si>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</si>
  <si>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</si>
  <si>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</si>
  <si>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</si>
  <si>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</si>
  <si>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</si>
  <si>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</si>
  <si>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</si>
  <si>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</si>
  <si>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</si>
  <si>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</si>
  <si>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</si>
  <si>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</si>
  <si>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</si>
  <si>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</si>
  <si>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</si>
  <si>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</si>
  <si>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</si>
  <si>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</si>
  <si>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</si>
  <si>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</si>
  <si>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</si>
  <si>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</si>
  <si>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</si>
  <si>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</si>
  <si>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</si>
  <si>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</si>
  <si>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</si>
  <si>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</si>
  <si>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</si>
  <si>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</si>
  <si>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</si>
  <si>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</si>
  <si>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</si>
  <si>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</si>
  <si>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</si>
  <si>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</si>
  <si>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</si>
  <si>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</si>
  <si>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</si>
  <si>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</si>
  <si>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</si>
  <si>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</si>
  <si>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</si>
  <si>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</si>
  <si>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</si>
  <si>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</si>
  <si>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</si>
  <si>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</si>
  <si>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</si>
  <si>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</si>
  <si>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</si>
  <si>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</si>
  <si>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</si>
  <si>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</si>
  <si>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</si>
  <si>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</si>
  <si>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</si>
  <si>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</si>
  <si>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</si>
  <si>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</si>
  <si>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</si>
  <si>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</si>
  <si>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</si>
  <si>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</si>
  <si>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</si>
  <si>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</si>
  <si>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</si>
  <si>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</si>
  <si>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</si>
  <si>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</si>
  <si>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</si>
  <si>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</si>
  <si>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</si>
  <si>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</si>
  <si>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</si>
  <si>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7 DIAS HABILES</t>
  </si>
  <si>
    <t>RESPALDO R8</t>
  </si>
  <si>
    <t>N° 11438</t>
  </si>
  <si>
    <t>FEMENIAS E HIJO</t>
  </si>
  <si>
    <t>CHRISTIAN FEMENIAS</t>
  </si>
  <si>
    <t>+569 9727 8419</t>
  </si>
  <si>
    <t>CUB S/R R8</t>
  </si>
  <si>
    <t>GRANITO 3012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</si>
</sst>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 CON SOBRE MEDIDA EN EL LARGO,</a:t>
          </a:r>
          <a:r>
            <a:rPr lang="es-CL" sz="1200" b="1" baseline="0"/>
            <a:t> PERO PUEDE PEDIR TERMNACIONES, ESO TIENE UN RECARGO, PUEDE SOLICITARLO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16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33.33203125" customWidth="1"/>
    <col min="4" max="4" width="11.109375" customWidth="1"/>
    <col min="5" max="5" width="10.5546875" customWidth="1"/>
    <col min="6" max="6" width="28.8867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172</v>
      </c>
      <c r="D10" s="243"/>
      <c r="E10" s="243"/>
      <c r="F10" s="244" t="s">
        <v>167</v>
      </c>
      <c r="G10" s="276">
        <v>45792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166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/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C13" t="s">
        <v>173</v>
      </c>
      <c r="F13" t="s">
        <v>165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247" t="s">
        <v>134</v>
      </c>
      <c r="G14" s="290" t="s">
        <v>133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174</v>
      </c>
      <c r="D15" s="310"/>
      <c r="F15" t="s">
        <v>168</v>
      </c>
      <c r="G15" s="308" t="s">
        <v>133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160</v>
      </c>
      <c r="H16" s="248"/>
    </row>
    <row r="17" spans="2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O41</f>
        <v>78639.141630901286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29">
        <v>1</v>
      </c>
      <c r="C21" s="329" t="s">
        <v>175</v>
      </c>
      <c r="D21" s="330">
        <v>0.92</v>
      </c>
      <c r="E21" s="330">
        <v>0.6</v>
      </c>
      <c r="F21" s="329" t="s">
        <v>176</v>
      </c>
      <c r="G21" s="331">
        <v>50183</v>
      </c>
      <c r="H21" s="331">
        <f>G21*B21</f>
        <v>50183</v>
      </c>
      <c r="I21" s="319"/>
      <c r="J21" s="265"/>
      <c r="K21" s="47"/>
      <c r="L21" s="47">
        <f>B21</f>
        <v>1</v>
      </c>
      <c r="M21" s="39">
        <f>D21+M$19</f>
        <v>1</v>
      </c>
      <c r="N21" s="39">
        <f>E21+$N$19</f>
        <v>0.6</v>
      </c>
      <c r="O21" s="261">
        <f t="shared" ref="O21" si="1">M21*N21</f>
        <v>0.6</v>
      </c>
      <c r="P21" s="259">
        <f t="shared" ref="P21" si="2">O21*L21</f>
        <v>0.6</v>
      </c>
      <c r="Q21" s="252">
        <f t="shared" ref="Q21" si="3">Q$20*O21</f>
        <v>47183.484978540771</v>
      </c>
      <c r="R21" s="318">
        <f t="shared" ref="R21" si="4">Q21+R$20</f>
        <v>50183.484978540771</v>
      </c>
      <c r="S21" s="297">
        <f>M21*L21</f>
        <v>1</v>
      </c>
      <c r="T21" s="46">
        <f>N21*2*L21*2</f>
        <v>2.4</v>
      </c>
      <c r="U21" s="9"/>
      <c r="X21" s="4"/>
    </row>
    <row r="22" spans="2:25" ht="17.399999999999999" x14ac:dyDescent="0.3">
      <c r="B22" s="329">
        <v>1</v>
      </c>
      <c r="C22" s="329" t="s">
        <v>175</v>
      </c>
      <c r="D22" s="330">
        <v>2.25</v>
      </c>
      <c r="E22" s="330">
        <v>0.6</v>
      </c>
      <c r="F22" s="329" t="s">
        <v>176</v>
      </c>
      <c r="G22" s="331">
        <v>112938</v>
      </c>
      <c r="H22" s="331">
        <f>G22*B22</f>
        <v>112938</v>
      </c>
      <c r="I22" s="319"/>
      <c r="J22" s="265"/>
      <c r="K22" s="47"/>
      <c r="L22" s="47">
        <f>B22</f>
        <v>1</v>
      </c>
      <c r="M22" s="39">
        <f>D22+M$19</f>
        <v>2.33</v>
      </c>
      <c r="N22" s="39">
        <f>E22+$N$19</f>
        <v>0.6</v>
      </c>
      <c r="O22" s="261">
        <f t="shared" ref="O22" si="5">M22*N22</f>
        <v>1.3979999999999999</v>
      </c>
      <c r="P22" s="259">
        <f t="shared" ref="P22" si="6">O22*L22</f>
        <v>1.3979999999999999</v>
      </c>
      <c r="Q22" s="252">
        <f t="shared" ref="Q22" si="7">Q$20*O22</f>
        <v>109937.51999999999</v>
      </c>
      <c r="R22" s="318">
        <f t="shared" ref="R22" si="8">Q22+R$20</f>
        <v>112937.51999999999</v>
      </c>
      <c r="S22" s="297"/>
      <c r="T22" s="46"/>
      <c r="U22" s="9"/>
      <c r="X22" s="4"/>
    </row>
    <row r="23" spans="2:25" ht="17.399999999999999" x14ac:dyDescent="0.3">
      <c r="B23" s="329">
        <v>1</v>
      </c>
      <c r="C23" s="329" t="s">
        <v>170</v>
      </c>
      <c r="D23" s="330">
        <v>0.91</v>
      </c>
      <c r="E23" s="330">
        <v>0.1</v>
      </c>
      <c r="F23" s="329" t="s">
        <v>176</v>
      </c>
      <c r="G23" s="331">
        <v>10785</v>
      </c>
      <c r="H23" s="331">
        <f t="shared" ref="H23:H24" si="9">G23*B23</f>
        <v>10785</v>
      </c>
      <c r="I23" s="319"/>
      <c r="J23" s="265"/>
      <c r="K23" s="47"/>
      <c r="L23" s="47">
        <f t="shared" ref="L23:L24" si="10">B23</f>
        <v>1</v>
      </c>
      <c r="M23" s="39">
        <f t="shared" ref="M23:M24" si="11">D23+M$19</f>
        <v>0.99</v>
      </c>
      <c r="N23" s="39">
        <f t="shared" ref="N23:N24" si="12">E23+$N$19</f>
        <v>0.1</v>
      </c>
      <c r="O23" s="261">
        <f t="shared" ref="O23:O24" si="13">M23*N23</f>
        <v>9.9000000000000005E-2</v>
      </c>
      <c r="P23" s="259">
        <f t="shared" ref="P23:P24" si="14">O23*L23</f>
        <v>9.9000000000000005E-2</v>
      </c>
      <c r="Q23" s="252">
        <f t="shared" ref="Q23:Q24" si="15">Q$20*O23</f>
        <v>7785.2750214592279</v>
      </c>
      <c r="R23" s="318">
        <f t="shared" ref="R23:R24" si="16">Q23+R$20</f>
        <v>10785.275021459227</v>
      </c>
      <c r="S23" s="297"/>
      <c r="T23" s="46"/>
      <c r="U23" s="9"/>
      <c r="X23" s="4"/>
    </row>
    <row r="24" spans="2:25" ht="17.399999999999999" x14ac:dyDescent="0.3">
      <c r="B24" s="329">
        <v>1</v>
      </c>
      <c r="C24" s="329" t="s">
        <v>170</v>
      </c>
      <c r="D24" s="330">
        <v>2.25</v>
      </c>
      <c r="E24" s="330">
        <v>0.1</v>
      </c>
      <c r="F24" s="329" t="s">
        <v>176</v>
      </c>
      <c r="G24" s="331">
        <v>21323</v>
      </c>
      <c r="H24" s="331">
        <f t="shared" si="9"/>
        <v>21323</v>
      </c>
      <c r="I24" s="319"/>
      <c r="J24" s="265"/>
      <c r="K24" s="47"/>
      <c r="L24" s="47">
        <f t="shared" si="10"/>
        <v>1</v>
      </c>
      <c r="M24" s="39">
        <f t="shared" si="11"/>
        <v>2.33</v>
      </c>
      <c r="N24" s="39">
        <f t="shared" si="12"/>
        <v>0.1</v>
      </c>
      <c r="O24" s="261">
        <f t="shared" si="13"/>
        <v>0.23300000000000001</v>
      </c>
      <c r="P24" s="259">
        <f t="shared" si="14"/>
        <v>0.23300000000000001</v>
      </c>
      <c r="Q24" s="252">
        <f t="shared" si="15"/>
        <v>18322.920000000002</v>
      </c>
      <c r="R24" s="318">
        <f t="shared" si="16"/>
        <v>21322.920000000002</v>
      </c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19"/>
      <c r="H25" s="319"/>
      <c r="I25" s="319"/>
      <c r="J25" s="265"/>
      <c r="K25" s="47"/>
      <c r="L25" s="47"/>
      <c r="M25" s="39"/>
      <c r="N25" s="39"/>
      <c r="O25" s="261"/>
      <c r="P25" s="259"/>
      <c r="Q25" s="252"/>
      <c r="R25" s="318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0"/>
      <c r="I26" s="322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3" t="s">
        <v>28</v>
      </c>
      <c r="H27" s="324">
        <f>SUM(H21:H26)</f>
        <v>195229</v>
      </c>
      <c r="I27" s="321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2.4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37093.51</v>
      </c>
      <c r="I28" s="321"/>
      <c r="J28" s="265"/>
      <c r="K28" s="47"/>
      <c r="L28" s="47"/>
      <c r="M28" s="39">
        <f>SUM(M21:M24)</f>
        <v>6.65</v>
      </c>
      <c r="N28" s="12"/>
      <c r="O28" s="12"/>
      <c r="P28" s="253">
        <f>SUM(P21:P26)</f>
        <v>2.33</v>
      </c>
      <c r="Q28" s="14"/>
      <c r="R28" s="12"/>
      <c r="S28" s="239">
        <f>SUM(S21:S27)</f>
        <v>1</v>
      </c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232322.51</v>
      </c>
      <c r="I29" s="321"/>
      <c r="J29" s="265"/>
      <c r="K29" s="47"/>
      <c r="L29" s="47"/>
      <c r="M29" s="39"/>
      <c r="N29" s="12"/>
      <c r="O29" s="12"/>
      <c r="P29" s="253">
        <f>P28</f>
        <v>2.33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0.46600000000000003</v>
      </c>
      <c r="Q30" s="39" t="s">
        <v>129</v>
      </c>
      <c r="R30" s="42"/>
      <c r="S30" s="240"/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2.7960000000000003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302" t="s">
        <v>21</v>
      </c>
      <c r="V32" s="299" t="s">
        <v>149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2.7960000000000003</v>
      </c>
      <c r="N33" s="12">
        <v>3500</v>
      </c>
      <c r="O33" s="12">
        <f t="shared" ref="O33:O38" si="17">M33*N33</f>
        <v>9786.0000000000018</v>
      </c>
      <c r="P33" s="14" t="s">
        <v>21</v>
      </c>
      <c r="Q33" s="14"/>
      <c r="R33" s="14"/>
      <c r="S33" s="241"/>
      <c r="T33" s="14"/>
      <c r="U33" s="302" t="s">
        <v>150</v>
      </c>
      <c r="V33" s="299">
        <v>3625</v>
      </c>
      <c r="W33" s="59" t="s">
        <v>151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1</v>
      </c>
      <c r="N34" s="12">
        <v>23500</v>
      </c>
      <c r="O34" s="12">
        <f t="shared" si="17"/>
        <v>23500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152</v>
      </c>
      <c r="X34" s="304"/>
    </row>
    <row r="35" spans="1:24" s="230" customFormat="1" ht="17.399999999999999" x14ac:dyDescent="0.35">
      <c r="B35" s="24" t="s">
        <v>148</v>
      </c>
      <c r="J35" s="262"/>
      <c r="K35" s="232"/>
      <c r="L35" s="250"/>
      <c r="M35" s="14">
        <v>1</v>
      </c>
      <c r="N35" s="250">
        <v>73000</v>
      </c>
      <c r="O35" s="12">
        <v>50000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153</v>
      </c>
      <c r="X35" s="59"/>
    </row>
    <row r="36" spans="1:24" s="230" customFormat="1" ht="17.399999999999999" x14ac:dyDescent="0.35">
      <c r="B36" s="24" t="s">
        <v>164</v>
      </c>
      <c r="C36"/>
      <c r="D36"/>
      <c r="E36"/>
      <c r="F36"/>
      <c r="J36" s="262"/>
      <c r="K36" s="232"/>
      <c r="L36" s="250"/>
      <c r="M36" s="14"/>
      <c r="N36" s="250">
        <v>26937</v>
      </c>
      <c r="O36" s="12">
        <f t="shared" si="17"/>
        <v>0</v>
      </c>
      <c r="P36" s="14" t="s">
        <v>139</v>
      </c>
      <c r="Q36" s="17"/>
      <c r="S36" s="238"/>
      <c r="T36" s="256"/>
      <c r="U36" s="59"/>
      <c r="V36" s="59">
        <f>V34+V35</f>
        <v>1087.5</v>
      </c>
      <c r="W36" s="304" t="s">
        <v>154</v>
      </c>
      <c r="X36" s="59"/>
    </row>
    <row r="37" spans="1:24" s="230" customFormat="1" ht="17.399999999999999" x14ac:dyDescent="0.35">
      <c r="B37" s="29" t="s">
        <v>124</v>
      </c>
      <c r="C37"/>
      <c r="D37"/>
      <c r="E37"/>
      <c r="F37" s="229" t="s">
        <v>15</v>
      </c>
      <c r="J37" s="262"/>
      <c r="K37" s="260"/>
      <c r="L37" s="250"/>
      <c r="M37" s="249"/>
      <c r="N37" s="250">
        <v>900</v>
      </c>
      <c r="O37" s="12">
        <f t="shared" si="17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/>
      <c r="L38" s="250"/>
      <c r="M38" s="266"/>
      <c r="N38" s="12">
        <v>1500</v>
      </c>
      <c r="O38" s="12">
        <f t="shared" si="17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83286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O39*2.2</f>
        <v>183229.2</v>
      </c>
      <c r="P40" s="14" t="s">
        <v>138</v>
      </c>
      <c r="Q40" s="14"/>
      <c r="R40" s="40">
        <f>P31/R39</f>
        <v>0.7538826574633305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72590</v>
      </c>
      <c r="L41" s="250"/>
      <c r="M41" s="14"/>
      <c r="N41" s="12"/>
      <c r="O41" s="12">
        <f>O40/P29</f>
        <v>78639.141630901286</v>
      </c>
      <c r="P41" s="45" t="s">
        <v>24</v>
      </c>
      <c r="Q41" s="14"/>
      <c r="R41" s="14"/>
      <c r="S41"/>
      <c r="T41" s="238"/>
      <c r="U41" s="59" t="s">
        <v>155</v>
      </c>
      <c r="V41" s="299">
        <v>43650</v>
      </c>
    </row>
    <row r="42" spans="1:24" s="230" customFormat="1" ht="17.399999999999999" x14ac:dyDescent="0.35">
      <c r="G42"/>
      <c r="K42" s="230">
        <f>K41/1.19</f>
        <v>61000</v>
      </c>
      <c r="L42" s="250"/>
      <c r="M42" s="13"/>
      <c r="N42" s="14"/>
      <c r="O42" s="17">
        <f>O40/O39</f>
        <v>2.2000000000000002</v>
      </c>
      <c r="P42" s="15"/>
      <c r="Q42"/>
      <c r="R42"/>
      <c r="S42"/>
      <c r="T42" s="238"/>
      <c r="U42" s="59" t="s">
        <v>157</v>
      </c>
      <c r="V42" s="300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45792</v>
      </c>
    </row>
    <row r="6" spans="2:31" ht="16.2" thickBot="1" x14ac:dyDescent="0.35">
      <c r="B6" s="140" t="s">
        <v>2</v>
      </c>
      <c r="C6" s="139" t="str">
        <f>'2229'!C10</f>
        <v>FEMENIAS E HIJO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11438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-1430.1417001207785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195229</v>
      </c>
      <c r="E11" s="132">
        <f>D11*0.19</f>
        <v>37093.51</v>
      </c>
      <c r="F11" s="131">
        <f>E11+D11</f>
        <v>232322.51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104559.85829987923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113120.09078743961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86559.858299879226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82108.909212560393</v>
      </c>
      <c r="E13" s="221">
        <f>(D11/D12)-1</f>
        <v>0.72585611133258943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77559.858299879226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38559.858299879219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186648.14979927533</v>
      </c>
      <c r="F15" s="216">
        <f>E15-D12</f>
        <v>73528.059011835721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38559.858299879219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78559.858299879226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50000</v>
      </c>
      <c r="E18" s="123">
        <f>D18*0.19</f>
        <v>9500</v>
      </c>
      <c r="F18" s="120">
        <f>SUM(D18:E18)</f>
        <v>59500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23500</v>
      </c>
      <c r="E19" s="123">
        <f>D19*0.19</f>
        <v>4465</v>
      </c>
      <c r="F19" s="120">
        <f>SUM(D19:E19)</f>
        <v>27965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9786.0000000000018</v>
      </c>
      <c r="E20" s="121">
        <f>D20*0.19</f>
        <v>1859.3400000000004</v>
      </c>
      <c r="F20" s="120">
        <f>SUM(D20:E20)</f>
        <v>11645.340000000002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83286</v>
      </c>
      <c r="E21" s="116">
        <f>SUM(E18:E20)</f>
        <v>15824.34</v>
      </c>
      <c r="F21" s="115">
        <f>SUM(F18:F20)</f>
        <v>99110.34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21269.170000000002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195229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83286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82108.909212560393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82108.909212560393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2025-05-15T20:54:19Z</cp:lastPrinted>
  <dcterms:created xsi:type="dcterms:W3CDTF">2013-03-18T13:35:42Z</dcterms:created>
  <dcterms:modified xsi:type="dcterms:W3CDTF">2025-05-15T21:03:41Z</dcterms:modified>
</cp:coreProperties>
</file>