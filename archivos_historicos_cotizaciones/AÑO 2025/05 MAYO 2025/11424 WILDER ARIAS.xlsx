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669825C8-5C36-445E-AA15-5E43B5F6F5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M30" i="1"/>
  <c r="L21" i="1"/>
  <c r="N21" i="1"/>
  <c r="M21" i="1" l="1"/>
  <c r="M25" i="1" s="1"/>
  <c r="S21" i="1" l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8" i="1" l="1"/>
  <c r="D20" i="3"/>
  <c r="E20" i="3" s="1"/>
  <c r="E21" i="3" s="1"/>
  <c r="Q20" i="1" l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l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<sst xmlns="http://schemas.openxmlformats.org/spreadsheetml/2006/main" count="229" uniqueCount="173">
  <si>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</si>
  <si>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</si>
  <si>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</si>
  <si>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</si>
  <si>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</si>
  <si>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</si>
  <si>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</si>
  <si>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</si>
  <si>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</si>
  <si>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</si>
  <si>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</si>
  <si>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</si>
  <si>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</si>
  <si>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</si>
  <si>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</si>
  <si>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</si>
  <si>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</si>
  <si>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</si>
  <si>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</si>
  <si>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</si>
  <si>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</si>
  <si>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</si>
  <si>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</si>
  <si>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</si>
  <si>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</si>
  <si>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</si>
  <si>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</si>
  <si>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</si>
  <si>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</si>
  <si>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</si>
  <si>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</si>
  <si>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</si>
  <si>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</si>
  <si>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</si>
  <si>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</si>
  <si>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</si>
  <si>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</si>
  <si>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</si>
  <si>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</si>
  <si>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</si>
  <si>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</si>
  <si>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</si>
  <si>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</si>
  <si>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</si>
  <si>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</si>
  <si>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</si>
  <si>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</si>
  <si>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</si>
  <si>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</si>
  <si>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</si>
  <si>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</si>
  <si>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</si>
  <si>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</si>
  <si>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</si>
  <si>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</si>
  <si>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</si>
  <si>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</si>
  <si>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</si>
  <si>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</si>
  <si>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</si>
  <si>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</si>
  <si>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</si>
  <si>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</si>
  <si>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</si>
  <si>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</si>
  <si>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</si>
  <si>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</si>
  <si>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</si>
  <si>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</si>
  <si>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</si>
  <si>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</si>
  <si>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</si>
  <si>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</si>
  <si>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</si>
  <si>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</si>
  <si>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</si>
  <si>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</si>
  <si>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</si>
  <si>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</si>
  <si>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</si>
  <si>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</si>
  <si>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</si>
  <si>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</si>
  <si>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</si>
  <si>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</si>
  <si>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</si>
  <si>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</si>
  <si>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</si>
  <si>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</si>
  <si>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</si>
  <si>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</si>
  <si>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</si>
  <si>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</si>
  <si>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</si>
  <si>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</si>
  <si>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</si>
  <si>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</si>
  <si>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</si>
  <si>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</si>
  <si>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</si>
  <si>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</si>
  <si>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</si>
  <si>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</si>
  <si>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</si>
  <si>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</si>
  <si>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</si>
  <si>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</si>
  <si>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</si>
  <si>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</si>
  <si>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</si>
  <si>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</si>
  <si>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</si>
  <si>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</si>
  <si>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</si>
  <si>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</si>
  <si>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</si>
  <si>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</si>
  <si>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</si>
  <si>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</si>
  <si>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</si>
  <si>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</si>
  <si>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</si>
  <si>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</si>
  <si>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</si>
  <si>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</si>
  <si>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</si>
  <si>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</si>
  <si>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</si>
  <si>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</si>
  <si>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</si>
  <si>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</si>
  <si>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</si>
  <si>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</si>
  <si>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</si>
  <si>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</si>
  <si>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</si>
  <si>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</si>
  <si>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</si>
  <si>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</si>
  <si>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</si>
  <si>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</si>
  <si>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</si>
  <si>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</si>
  <si>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</si>
  <si>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</si>
  <si>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</si>
  <si>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</si>
  <si>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</si>
  <si>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</si>
  <si>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</si>
  <si>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</si>
  <si>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</si>
  <si>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</si>
  <si>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</si>
  <si>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</si>
  <si>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</si>
  <si>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</si>
  <si>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</si>
  <si>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</si>
  <si>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</si>
  <si>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</si>
  <si>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</si>
  <si>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</si>
  <si>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</si>
  <si>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</si>
  <si>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</si>
  <si>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</si>
  <si>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</si>
  <si>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REPISAS 30MM</t>
  </si>
  <si>
    <t>COLOR MADERA POR DEFINIR</t>
  </si>
  <si>
    <t>N° 11424</t>
  </si>
  <si>
    <t>WILDER ARIAS</t>
  </si>
  <si>
    <t>56950711209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</si>
</sst>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LOS CANTOS</a:t>
          </a:r>
          <a:r>
            <a:rPr lang="es-CL" sz="1200" b="1" baseline="0"/>
            <a:t> SE ENCHAPAN CON LA  MISMA LAMINA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MDF30MM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4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30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171</v>
      </c>
      <c r="D10" s="243"/>
      <c r="E10" s="243"/>
      <c r="F10" s="244" t="s">
        <v>0</v>
      </c>
      <c r="G10" s="276">
        <v>45784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172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148083.13524590165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2</v>
      </c>
      <c r="C21" s="330" t="s">
        <v>168</v>
      </c>
      <c r="D21" s="331">
        <v>1.2</v>
      </c>
      <c r="E21" s="331">
        <v>0.3</v>
      </c>
      <c r="F21" s="330" t="s">
        <v>169</v>
      </c>
      <c r="G21" s="332">
        <v>57812</v>
      </c>
      <c r="H21" s="332">
        <f>G21*B21</f>
        <v>115624</v>
      </c>
      <c r="I21" s="320"/>
      <c r="J21" s="265"/>
      <c r="K21" s="47"/>
      <c r="L21" s="47">
        <f>B21</f>
        <v>2</v>
      </c>
      <c r="M21" s="39">
        <f>D21+M$19</f>
        <v>1.22</v>
      </c>
      <c r="N21" s="39">
        <f>E21+$N$19</f>
        <v>0.32</v>
      </c>
      <c r="O21" s="261">
        <f t="shared" ref="O21" si="1">M21*N21</f>
        <v>0.39040000000000002</v>
      </c>
      <c r="P21" s="259">
        <f t="shared" ref="P21" si="2">O21*L21</f>
        <v>0.78080000000000005</v>
      </c>
      <c r="Q21" s="252">
        <f t="shared" ref="Q21" si="3">Q$20*O21</f>
        <v>57811.65600000001</v>
      </c>
      <c r="R21" s="319">
        <f t="shared" ref="R21" si="4">Q21+R$20</f>
        <v>60811.65600000001</v>
      </c>
      <c r="S21" s="297">
        <f>M21*L21</f>
        <v>2.44</v>
      </c>
      <c r="T21" s="46">
        <f>N21*2*L21*2</f>
        <v>2.56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115624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2.56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21968.560000000001</v>
      </c>
      <c r="I25" s="322"/>
      <c r="J25" s="265"/>
      <c r="K25" s="47"/>
      <c r="L25" s="47"/>
      <c r="M25" s="39">
        <f>SUM(M21:M21)</f>
        <v>1.22</v>
      </c>
      <c r="N25" s="12"/>
      <c r="O25" s="12"/>
      <c r="P25" s="253">
        <f>SUM(P21:P23)</f>
        <v>0.78080000000000005</v>
      </c>
      <c r="Q25" s="14"/>
      <c r="R25" s="12"/>
      <c r="S25" s="239">
        <f>SUM(S21:S24)</f>
        <v>2.44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137592.56</v>
      </c>
      <c r="I26" s="322"/>
      <c r="J26" s="265"/>
      <c r="K26" s="47"/>
      <c r="L26" s="47"/>
      <c r="M26" s="39"/>
      <c r="N26" s="12"/>
      <c r="O26" s="12"/>
      <c r="P26" s="253">
        <f>P25</f>
        <v>0.78080000000000005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0.15616000000000002</v>
      </c>
      <c r="Q27" s="39" t="s">
        <v>130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0.93696000000000002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151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P28*2</f>
        <v>1.87392</v>
      </c>
      <c r="N30" s="12">
        <v>3500</v>
      </c>
      <c r="O30" s="12">
        <f t="shared" ref="O30:O35" si="5">M30*N30</f>
        <v>6558.72</v>
      </c>
      <c r="P30" s="14" t="s">
        <v>21</v>
      </c>
      <c r="Q30" s="14"/>
      <c r="R30" s="14"/>
      <c r="S30" s="241"/>
      <c r="T30" s="14"/>
      <c r="U30" s="302" t="s">
        <v>152</v>
      </c>
      <c r="V30" s="299">
        <v>3625</v>
      </c>
      <c r="W30" s="59" t="s">
        <v>153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0.3</v>
      </c>
      <c r="N31" s="12">
        <v>45000</v>
      </c>
      <c r="O31" s="12">
        <f t="shared" si="5"/>
        <v>13500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154</v>
      </c>
      <c r="X31" s="304"/>
    </row>
    <row r="32" spans="1:25" s="230" customFormat="1" ht="17.399999999999999" x14ac:dyDescent="0.35">
      <c r="B32" s="24" t="s">
        <v>150</v>
      </c>
      <c r="J32" s="262"/>
      <c r="K32" s="232"/>
      <c r="L32" s="250"/>
      <c r="M32" s="14"/>
      <c r="N32" s="250">
        <v>65000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155</v>
      </c>
      <c r="X32" s="59"/>
    </row>
    <row r="33" spans="2:24" s="230" customFormat="1" ht="17.399999999999999" x14ac:dyDescent="0.35">
      <c r="B33" s="24" t="s">
        <v>166</v>
      </c>
      <c r="C33"/>
      <c r="D33"/>
      <c r="E33"/>
      <c r="F33"/>
      <c r="J33" s="262"/>
      <c r="K33" s="232"/>
      <c r="L33" s="250"/>
      <c r="M33" s="14">
        <v>1</v>
      </c>
      <c r="N33" s="250">
        <v>35000</v>
      </c>
      <c r="O33" s="12">
        <f t="shared" si="5"/>
        <v>35000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55058.720000000001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115623.31200000001</v>
      </c>
      <c r="P37" s="14" t="s">
        <v>140</v>
      </c>
      <c r="Q37" s="14"/>
      <c r="R37" s="40">
        <f>P28/R36</f>
        <v>0.25263157894736843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49120</v>
      </c>
      <c r="L38" s="250"/>
      <c r="M38" s="14"/>
      <c r="N38" s="12"/>
      <c r="O38" s="12">
        <f>O37/P26</f>
        <v>148083.13524590165</v>
      </c>
      <c r="P38" s="45" t="s">
        <v>24</v>
      </c>
      <c r="Q38" s="14"/>
      <c r="R38" s="14"/>
      <c r="S38"/>
      <c r="T38" s="238"/>
      <c r="U38" s="59" t="s">
        <v>157</v>
      </c>
      <c r="V38" s="299">
        <v>43650</v>
      </c>
    </row>
    <row r="39" spans="2:24" s="230" customFormat="1" ht="17.399999999999999" x14ac:dyDescent="0.35">
      <c r="G39"/>
      <c r="K39" s="230">
        <f>K38/1.19</f>
        <v>41277.310924369747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159</v>
      </c>
      <c r="V39" s="300" t="s">
        <v>158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160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45784</v>
      </c>
    </row>
    <row r="6" spans="2:31" ht="16.2" thickBot="1" x14ac:dyDescent="0.35">
      <c r="B6" s="140" t="s">
        <v>2</v>
      </c>
      <c r="C6" s="139" t="str">
        <f>'2229'!C10</f>
        <v>WILDER ARIAS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11424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-5550.1437001207742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115624</v>
      </c>
      <c r="E11" s="132">
        <f>D11*0.19</f>
        <v>21968.560000000001</v>
      </c>
      <c r="F11" s="131">
        <f>E11+D11</f>
        <v>137592.56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100439.85629987923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49892.810787439616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82439.856299879233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65731.189212560392</v>
      </c>
      <c r="E13" s="221">
        <f>(D11/D12)-1</f>
        <v>1.3174481087585477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73439.856299879233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34439.856299879226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82323.137799275355</v>
      </c>
      <c r="F15" s="216">
        <f>E15-D12</f>
        <v>32430.32701183574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34439.856299879226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74439.856299879233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13500</v>
      </c>
      <c r="E19" s="123">
        <f>D19*0.19</f>
        <v>2565</v>
      </c>
      <c r="F19" s="120">
        <f>SUM(D19:E19)</f>
        <v>16065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6558.72</v>
      </c>
      <c r="E20" s="121">
        <f>D20*0.19</f>
        <v>1246.1568</v>
      </c>
      <c r="F20" s="120">
        <f>SUM(D20:E20)</f>
        <v>7804.8768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20058.72</v>
      </c>
      <c r="E21" s="116">
        <f>SUM(E18:E20)</f>
        <v>3811.1567999999997</v>
      </c>
      <c r="F21" s="115">
        <f>SUM(F18:F20)</f>
        <v>23869.876799999998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18157.403200000001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115624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20058.72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65731.189212560392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65731.189212560392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2025-03-05T21:22:37Z</cp:lastPrinted>
  <dcterms:created xsi:type="dcterms:W3CDTF">2013-03-18T13:35:42Z</dcterms:created>
  <dcterms:modified xsi:type="dcterms:W3CDTF">2025-05-08T02:26:34Z</dcterms:modified>
</cp:coreProperties>
</file>