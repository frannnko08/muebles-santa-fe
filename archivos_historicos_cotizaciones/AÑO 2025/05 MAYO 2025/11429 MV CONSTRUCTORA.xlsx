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44A7A306-2323-45DB-ACCE-D21B1DDBC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N25" i="1"/>
  <c r="O25" i="1" s="1"/>
  <c r="P25" i="1" s="1"/>
  <c r="M25" i="1"/>
  <c r="L25" i="1"/>
  <c r="L21" i="1"/>
  <c r="H22" i="1" l="1"/>
  <c r="H23" i="1"/>
  <c r="H24" i="1"/>
  <c r="L22" i="1"/>
  <c r="M22" i="1"/>
  <c r="N22" i="1"/>
  <c r="L23" i="1"/>
  <c r="M23" i="1"/>
  <c r="O23" i="1" s="1"/>
  <c r="N23" i="1"/>
  <c r="L24" i="1"/>
  <c r="M24" i="1"/>
  <c r="N24" i="1"/>
  <c r="J15" i="1"/>
  <c r="J10" i="1"/>
  <c r="O24" i="1" l="1"/>
  <c r="P24" i="1" s="1"/>
  <c r="O22" i="1"/>
  <c r="P22" i="1" s="1"/>
  <c r="P23" i="1"/>
  <c r="N21" i="1"/>
  <c r="M21" i="1" l="1"/>
  <c r="S21" i="1" s="1"/>
  <c r="M29" i="1" l="1"/>
  <c r="T21" i="1"/>
  <c r="T28" i="1" s="1"/>
  <c r="S30" i="1"/>
  <c r="O21" i="1"/>
  <c r="P21" i="1" s="1"/>
  <c r="P29" i="1" s="1"/>
  <c r="K43" i="1"/>
  <c r="S31" i="1" l="1"/>
  <c r="S32" i="1" s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Q25" i="1" s="1"/>
  <c r="R25" i="1" s="1"/>
  <c r="D21" i="3"/>
  <c r="M43" i="3" s="1"/>
  <c r="D12" i="3" s="1"/>
  <c r="F20" i="3"/>
  <c r="F21" i="3" s="1"/>
  <c r="Q23" i="1" l="1"/>
  <c r="R23" i="1" s="1"/>
  <c r="Q22" i="1"/>
  <c r="R22" i="1" s="1"/>
  <c r="Q24" i="1"/>
  <c r="R24" i="1" s="1"/>
  <c r="O43" i="1"/>
  <c r="E15" i="3"/>
  <c r="Q21" i="1" l="1"/>
  <c r="F15" i="3"/>
  <c r="R21" i="1" l="1"/>
  <c r="H21" i="1" l="1"/>
  <c r="H28" i="1" s="1"/>
  <c r="H29" i="1" s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<sst xmlns="http://schemas.openxmlformats.org/spreadsheetml/2006/main" count="237" uniqueCount="179">
  <si>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</si>
  <si>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</si>
  <si>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</si>
  <si>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</si>
  <si>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</si>
  <si>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</si>
  <si>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</si>
  <si>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</si>
  <si>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</si>
  <si>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</si>
  <si>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</si>
  <si>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</si>
  <si>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</si>
  <si>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</si>
  <si>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</si>
  <si>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</si>
  <si>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</si>
  <si>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</si>
  <si>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</si>
  <si>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</si>
  <si>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</si>
  <si>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</si>
  <si>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</si>
  <si>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</si>
  <si>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</si>
  <si>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</si>
  <si>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</si>
  <si>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</si>
  <si>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</si>
  <si>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</si>
  <si>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</si>
  <si>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</si>
  <si>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</si>
  <si>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</si>
  <si>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</si>
  <si>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</si>
  <si>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</si>
  <si>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</si>
  <si>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</si>
  <si>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</si>
  <si>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</si>
  <si>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</si>
  <si>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</si>
  <si>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</si>
  <si>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</si>
  <si>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</si>
  <si>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</si>
  <si>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</si>
  <si>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</si>
  <si>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</si>
  <si>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</si>
  <si>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</si>
  <si>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</si>
  <si>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</si>
  <si>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</si>
  <si>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</si>
  <si>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</si>
  <si>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</si>
  <si>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</si>
  <si>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</si>
  <si>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</si>
  <si>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</si>
  <si>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</si>
  <si>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</si>
  <si>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</si>
  <si>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</si>
  <si>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</si>
  <si>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</si>
  <si>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</si>
  <si>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</si>
  <si>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</si>
  <si>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</si>
  <si>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</si>
  <si>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</si>
  <si>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</si>
  <si>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</si>
  <si>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</si>
  <si>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</si>
  <si>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</si>
  <si>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</si>
  <si>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</si>
  <si>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</si>
  <si>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</si>
  <si>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</si>
  <si>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</si>
  <si>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</si>
  <si>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</si>
  <si>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</si>
  <si>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</si>
  <si>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</si>
  <si>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</si>
  <si>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</si>
  <si>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</si>
  <si>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</si>
  <si>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</si>
  <si>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</si>
  <si>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</si>
  <si>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</si>
  <si>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</si>
  <si>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</si>
  <si>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</si>
  <si>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</si>
  <si>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</si>
  <si>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</si>
  <si>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</si>
  <si>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</si>
  <si>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</si>
  <si>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</si>
  <si>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</si>
  <si>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</si>
  <si>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</si>
  <si>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</si>
  <si>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</si>
  <si>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</si>
  <si>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</si>
  <si>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</si>
  <si>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</si>
  <si>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</si>
  <si>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</si>
  <si>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</si>
  <si>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</si>
  <si>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</si>
  <si>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</si>
  <si>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</si>
  <si>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</si>
  <si>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</si>
  <si>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</si>
  <si>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</si>
  <si>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</si>
  <si>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</si>
  <si>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</si>
  <si>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</si>
  <si>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</si>
  <si>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</si>
  <si>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</si>
  <si>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</si>
  <si>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</si>
  <si>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</si>
  <si>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</si>
  <si>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</si>
  <si>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</si>
  <si>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</si>
  <si>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</si>
  <si>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</si>
  <si>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</si>
  <si>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</si>
  <si>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</si>
  <si>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</si>
  <si>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</si>
  <si>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</si>
  <si>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</si>
  <si>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</si>
  <si>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</si>
  <si>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</si>
  <si>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</si>
  <si>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</si>
  <si>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</si>
  <si>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</si>
  <si>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</si>
  <si>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</si>
  <si>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</si>
  <si>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</si>
  <si>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</si>
  <si>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</si>
  <si>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</si>
  <si>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</si>
  <si>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</si>
  <si>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</t>
  </si>
  <si>
    <t>no</t>
  </si>
  <si>
    <t>5 DIAS HABILES</t>
  </si>
  <si>
    <t>N° 11429</t>
  </si>
  <si>
    <t>CONSTRUCTORA MV</t>
  </si>
  <si>
    <t>ANDREA VOGEL</t>
  </si>
  <si>
    <t>CUB RECTA FRENTE 30MM</t>
  </si>
  <si>
    <t>BLOND HECHO 7939-60</t>
  </si>
  <si>
    <t>E/R 1 CARA 15MM</t>
  </si>
  <si>
    <t>TEAL 2321 MT</t>
  </si>
  <si>
    <t>E/R 1 CARA 40MM</t>
  </si>
  <si>
    <t>E/R 1 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</si>
</sst>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quotePrefix="1" applyFont="1" applyAlignment="1">
      <alignment horizontal="left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E13" zoomScale="93" zoomScaleNormal="93" workbookViewId="0">
      <selection activeCell="G26" sqref="G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170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45789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168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172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45">
        <v>56981371910</v>
      </c>
      <c r="D15" s="309"/>
      <c r="F15" t="s">
        <v>134</v>
      </c>
      <c r="G15" s="308" t="s">
        <v>167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110506.95485445355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173</v>
      </c>
      <c r="D21" s="332">
        <v>1.4</v>
      </c>
      <c r="E21" s="332">
        <v>0.72</v>
      </c>
      <c r="F21" s="329" t="s">
        <v>174</v>
      </c>
      <c r="G21" s="330">
        <v>120756</v>
      </c>
      <c r="H21" s="330">
        <f>G21*B21</f>
        <v>120756</v>
      </c>
      <c r="I21" s="319"/>
      <c r="J21" s="265"/>
      <c r="K21" s="47"/>
      <c r="L21" s="331">
        <f>B21</f>
        <v>1</v>
      </c>
      <c r="M21" s="39">
        <f>D21+M$19</f>
        <v>1.48</v>
      </c>
      <c r="N21" s="39">
        <f>E21+$N$19</f>
        <v>0.72</v>
      </c>
      <c r="O21" s="261">
        <f t="shared" ref="O21" si="1">M21*N21</f>
        <v>1.0655999999999999</v>
      </c>
      <c r="P21" s="259">
        <f t="shared" ref="P21" si="2">O21*L21</f>
        <v>1.0655999999999999</v>
      </c>
      <c r="Q21" s="252">
        <f t="shared" ref="Q21" si="3">Q$20*O21</f>
        <v>117756.21109290569</v>
      </c>
      <c r="R21" s="318">
        <f t="shared" ref="R21" si="4">Q21+R$20</f>
        <v>120756.21109290569</v>
      </c>
      <c r="S21" s="297">
        <f>M21*L21</f>
        <v>1.48</v>
      </c>
      <c r="T21" s="46">
        <f>M21*L21</f>
        <v>1.48</v>
      </c>
      <c r="U21" s="9"/>
      <c r="X21" s="4"/>
    </row>
    <row r="22" spans="2:25" ht="17.399999999999999" x14ac:dyDescent="0.3">
      <c r="B22" s="329">
        <v>2</v>
      </c>
      <c r="C22" s="329" t="s">
        <v>175</v>
      </c>
      <c r="D22" s="332">
        <v>1.75</v>
      </c>
      <c r="E22" s="332">
        <v>0.72</v>
      </c>
      <c r="F22" s="329" t="s">
        <v>174</v>
      </c>
      <c r="G22" s="330">
        <v>148604</v>
      </c>
      <c r="H22" s="330">
        <f t="shared" ref="H22:H25" si="5">G22*B22</f>
        <v>297208</v>
      </c>
      <c r="I22" s="319"/>
      <c r="J22" s="265"/>
      <c r="K22" s="47"/>
      <c r="L22" s="331">
        <f t="shared" ref="L22:L25" si="6">B22</f>
        <v>2</v>
      </c>
      <c r="M22" s="39">
        <f t="shared" ref="M22:M25" si="7">D22+M$19</f>
        <v>1.83</v>
      </c>
      <c r="N22" s="39">
        <f t="shared" ref="N22:N25" si="8">E22+$N$19</f>
        <v>0.72</v>
      </c>
      <c r="O22" s="261">
        <f t="shared" ref="O22:O25" si="9">M22*N22</f>
        <v>1.3176000000000001</v>
      </c>
      <c r="P22" s="259">
        <f t="shared" ref="P22:P25" si="10">O22*L22</f>
        <v>2.6352000000000002</v>
      </c>
      <c r="Q22" s="252">
        <f t="shared" ref="Q22:Q25" si="11">Q$20*O22</f>
        <v>145603.963716228</v>
      </c>
      <c r="R22" s="318">
        <f t="shared" ref="R22:R25" si="12">Q22+R$20</f>
        <v>148603.963716228</v>
      </c>
      <c r="S22" s="297"/>
      <c r="T22" s="46"/>
      <c r="U22" s="9"/>
      <c r="X22" s="4"/>
    </row>
    <row r="23" spans="2:25" ht="17.399999999999999" x14ac:dyDescent="0.3">
      <c r="B23" s="329">
        <v>2</v>
      </c>
      <c r="C23" s="329" t="s">
        <v>177</v>
      </c>
      <c r="D23" s="332">
        <v>1.75</v>
      </c>
      <c r="E23" s="332">
        <v>0.04</v>
      </c>
      <c r="F23" s="329" t="s">
        <v>176</v>
      </c>
      <c r="G23" s="330">
        <v>11089</v>
      </c>
      <c r="H23" s="330">
        <f t="shared" si="5"/>
        <v>22178</v>
      </c>
      <c r="I23" s="319"/>
      <c r="J23" s="265"/>
      <c r="K23" s="47"/>
      <c r="L23" s="331">
        <f t="shared" si="6"/>
        <v>2</v>
      </c>
      <c r="M23" s="39">
        <f t="shared" si="7"/>
        <v>1.83</v>
      </c>
      <c r="N23" s="39">
        <f t="shared" si="8"/>
        <v>0.04</v>
      </c>
      <c r="O23" s="261">
        <f t="shared" si="9"/>
        <v>7.3200000000000001E-2</v>
      </c>
      <c r="P23" s="259">
        <f t="shared" si="10"/>
        <v>0.1464</v>
      </c>
      <c r="Q23" s="252">
        <f t="shared" si="11"/>
        <v>8089.1090953459998</v>
      </c>
      <c r="R23" s="318">
        <f t="shared" si="12"/>
        <v>11089.109095346001</v>
      </c>
      <c r="S23" s="297"/>
      <c r="T23" s="46"/>
      <c r="U23" s="9"/>
      <c r="X23" s="4"/>
    </row>
    <row r="24" spans="2:25" ht="17.399999999999999" x14ac:dyDescent="0.3">
      <c r="B24" s="329">
        <v>2</v>
      </c>
      <c r="C24" s="329" t="s">
        <v>177</v>
      </c>
      <c r="D24" s="332">
        <v>1.4</v>
      </c>
      <c r="E24" s="332">
        <v>0.04</v>
      </c>
      <c r="F24" s="329" t="s">
        <v>176</v>
      </c>
      <c r="G24" s="330">
        <v>9542</v>
      </c>
      <c r="H24" s="330">
        <f t="shared" si="5"/>
        <v>19084</v>
      </c>
      <c r="I24" s="319"/>
      <c r="J24" s="265"/>
      <c r="K24" s="47"/>
      <c r="L24" s="331">
        <f t="shared" si="6"/>
        <v>2</v>
      </c>
      <c r="M24" s="39">
        <f t="shared" si="7"/>
        <v>1.48</v>
      </c>
      <c r="N24" s="39">
        <f t="shared" si="8"/>
        <v>0.04</v>
      </c>
      <c r="O24" s="261">
        <f t="shared" si="9"/>
        <v>5.9200000000000003E-2</v>
      </c>
      <c r="P24" s="259">
        <f t="shared" si="10"/>
        <v>0.11840000000000001</v>
      </c>
      <c r="Q24" s="252">
        <f t="shared" si="11"/>
        <v>6542.0117273836504</v>
      </c>
      <c r="R24" s="318">
        <f t="shared" si="12"/>
        <v>9542.0117273836513</v>
      </c>
      <c r="S24" s="297"/>
      <c r="T24" s="46"/>
      <c r="U24" s="9"/>
      <c r="X24" s="4"/>
    </row>
    <row r="25" spans="2:25" ht="17.399999999999999" x14ac:dyDescent="0.3">
      <c r="B25" s="346">
        <v>2</v>
      </c>
      <c r="C25" s="346" t="s">
        <v>178</v>
      </c>
      <c r="D25" s="347">
        <v>0.7</v>
      </c>
      <c r="E25" s="347">
        <v>0.4</v>
      </c>
      <c r="F25" s="329" t="s">
        <v>176</v>
      </c>
      <c r="G25" s="319">
        <v>47478</v>
      </c>
      <c r="H25" s="319">
        <f t="shared" si="5"/>
        <v>94956</v>
      </c>
      <c r="I25" s="319"/>
      <c r="J25" s="265"/>
      <c r="K25" s="47"/>
      <c r="L25" s="331">
        <f t="shared" si="6"/>
        <v>2</v>
      </c>
      <c r="M25" s="39">
        <f t="shared" si="7"/>
        <v>0.77999999999999992</v>
      </c>
      <c r="N25" s="39">
        <f t="shared" si="8"/>
        <v>0.4</v>
      </c>
      <c r="O25" s="261">
        <f t="shared" si="9"/>
        <v>0.312</v>
      </c>
      <c r="P25" s="259">
        <f t="shared" si="10"/>
        <v>0.624</v>
      </c>
      <c r="Q25" s="252">
        <f t="shared" si="11"/>
        <v>34478.169914589511</v>
      </c>
      <c r="R25" s="318">
        <f t="shared" si="12"/>
        <v>37478.169914589511</v>
      </c>
      <c r="S25" s="297"/>
      <c r="T25" s="46"/>
      <c r="U25" s="9"/>
      <c r="X25" s="4"/>
    </row>
    <row r="26" spans="2:25" ht="17.399999999999999" x14ac:dyDescent="0.3">
      <c r="B26" s="346"/>
      <c r="C26" s="346"/>
      <c r="D26" s="347"/>
      <c r="E26" s="347"/>
      <c r="F26" s="346"/>
      <c r="G26" s="319"/>
      <c r="H26" s="319"/>
      <c r="I26" s="319"/>
      <c r="J26" s="265"/>
      <c r="K26" s="47"/>
      <c r="L26" s="331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554182</v>
      </c>
      <c r="I28" s="321"/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1.48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105294.58</v>
      </c>
      <c r="I29" s="321"/>
      <c r="J29" s="265"/>
      <c r="K29" s="47"/>
      <c r="L29" s="47"/>
      <c r="M29" s="39">
        <f>SUM(M21:M28)</f>
        <v>7.4000000000000012</v>
      </c>
      <c r="N29" s="12"/>
      <c r="O29" s="12"/>
      <c r="P29" s="253">
        <f>SUM(P21:P27)</f>
        <v>4.5895999999999999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659476.57999999996</v>
      </c>
      <c r="I30" s="321"/>
      <c r="J30" s="265"/>
      <c r="K30" s="47"/>
      <c r="L30" s="47"/>
      <c r="M30" s="39"/>
      <c r="N30" s="12"/>
      <c r="O30" s="12"/>
      <c r="P30" s="253">
        <f>P29</f>
        <v>4.5895999999999999</v>
      </c>
      <c r="Q30" s="14"/>
      <c r="R30" s="12"/>
      <c r="S30" s="239">
        <f>SUM(S21:S29)</f>
        <v>1.48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0.91792000000000007</v>
      </c>
      <c r="Q31" s="39" t="s">
        <v>130</v>
      </c>
      <c r="R31" s="42"/>
      <c r="S31" s="240">
        <f>S30+T28</f>
        <v>2.96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5.5075199999999995</v>
      </c>
      <c r="Q32" s="14"/>
      <c r="R32" s="14"/>
      <c r="S32" s="238">
        <f>S31*20%</f>
        <v>0.59199999999999997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3.552</v>
      </c>
      <c r="T33" s="14"/>
      <c r="U33" s="302" t="s">
        <v>21</v>
      </c>
      <c r="V33" s="299" t="s">
        <v>152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P32*2</f>
        <v>11.015039999999999</v>
      </c>
      <c r="N34" s="12">
        <v>2500</v>
      </c>
      <c r="O34" s="12">
        <f t="shared" ref="O34:O39" si="13">M34*N34</f>
        <v>27537.599999999999</v>
      </c>
      <c r="P34" s="14" t="s">
        <v>21</v>
      </c>
      <c r="Q34" s="14"/>
      <c r="R34" s="14"/>
      <c r="S34" s="241"/>
      <c r="T34" s="14"/>
      <c r="U34" s="302" t="s">
        <v>153</v>
      </c>
      <c r="V34" s="299">
        <v>3625</v>
      </c>
      <c r="W34" s="59" t="s">
        <v>154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2</v>
      </c>
      <c r="N35" s="12">
        <v>25000</v>
      </c>
      <c r="O35" s="12">
        <f t="shared" si="13"/>
        <v>50000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155</v>
      </c>
      <c r="X35" s="304"/>
    </row>
    <row r="36" spans="1:24" s="230" customFormat="1" ht="17.399999999999999" x14ac:dyDescent="0.35">
      <c r="B36" s="24" t="s">
        <v>151</v>
      </c>
      <c r="J36" s="262"/>
      <c r="K36" s="232"/>
      <c r="L36" s="250"/>
      <c r="M36" s="14"/>
      <c r="N36" s="250">
        <v>35000</v>
      </c>
      <c r="O36" s="12">
        <f t="shared" si="13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156</v>
      </c>
      <c r="X36" s="59"/>
    </row>
    <row r="37" spans="1:24" s="230" customFormat="1" ht="17.399999999999999" x14ac:dyDescent="0.35">
      <c r="B37" s="24" t="s">
        <v>144</v>
      </c>
      <c r="C37"/>
      <c r="D37"/>
      <c r="E37"/>
      <c r="F37"/>
      <c r="J37" s="262"/>
      <c r="K37" s="232"/>
      <c r="L37" s="250"/>
      <c r="M37" s="14">
        <v>3</v>
      </c>
      <c r="N37" s="250">
        <v>51000</v>
      </c>
      <c r="O37" s="12">
        <f t="shared" si="13"/>
        <v>153000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4" t="s">
        <v>157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3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/>
      <c r="N39" s="12">
        <v>500</v>
      </c>
      <c r="O39" s="12">
        <f t="shared" si="13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230537.60000000001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O40*2.2</f>
        <v>507182.72000000003</v>
      </c>
      <c r="P41" s="14" t="s">
        <v>140</v>
      </c>
      <c r="Q41" s="14"/>
      <c r="R41" s="40">
        <f>P32/R40</f>
        <v>1.4849870578084554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60590</v>
      </c>
      <c r="L42" s="250"/>
      <c r="M42" s="14"/>
      <c r="N42" s="12"/>
      <c r="O42" s="12">
        <f>O41/P30</f>
        <v>110506.95485445355</v>
      </c>
      <c r="P42" s="45" t="s">
        <v>24</v>
      </c>
      <c r="Q42" s="14"/>
      <c r="R42" s="14"/>
      <c r="S42"/>
      <c r="T42" s="238"/>
      <c r="U42" s="59" t="s">
        <v>158</v>
      </c>
      <c r="V42" s="299">
        <v>43650</v>
      </c>
    </row>
    <row r="43" spans="1:24" s="230" customFormat="1" ht="17.399999999999999" x14ac:dyDescent="0.35">
      <c r="G43"/>
      <c r="K43" s="230">
        <f>K42/1.19</f>
        <v>50915.966386554624</v>
      </c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160</v>
      </c>
      <c r="V43" s="300" t="s">
        <v>159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161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156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148</v>
      </c>
    </row>
    <row r="78" spans="3:15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45789</v>
      </c>
    </row>
    <row r="6" spans="2:31" ht="16.2" thickBot="1" x14ac:dyDescent="0.35">
      <c r="B6" s="140" t="s">
        <v>2</v>
      </c>
      <c r="C6" s="139" t="str">
        <f>'2229'!C10</f>
        <v>CONSTRUCTORA MV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11429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-62836.451700120779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554182</v>
      </c>
      <c r="E11" s="132">
        <f>D11*0.19</f>
        <v>105294.58</v>
      </c>
      <c r="F11" s="131">
        <f>E11+D11</f>
        <v>659476.57999999996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43153.548299879221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107371.69078743961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25153.548299879221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446810.30921256042</v>
      </c>
      <c r="E13" s="221">
        <f>(D11/D12)-1</f>
        <v>4.161341839136135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16153.548299879221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-22846.451700120779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177163.28979927534</v>
      </c>
      <c r="F15" s="216">
        <f>E15-D12</f>
        <v>69791.599011835729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-22846.451700120779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17153.548299879221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27537.599999999999</v>
      </c>
      <c r="E20" s="121">
        <f>D20*0.19</f>
        <v>5232.1440000000002</v>
      </c>
      <c r="F20" s="120">
        <f>SUM(D20:E20)</f>
        <v>32769.743999999999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77537.600000000006</v>
      </c>
      <c r="E21" s="116">
        <f>SUM(E18:E20)</f>
        <v>14732.144</v>
      </c>
      <c r="F21" s="115">
        <f>SUM(F18:F20)</f>
        <v>92269.744000000006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90562.436000000002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554182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77537.600000000006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446810.30921256042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446810.30921256042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2025-05-13T20:51:12Z</dcterms:modified>
</cp:coreProperties>
</file>