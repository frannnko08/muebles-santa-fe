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4B4DFFAA-676D-4EA7-BD91-BE00DDEBB6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M26" i="1"/>
  <c r="H22" i="1"/>
  <c r="L22" i="1"/>
  <c r="L21" i="1"/>
  <c r="M22" i="1"/>
  <c r="O22" i="1" s="1"/>
  <c r="N22" i="1"/>
  <c r="P22" i="1" l="1"/>
  <c r="N21" i="1"/>
  <c r="M21" i="1" l="1"/>
  <c r="S21" i="1" l="1"/>
  <c r="S26" i="1" s="1"/>
  <c r="T21" i="1"/>
  <c r="T25" i="1" s="1"/>
  <c r="O21" i="1"/>
  <c r="P21" i="1" s="1"/>
  <c r="P26" i="1" s="1"/>
  <c r="K40" i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F20" i="3"/>
  <c r="F21" i="3" s="1"/>
  <c r="Q22" i="1" l="1"/>
  <c r="R22" i="1" s="1"/>
  <c r="O40" i="1"/>
  <c r="E15" i="3"/>
  <c r="Q21" i="1" l="1"/>
  <c r="F15" i="3"/>
  <c r="R21" i="1" l="1"/>
  <c r="H25" i="1" l="1"/>
  <c r="H26" i="1" s="1"/>
  <c r="D11" i="3" l="1"/>
  <c r="X9" i="3" s="1"/>
  <c r="X15" i="3" s="1"/>
  <c r="H27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<sst xmlns="http://schemas.openxmlformats.org/spreadsheetml/2006/main" count="230" uniqueCount="172">
  <si>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</si>
  <si>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</si>
  <si>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</si>
  <si>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</si>
  <si>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</si>
  <si>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</si>
  <si>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</si>
  <si>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</si>
  <si>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</si>
  <si>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</si>
  <si>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</si>
  <si>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</si>
  <si>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</si>
  <si>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</si>
  <si>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</si>
  <si>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</si>
  <si>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</si>
  <si>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</si>
  <si>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</si>
  <si>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</si>
  <si>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</si>
  <si>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</si>
  <si>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</si>
  <si>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</si>
  <si>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</si>
  <si>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</si>
  <si>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</si>
  <si>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</si>
  <si>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</si>
  <si>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</si>
  <si>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</si>
  <si>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</si>
  <si>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</si>
  <si>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</si>
  <si>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</si>
  <si>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</si>
  <si>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</si>
  <si>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</si>
  <si>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</si>
  <si>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</si>
  <si>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</si>
  <si>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</si>
  <si>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</si>
  <si>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</si>
  <si>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</si>
  <si>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</si>
  <si>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</si>
  <si>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</si>
  <si>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</si>
  <si>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</si>
  <si>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</si>
  <si>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</si>
  <si>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</si>
  <si>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</si>
  <si>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</si>
  <si>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</si>
  <si>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</si>
  <si>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</si>
  <si>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</si>
  <si>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</si>
  <si>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</si>
  <si>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</si>
  <si>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</si>
  <si>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</si>
  <si>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</si>
  <si>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</si>
  <si>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</si>
  <si>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</si>
  <si>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</si>
  <si>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</si>
  <si>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</si>
  <si>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</si>
  <si>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</si>
  <si>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</si>
  <si>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</si>
  <si>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</si>
  <si>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</si>
  <si>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</si>
  <si>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</si>
  <si>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</si>
  <si>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</si>
  <si>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</si>
  <si>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</si>
  <si>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</si>
  <si>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</si>
  <si>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</si>
  <si>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</si>
  <si>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</si>
  <si>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</si>
  <si>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</si>
  <si>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</si>
  <si>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</si>
  <si>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</si>
  <si>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</si>
  <si>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</si>
  <si>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</si>
  <si>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</si>
  <si>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</si>
  <si>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</si>
  <si>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</si>
  <si>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</si>
  <si>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</si>
  <si>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</si>
  <si>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</si>
  <si>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</si>
  <si>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</si>
  <si>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</si>
  <si>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</si>
  <si>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</si>
  <si>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</si>
  <si>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</si>
  <si>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</si>
  <si>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</si>
  <si>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</si>
  <si>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</si>
  <si>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</si>
  <si>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</si>
  <si>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</si>
  <si>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</si>
  <si>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</si>
  <si>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</si>
  <si>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</si>
  <si>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</si>
  <si>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</si>
  <si>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</si>
  <si>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</si>
  <si>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</si>
  <si>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</si>
  <si>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</si>
  <si>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</si>
  <si>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</si>
  <si>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</si>
  <si>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</si>
  <si>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</si>
  <si>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</si>
  <si>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</si>
  <si>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</si>
  <si>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</si>
  <si>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</si>
  <si>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</si>
  <si>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</si>
  <si>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</si>
  <si>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</si>
  <si>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</si>
  <si>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</si>
  <si>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</si>
  <si>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</si>
  <si>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</si>
  <si>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</si>
  <si>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</si>
  <si>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</si>
  <si>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</si>
  <si>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</si>
  <si>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</si>
  <si>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</si>
  <si>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</si>
  <si>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</si>
  <si>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</si>
  <si>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</si>
  <si>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</si>
  <si>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</si>
  <si>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</si>
  <si>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</si>
  <si>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</si>
  <si>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</si>
  <si>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</si>
  <si>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</si>
  <si>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569 9895 7636</t>
  </si>
  <si>
    <t>FONDLE SAMSARA MAPLE 14686 SF</t>
  </si>
  <si>
    <t>HORACIO JIMENEZ</t>
  </si>
  <si>
    <t>N° 11417</t>
  </si>
  <si>
    <t>CUB C/R 90° FRENTE 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</si>
</sst>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 CUBIERTA SE ENTREGAN CON SOBRE MEDIDA EN EL LARGO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 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7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7.5546875" customWidth="1"/>
    <col min="4" max="4" width="11.109375" customWidth="1"/>
    <col min="5" max="5" width="10.5546875" customWidth="1"/>
    <col min="6" max="6" width="37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4" t="s">
        <v>160</v>
      </c>
      <c r="C10" s="278" t="s">
        <v>169</v>
      </c>
      <c r="D10" s="243"/>
      <c r="E10" s="243"/>
      <c r="F10" s="244" t="s">
        <v>0</v>
      </c>
      <c r="G10" s="276">
        <v>45782</v>
      </c>
      <c r="H10" s="245"/>
      <c r="K10" s="1"/>
      <c r="R10" s="2"/>
      <c r="S10" s="3"/>
      <c r="T10" s="3"/>
      <c r="U10" s="4"/>
      <c r="V10" s="2"/>
      <c r="W10" s="3"/>
    </row>
    <row r="11" spans="2:24" ht="15.6" x14ac:dyDescent="0.3">
      <c r="B11" s="287" t="s">
        <v>12</v>
      </c>
      <c r="C11" s="138"/>
      <c r="F11" t="s">
        <v>122</v>
      </c>
      <c r="G11" s="288" t="s">
        <v>166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5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G13" s="306"/>
      <c r="H13" s="289"/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8" t="s">
        <v>167</v>
      </c>
      <c r="D15" s="309"/>
      <c r="F15" t="s">
        <v>133</v>
      </c>
      <c r="G15" s="307" t="s">
        <v>134</v>
      </c>
      <c r="H15" s="289"/>
    </row>
    <row r="16" spans="2:24" ht="16.8" x14ac:dyDescent="0.4">
      <c r="B16" s="315" t="s">
        <v>3</v>
      </c>
      <c r="C16" s="305"/>
      <c r="D16" s="247"/>
      <c r="E16" s="247"/>
      <c r="F16" s="316" t="s">
        <v>128</v>
      </c>
      <c r="G16" s="317" t="s">
        <v>161</v>
      </c>
      <c r="H16" s="248"/>
    </row>
    <row r="17" spans="1:25" ht="15" thickBot="1" x14ac:dyDescent="0.35">
      <c r="B17" s="310" t="s">
        <v>13</v>
      </c>
      <c r="C17" s="311" t="s">
        <v>164</v>
      </c>
      <c r="D17" s="312"/>
      <c r="E17" s="119"/>
      <c r="F17" s="332" t="s">
        <v>163</v>
      </c>
      <c r="G17" s="332"/>
      <c r="H17" s="333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4" t="s">
        <v>94</v>
      </c>
      <c r="C19" s="335"/>
      <c r="D19" s="335"/>
      <c r="E19" s="335"/>
      <c r="F19" s="335"/>
      <c r="G19" s="335"/>
      <c r="H19" s="336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O39</f>
        <v>99677.655502392357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29">
        <v>1</v>
      </c>
      <c r="C21" s="329" t="s">
        <v>171</v>
      </c>
      <c r="D21" s="331">
        <v>1.86</v>
      </c>
      <c r="E21" s="331">
        <v>0.6</v>
      </c>
      <c r="F21" s="329" t="s">
        <v>168</v>
      </c>
      <c r="G21" s="330">
        <v>119025</v>
      </c>
      <c r="H21" s="330">
        <f t="shared" ref="H21:H22" si="1">G21*B21</f>
        <v>119025</v>
      </c>
      <c r="I21" s="319"/>
      <c r="J21" s="265"/>
      <c r="K21" s="47"/>
      <c r="L21" s="47">
        <f>B21</f>
        <v>1</v>
      </c>
      <c r="M21" s="39">
        <f>D21+M$19</f>
        <v>1.9400000000000002</v>
      </c>
      <c r="N21" s="39">
        <f>E21+$N$19</f>
        <v>0.6</v>
      </c>
      <c r="O21" s="261">
        <f t="shared" ref="O21" si="2">M21*N21</f>
        <v>1.1640000000000001</v>
      </c>
      <c r="P21" s="259">
        <f t="shared" ref="P21" si="3">O21*L21</f>
        <v>1.1640000000000001</v>
      </c>
      <c r="Q21" s="252">
        <f t="shared" ref="Q21" si="4">Q$20*O21</f>
        <v>116024.79100478473</v>
      </c>
      <c r="R21" s="318">
        <f t="shared" ref="R21" si="5">Q21+R$20</f>
        <v>119024.79100478473</v>
      </c>
      <c r="S21" s="297">
        <f>M21*L21</f>
        <v>1.9400000000000002</v>
      </c>
      <c r="T21" s="46">
        <f>N21*2*L21*2</f>
        <v>2.4</v>
      </c>
      <c r="U21" s="9"/>
      <c r="X21" s="4"/>
    </row>
    <row r="22" spans="1:25" ht="17.399999999999999" x14ac:dyDescent="0.3">
      <c r="B22" s="329">
        <v>1</v>
      </c>
      <c r="C22" s="329" t="s">
        <v>171</v>
      </c>
      <c r="D22" s="331">
        <v>2.3199999999999998</v>
      </c>
      <c r="E22" s="331">
        <v>0.56000000000000005</v>
      </c>
      <c r="F22" s="329" t="s">
        <v>168</v>
      </c>
      <c r="G22" s="330">
        <v>136967</v>
      </c>
      <c r="H22" s="330">
        <f t="shared" si="1"/>
        <v>136967</v>
      </c>
      <c r="I22" s="319"/>
      <c r="J22" s="265"/>
      <c r="K22" s="47"/>
      <c r="L22" s="47">
        <f t="shared" ref="L22" si="6">B22</f>
        <v>1</v>
      </c>
      <c r="M22" s="39">
        <f t="shared" ref="M22" si="7">D22+M$19</f>
        <v>2.4</v>
      </c>
      <c r="N22" s="39">
        <f t="shared" ref="N22" si="8">E22+$N$19</f>
        <v>0.56000000000000005</v>
      </c>
      <c r="O22" s="261">
        <f t="shared" ref="O22" si="9">M22*N22</f>
        <v>1.3440000000000001</v>
      </c>
      <c r="P22" s="259">
        <f t="shared" ref="P22" si="10">O22*L22</f>
        <v>1.3440000000000001</v>
      </c>
      <c r="Q22" s="252">
        <f t="shared" ref="Q22" si="11">Q$20*O22</f>
        <v>133966.76899521533</v>
      </c>
      <c r="R22" s="318">
        <f t="shared" ref="R22" si="12">Q22+R$20</f>
        <v>136966.76899521533</v>
      </c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19"/>
      <c r="H23" s="319"/>
      <c r="I23" s="319"/>
      <c r="J23" s="265"/>
      <c r="K23" s="47"/>
      <c r="L23" s="47"/>
      <c r="M23" s="39"/>
      <c r="N23" s="39"/>
      <c r="O23" s="261"/>
      <c r="P23" s="259"/>
      <c r="Q23" s="252"/>
      <c r="R23" s="318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0"/>
      <c r="I24" s="322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3" t="s">
        <v>27</v>
      </c>
      <c r="H25" s="324">
        <f>SUM(H21:H24)</f>
        <v>255992</v>
      </c>
      <c r="I25" s="321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2.4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50</v>
      </c>
      <c r="H26" s="294">
        <f>H25*19%</f>
        <v>48638.48</v>
      </c>
      <c r="I26" s="321"/>
      <c r="J26" s="265"/>
      <c r="K26" s="47"/>
      <c r="L26" s="47"/>
      <c r="M26" s="39">
        <f>SUM(M21:M22)</f>
        <v>4.34</v>
      </c>
      <c r="N26" s="12"/>
      <c r="O26" s="12"/>
      <c r="P26" s="253">
        <f>SUM(P21:P24)</f>
        <v>2.508</v>
      </c>
      <c r="Q26" s="14"/>
      <c r="R26" s="12"/>
      <c r="S26" s="239">
        <f>SUM(S21:S25)</f>
        <v>1.9400000000000002</v>
      </c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304630.48</v>
      </c>
      <c r="I27" s="321"/>
      <c r="J27" s="265"/>
      <c r="K27" s="47"/>
      <c r="L27" s="47"/>
      <c r="M27" s="39"/>
      <c r="N27" s="12"/>
      <c r="O27" s="12"/>
      <c r="P27" s="253">
        <f>P26</f>
        <v>2.508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0.50160000000000005</v>
      </c>
      <c r="Q28" s="39" t="s">
        <v>129</v>
      </c>
      <c r="R28" s="42"/>
      <c r="S28" s="240"/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3.0095999999999998</v>
      </c>
      <c r="Q29" s="14"/>
      <c r="R29" s="14"/>
      <c r="S29" s="238"/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/>
      <c r="T30" s="14"/>
      <c r="U30" s="301" t="s">
        <v>21</v>
      </c>
      <c r="V30" s="298" t="s">
        <v>150</v>
      </c>
      <c r="W30" s="302">
        <v>44971</v>
      </c>
      <c r="X30" s="303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3.0095999999999998</v>
      </c>
      <c r="N31" s="12">
        <v>3500</v>
      </c>
      <c r="O31" s="12">
        <f t="shared" ref="O31:O36" si="13">M31*N31</f>
        <v>10533.599999999999</v>
      </c>
      <c r="P31" s="14" t="s">
        <v>21</v>
      </c>
      <c r="Q31" s="14"/>
      <c r="R31" s="14"/>
      <c r="S31" s="241"/>
      <c r="T31" s="14"/>
      <c r="U31" s="301" t="s">
        <v>151</v>
      </c>
      <c r="V31" s="298">
        <v>3625</v>
      </c>
      <c r="W31" s="59" t="s">
        <v>152</v>
      </c>
      <c r="X31" s="303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</v>
      </c>
      <c r="N32" s="12">
        <v>25000</v>
      </c>
      <c r="O32" s="12">
        <f t="shared" si="13"/>
        <v>25000</v>
      </c>
      <c r="P32" s="39" t="s">
        <v>30</v>
      </c>
      <c r="Q32" s="42"/>
      <c r="R32" s="14"/>
      <c r="S32" s="240"/>
      <c r="T32" s="14"/>
      <c r="U32" s="301"/>
      <c r="V32" s="59">
        <v>906.25</v>
      </c>
      <c r="W32" s="59" t="s">
        <v>153</v>
      </c>
      <c r="X32" s="303"/>
    </row>
    <row r="33" spans="2:24" s="230" customFormat="1" ht="17.399999999999999" x14ac:dyDescent="0.35">
      <c r="B33" s="24" t="s">
        <v>149</v>
      </c>
      <c r="J33" s="262"/>
      <c r="K33" s="232"/>
      <c r="L33" s="250"/>
      <c r="M33" s="14"/>
      <c r="N33" s="250">
        <v>69000</v>
      </c>
      <c r="O33" s="12">
        <f t="shared" si="13"/>
        <v>0</v>
      </c>
      <c r="P33" s="39" t="s">
        <v>29</v>
      </c>
      <c r="Q33" s="42"/>
      <c r="S33" s="240"/>
      <c r="T33" s="256"/>
      <c r="U33" s="59"/>
      <c r="V33" s="59">
        <f>V32*20%</f>
        <v>181.25</v>
      </c>
      <c r="W33" s="303" t="s">
        <v>154</v>
      </c>
      <c r="X33" s="59"/>
    </row>
    <row r="34" spans="2:24" s="230" customFormat="1" ht="17.399999999999999" x14ac:dyDescent="0.35">
      <c r="B34" s="24" t="s">
        <v>165</v>
      </c>
      <c r="C34"/>
      <c r="D34"/>
      <c r="E34"/>
      <c r="F34"/>
      <c r="J34" s="262"/>
      <c r="K34" s="232"/>
      <c r="L34" s="250"/>
      <c r="M34" s="14">
        <v>2</v>
      </c>
      <c r="N34" s="250">
        <v>38500</v>
      </c>
      <c r="O34" s="12">
        <f t="shared" si="13"/>
        <v>77000</v>
      </c>
      <c r="P34" s="14" t="s">
        <v>140</v>
      </c>
      <c r="Q34" s="17"/>
      <c r="S34" s="238"/>
      <c r="T34" s="256"/>
      <c r="U34" s="59"/>
      <c r="V34" s="59">
        <f>V32+V33</f>
        <v>1087.5</v>
      </c>
      <c r="W34" s="303" t="s">
        <v>155</v>
      </c>
      <c r="X34" s="59"/>
    </row>
    <row r="35" spans="2:24" s="230" customFormat="1" ht="17.399999999999999" x14ac:dyDescent="0.35">
      <c r="B35" s="29" t="s">
        <v>124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3"/>
        <v>0</v>
      </c>
      <c r="P35" s="14" t="s">
        <v>31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>
        <v>4.34</v>
      </c>
      <c r="N36" s="12">
        <v>1500</v>
      </c>
      <c r="O36" s="12">
        <f t="shared" si="13"/>
        <v>6510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119043.6</v>
      </c>
      <c r="P37" s="39">
        <v>0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32</v>
      </c>
      <c r="N38" s="12"/>
      <c r="O38" s="255">
        <f>O37*2.1</f>
        <v>249991.56000000003</v>
      </c>
      <c r="P38" s="14" t="s">
        <v>139</v>
      </c>
      <c r="Q38" s="14"/>
      <c r="R38" s="40">
        <f>P29/R37</f>
        <v>0.81147540983606548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46000</v>
      </c>
      <c r="L39" s="250"/>
      <c r="M39" s="14"/>
      <c r="N39" s="12"/>
      <c r="O39" s="12">
        <f>O38/P27</f>
        <v>99677.655502392357</v>
      </c>
      <c r="P39" s="45" t="s">
        <v>23</v>
      </c>
      <c r="Q39" s="14"/>
      <c r="R39" s="14"/>
      <c r="S39"/>
      <c r="T39" s="238"/>
      <c r="U39" s="59" t="s">
        <v>156</v>
      </c>
      <c r="V39" s="298">
        <v>43650</v>
      </c>
    </row>
    <row r="40" spans="2:24" s="230" customFormat="1" ht="17.399999999999999" x14ac:dyDescent="0.35">
      <c r="G40"/>
      <c r="K40" s="230">
        <f>K39/1.19</f>
        <v>38655.462184873948</v>
      </c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158</v>
      </c>
      <c r="V40" s="299" t="s">
        <v>157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159</v>
      </c>
      <c r="V41" s="300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154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25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146</v>
      </c>
    </row>
    <row r="75" spans="3:15" x14ac:dyDescent="0.3">
      <c r="C75" t="s">
        <v>145</v>
      </c>
    </row>
    <row r="78" spans="3:15" x14ac:dyDescent="0.3">
      <c r="C78" t="s">
        <v>145</v>
      </c>
    </row>
    <row r="155" spans="3:3" x14ac:dyDescent="0.3">
      <c r="C155" t="s">
        <v>145</v>
      </c>
    </row>
    <row r="156" spans="3:3" x14ac:dyDescent="0.3">
      <c r="C156" t="s">
        <v>147</v>
      </c>
    </row>
    <row r="157" spans="3:3" x14ac:dyDescent="0.3">
      <c r="C157" t="s">
        <v>148</v>
      </c>
    </row>
    <row r="582" spans="3:3" x14ac:dyDescent="0.3">
      <c r="C582" t="s">
        <v>145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45782</v>
      </c>
    </row>
    <row r="6" spans="2:31" ht="16.2" thickBot="1" x14ac:dyDescent="0.35">
      <c r="B6" s="140" t="s">
        <v>2</v>
      </c>
      <c r="C6" s="139" t="str">
        <f>'2229'!C10</f>
        <v>HORACIO JIMENEZ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97</v>
      </c>
      <c r="I7" s="339"/>
      <c r="J7" s="339"/>
      <c r="K7" s="340"/>
      <c r="N7" s="75"/>
      <c r="O7" s="337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11417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7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-24689.218366787438</v>
      </c>
    </row>
    <row r="10" spans="2:31" ht="16.2" thickBot="1" x14ac:dyDescent="0.35">
      <c r="D10" s="218" t="s">
        <v>27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'2229'!H25</f>
        <v>255992</v>
      </c>
      <c r="E11" s="132">
        <f>D11*0.19</f>
        <v>48638.48</v>
      </c>
      <c r="F11" s="131">
        <f>E11+D11</f>
        <v>304630.48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81300.781633212566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65367.690787439613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63300.781633212566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190624.30921256039</v>
      </c>
      <c r="E13" s="221">
        <f>(D11/D12)-1</f>
        <v>2.916185456702546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54300.781633212566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27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15300.781633212562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107856.68979927535</v>
      </c>
      <c r="F15" s="216">
        <f>E15-D12</f>
        <v>42488.999011835738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15300.781633212562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55300.781633212566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27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27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10533.599999999999</v>
      </c>
      <c r="E20" s="121">
        <f>D20*0.19</f>
        <v>2001.3839999999998</v>
      </c>
      <c r="F20" s="120">
        <f>SUM(D20:E20)</f>
        <v>12534.983999999999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28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35533.599999999999</v>
      </c>
      <c r="E21" s="116">
        <f>SUM(E18:E20)</f>
        <v>6751.384</v>
      </c>
      <c r="F21" s="115">
        <f>SUM(F18:F20)</f>
        <v>42284.983999999997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24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26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41887.096000000005</v>
      </c>
    </row>
    <row r="41" spans="2:16" ht="15" thickBot="1" x14ac:dyDescent="0.35">
      <c r="H41" s="341" t="s">
        <v>59</v>
      </c>
      <c r="I41" s="342"/>
      <c r="J41" s="342"/>
      <c r="K41" s="342"/>
      <c r="L41" s="342"/>
      <c r="M41" s="343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255992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35533.599999999999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190624.30921256039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190624.30921256039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2025-04-30T20:40:40Z</cp:lastPrinted>
  <dcterms:created xsi:type="dcterms:W3CDTF">2013-03-18T13:35:42Z</dcterms:created>
  <dcterms:modified xsi:type="dcterms:W3CDTF">2025-05-05T14:14:47Z</dcterms:modified>
</cp:coreProperties>
</file>