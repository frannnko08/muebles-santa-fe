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E9F059FA-CD89-4DED-9F8C-D1C881574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P31" i="1"/>
  <c r="N26" i="1"/>
  <c r="O26" i="1" s="1"/>
  <c r="P26" i="1" s="1"/>
  <c r="N25" i="1"/>
  <c r="O25" i="1" s="1"/>
  <c r="P25" i="1" s="1"/>
  <c r="M26" i="1"/>
  <c r="M31" i="1" s="1"/>
  <c r="M25" i="1"/>
  <c r="L26" i="1" l="1"/>
  <c r="L25" i="1"/>
  <c r="H23" i="1"/>
  <c r="H24" i="1"/>
  <c r="L23" i="1"/>
  <c r="M23" i="1"/>
  <c r="N23" i="1"/>
  <c r="L24" i="1"/>
  <c r="M24" i="1"/>
  <c r="N24" i="1"/>
  <c r="H22" i="1"/>
  <c r="L22" i="1"/>
  <c r="M22" i="1"/>
  <c r="N22" i="1"/>
  <c r="L21" i="1"/>
  <c r="N21" i="1"/>
  <c r="O24" i="1" l="1"/>
  <c r="P24" i="1" s="1"/>
  <c r="O22" i="1"/>
  <c r="P22" i="1" s="1"/>
  <c r="O23" i="1"/>
  <c r="P23" i="1" s="1"/>
  <c r="M21" i="1"/>
  <c r="S21" i="1" l="1"/>
  <c r="S31" i="1" s="1"/>
  <c r="T21" i="1"/>
  <c r="T30" i="1" s="1"/>
  <c r="O21" i="1"/>
  <c r="P21" i="1" s="1"/>
  <c r="K45" i="1"/>
  <c r="V38" i="1" l="1"/>
  <c r="V39" i="1" s="1"/>
  <c r="O37" i="1" l="1"/>
  <c r="P32" i="1" l="1"/>
  <c r="N20" i="1"/>
  <c r="L20" i="1"/>
  <c r="P33" i="1" l="1"/>
  <c r="P34" i="1" s="1"/>
  <c r="M36" i="1" s="1"/>
  <c r="O38" i="1"/>
  <c r="R42" i="1"/>
  <c r="R43" i="1" l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O44" i="1" l="1"/>
  <c r="D20" i="3"/>
  <c r="E20" i="3" s="1"/>
  <c r="E21" i="3" s="1"/>
  <c r="Q20" i="1" l="1"/>
  <c r="D21" i="3"/>
  <c r="M43" i="3" s="1"/>
  <c r="D12" i="3" s="1"/>
  <c r="F20" i="3"/>
  <c r="F21" i="3" s="1"/>
  <c r="Q25" i="1" l="1"/>
  <c r="R25" i="1" s="1"/>
  <c r="Q26" i="1"/>
  <c r="R26" i="1" s="1"/>
  <c r="Q22" i="1"/>
  <c r="R22" i="1" s="1"/>
  <c r="Q24" i="1"/>
  <c r="R24" i="1" s="1"/>
  <c r="Q23" i="1"/>
  <c r="R23" i="1" s="1"/>
  <c r="O45" i="1"/>
  <c r="E15" i="3"/>
  <c r="Q21" i="1" l="1"/>
  <c r="F15" i="3"/>
  <c r="R21" i="1" l="1"/>
  <c r="H21" i="1" l="1"/>
  <c r="H30" i="1" s="1"/>
  <c r="H31" i="1" l="1"/>
  <c r="D11" i="3" l="1"/>
  <c r="X9" i="3" s="1"/>
  <c r="X15" i="3" s="1"/>
  <c r="H32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<sst xmlns="http://schemas.openxmlformats.org/spreadsheetml/2006/main" count="242" uniqueCount="178">
  <si>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</si>
  <si>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</si>
  <si>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</si>
  <si>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</si>
  <si>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</si>
  <si>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</si>
  <si>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</si>
  <si>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</si>
  <si>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</si>
  <si>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</si>
  <si>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</si>
  <si>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</si>
  <si>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</si>
  <si>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</si>
  <si>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</si>
  <si>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</si>
  <si>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</si>
  <si>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</si>
  <si>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</si>
  <si>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</si>
  <si>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</si>
  <si>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</si>
  <si>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</si>
  <si>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</si>
  <si>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</si>
  <si>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</si>
  <si>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</si>
  <si>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</si>
  <si>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</si>
  <si>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</si>
  <si>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</si>
  <si>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</si>
  <si>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</si>
  <si>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</si>
  <si>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</si>
  <si>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</si>
  <si>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</si>
  <si>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</si>
  <si>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</si>
  <si>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</si>
  <si>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</si>
  <si>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</si>
  <si>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</si>
  <si>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</si>
  <si>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</si>
  <si>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</si>
  <si>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</si>
  <si>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</si>
  <si>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</si>
  <si>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</si>
  <si>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</si>
  <si>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</si>
  <si>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</si>
  <si>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</si>
  <si>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</si>
  <si>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</si>
  <si>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</si>
  <si>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</si>
  <si>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</si>
  <si>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</si>
  <si>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</si>
  <si>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</si>
  <si>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</si>
  <si>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</si>
  <si>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</si>
  <si>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</si>
  <si>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</si>
  <si>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</si>
  <si>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</si>
  <si>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</si>
  <si>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</si>
  <si>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</si>
  <si>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</si>
  <si>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</si>
  <si>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</si>
  <si>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</si>
  <si>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</si>
  <si>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</si>
  <si>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</si>
  <si>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</si>
  <si>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</si>
  <si>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</si>
  <si>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</si>
  <si>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</si>
  <si>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</si>
  <si>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</si>
  <si>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</si>
  <si>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</si>
  <si>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</si>
  <si>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</si>
  <si>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</si>
  <si>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</si>
  <si>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</si>
  <si>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</si>
  <si>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</si>
  <si>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</si>
  <si>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</si>
  <si>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</si>
  <si>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</si>
  <si>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</si>
  <si>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</si>
  <si>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</si>
  <si>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</si>
  <si>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</si>
  <si>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</si>
  <si>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</si>
  <si>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</si>
  <si>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</si>
  <si>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</si>
  <si>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</si>
  <si>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</si>
  <si>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</si>
  <si>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</si>
  <si>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</si>
  <si>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</si>
  <si>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</si>
  <si>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</si>
  <si>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</si>
  <si>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</si>
  <si>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</si>
  <si>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</si>
  <si>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</si>
  <si>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</si>
  <si>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</si>
  <si>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</si>
  <si>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</si>
  <si>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</si>
  <si>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</si>
  <si>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</si>
  <si>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</si>
  <si>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</si>
  <si>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</si>
  <si>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</si>
  <si>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</si>
  <si>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</si>
  <si>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</si>
  <si>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</si>
  <si>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</si>
  <si>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</si>
  <si>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</si>
  <si>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</si>
  <si>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</si>
  <si>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</si>
  <si>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</si>
  <si>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</si>
  <si>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</si>
  <si>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</si>
  <si>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</si>
  <si>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</si>
  <si>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</si>
  <si>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</si>
  <si>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</si>
  <si>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</si>
  <si>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</si>
  <si>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</si>
  <si>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</si>
  <si>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</si>
  <si>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</si>
  <si>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</si>
  <si>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</si>
  <si>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</si>
  <si>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</si>
  <si>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</si>
  <si>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</si>
  <si>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</si>
  <si>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</si>
  <si>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</si>
  <si>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</si>
  <si>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</si>
  <si>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N° 11437</t>
  </si>
  <si>
    <t>JULIO ESTRADA</t>
  </si>
  <si>
    <t>7 DIAS HABILES</t>
  </si>
  <si>
    <t>+569 7938 9454</t>
  </si>
  <si>
    <t>CUB S/R R6</t>
  </si>
  <si>
    <t>CUB MESA R6 3 LADOS</t>
  </si>
  <si>
    <t>RESPALDO R8</t>
  </si>
  <si>
    <t>CORTE Z</t>
  </si>
  <si>
    <t>MARINA DI CARRARA 3151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</si>
</sst>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CON SOBRE MEDIDA EN EL LARGO,</a:t>
          </a:r>
          <a:r>
            <a:rPr lang="es-CL" sz="1200" b="1" baseline="0"/>
            <a:t> PERO PUEDE PEDIR TERMNACIONES, ESO TIENE UN RECARGO, PUEDE SOLICITARLO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topLeftCell="A6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3.33203125" customWidth="1"/>
    <col min="4" max="4" width="11.109375" customWidth="1"/>
    <col min="5" max="5" width="10.5546875" customWidth="1"/>
    <col min="6" max="6" width="28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170</v>
      </c>
      <c r="D10" s="243"/>
      <c r="E10" s="243"/>
      <c r="F10" s="244" t="s">
        <v>167</v>
      </c>
      <c r="G10" s="276">
        <v>45792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166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F13" t="s">
        <v>165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168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2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O44</f>
        <v>84355.875880125968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29" t="s">
        <v>173</v>
      </c>
      <c r="D21" s="330">
        <v>2.34</v>
      </c>
      <c r="E21" s="330">
        <v>0.6</v>
      </c>
      <c r="F21" s="329" t="s">
        <v>177</v>
      </c>
      <c r="G21" s="331">
        <v>125485</v>
      </c>
      <c r="H21" s="331">
        <f>G21*B21</f>
        <v>125485</v>
      </c>
      <c r="I21" s="319"/>
      <c r="J21" s="265"/>
      <c r="K21" s="47"/>
      <c r="L21" s="47">
        <f>B21</f>
        <v>1</v>
      </c>
      <c r="M21" s="39">
        <f>D21+M$19</f>
        <v>2.42</v>
      </c>
      <c r="N21" s="39">
        <f>E21+$N$19</f>
        <v>0.6</v>
      </c>
      <c r="O21" s="261">
        <f t="shared" ref="O21" si="1">M21*N21</f>
        <v>1.452</v>
      </c>
      <c r="P21" s="259">
        <f t="shared" ref="P21" si="2">O21*L21</f>
        <v>1.452</v>
      </c>
      <c r="Q21" s="252">
        <f t="shared" ref="Q21" si="3">Q$20*O21</f>
        <v>122484.7317779429</v>
      </c>
      <c r="R21" s="318">
        <f t="shared" ref="R21" si="4">Q21+R$20</f>
        <v>125484.7317779429</v>
      </c>
      <c r="S21" s="297">
        <f>M21*L21</f>
        <v>2.42</v>
      </c>
      <c r="T21" s="46">
        <f>N21*2*L21*2</f>
        <v>2.4</v>
      </c>
      <c r="U21" s="9"/>
      <c r="X21" s="4"/>
    </row>
    <row r="22" spans="2:25" ht="17.399999999999999" x14ac:dyDescent="0.3">
      <c r="B22" s="329">
        <v>1</v>
      </c>
      <c r="C22" s="329" t="s">
        <v>173</v>
      </c>
      <c r="D22" s="330">
        <v>0.85</v>
      </c>
      <c r="E22" s="330">
        <v>0.55000000000000004</v>
      </c>
      <c r="F22" s="329" t="s">
        <v>177</v>
      </c>
      <c r="G22" s="331">
        <v>46148</v>
      </c>
      <c r="H22" s="331">
        <f>G22*B22</f>
        <v>46148</v>
      </c>
      <c r="I22" s="319"/>
      <c r="J22" s="265"/>
      <c r="K22" s="47"/>
      <c r="L22" s="47">
        <f>B22</f>
        <v>1</v>
      </c>
      <c r="M22" s="39">
        <f>D22+M$19</f>
        <v>0.92999999999999994</v>
      </c>
      <c r="N22" s="39">
        <f>E22+$N$19</f>
        <v>0.55000000000000004</v>
      </c>
      <c r="O22" s="261">
        <f t="shared" ref="O22" si="5">M22*N22</f>
        <v>0.51149999999999995</v>
      </c>
      <c r="P22" s="259">
        <f t="shared" ref="P22" si="6">O22*L22</f>
        <v>0.51149999999999995</v>
      </c>
      <c r="Q22" s="252">
        <f t="shared" ref="Q22" si="7">Q$20*O22</f>
        <v>43148.030512684432</v>
      </c>
      <c r="R22" s="318">
        <f t="shared" ref="R22" si="8">Q22+R$20</f>
        <v>46148.030512684432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174</v>
      </c>
      <c r="D23" s="330">
        <v>0.9</v>
      </c>
      <c r="E23" s="330">
        <v>0.6</v>
      </c>
      <c r="F23" s="329" t="s">
        <v>177</v>
      </c>
      <c r="G23" s="331">
        <v>52601</v>
      </c>
      <c r="H23" s="331">
        <f t="shared" ref="H23:H27" si="9">G23*B23</f>
        <v>52601</v>
      </c>
      <c r="I23" s="319"/>
      <c r="J23" s="265"/>
      <c r="K23" s="47"/>
      <c r="L23" s="47">
        <f t="shared" ref="L23:L26" si="10">B23</f>
        <v>1</v>
      </c>
      <c r="M23" s="39">
        <f t="shared" ref="M23:M26" si="11">D23+M$19</f>
        <v>0.98</v>
      </c>
      <c r="N23" s="39">
        <f t="shared" ref="N23:N26" si="12">E23+$N$19</f>
        <v>0.6</v>
      </c>
      <c r="O23" s="261">
        <f t="shared" ref="O23:O26" si="13">M23*N23</f>
        <v>0.58799999999999997</v>
      </c>
      <c r="P23" s="259">
        <f t="shared" ref="P23:P26" si="14">O23*L23</f>
        <v>0.58799999999999997</v>
      </c>
      <c r="Q23" s="252">
        <f t="shared" ref="Q23:Q26" si="15">Q$20*O23</f>
        <v>49601.255017514064</v>
      </c>
      <c r="R23" s="318">
        <f t="shared" ref="R23:R26" si="16">Q23+R$20</f>
        <v>52601.255017514064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175</v>
      </c>
      <c r="D24" s="330">
        <v>2.34</v>
      </c>
      <c r="E24" s="330">
        <v>0.06</v>
      </c>
      <c r="F24" s="329" t="s">
        <v>177</v>
      </c>
      <c r="G24" s="331">
        <v>15248</v>
      </c>
      <c r="H24" s="331">
        <f t="shared" si="9"/>
        <v>15248</v>
      </c>
      <c r="I24" s="319"/>
      <c r="J24" s="265"/>
      <c r="K24" s="47"/>
      <c r="L24" s="47">
        <f t="shared" si="10"/>
        <v>1</v>
      </c>
      <c r="M24" s="39">
        <f t="shared" si="11"/>
        <v>2.42</v>
      </c>
      <c r="N24" s="39">
        <f t="shared" si="12"/>
        <v>0.06</v>
      </c>
      <c r="O24" s="261">
        <f t="shared" si="13"/>
        <v>0.1452</v>
      </c>
      <c r="P24" s="259">
        <f t="shared" si="14"/>
        <v>0.1452</v>
      </c>
      <c r="Q24" s="252">
        <f t="shared" si="15"/>
        <v>12248.473177794291</v>
      </c>
      <c r="R24" s="318">
        <f t="shared" si="16"/>
        <v>15248.473177794291</v>
      </c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175</v>
      </c>
      <c r="D25" s="330">
        <v>0.6</v>
      </c>
      <c r="E25" s="330">
        <v>0.06</v>
      </c>
      <c r="F25" s="329" t="s">
        <v>177</v>
      </c>
      <c r="G25" s="331">
        <v>6442</v>
      </c>
      <c r="H25" s="331">
        <f t="shared" si="9"/>
        <v>6442</v>
      </c>
      <c r="I25" s="319"/>
      <c r="J25" s="265"/>
      <c r="K25" s="47"/>
      <c r="L25" s="47">
        <f t="shared" si="10"/>
        <v>1</v>
      </c>
      <c r="M25" s="39">
        <f t="shared" si="11"/>
        <v>0.67999999999999994</v>
      </c>
      <c r="N25" s="39">
        <f t="shared" si="12"/>
        <v>0.06</v>
      </c>
      <c r="O25" s="261">
        <f t="shared" si="13"/>
        <v>4.0799999999999996E-2</v>
      </c>
      <c r="P25" s="259">
        <f t="shared" si="14"/>
        <v>4.0799999999999996E-2</v>
      </c>
      <c r="Q25" s="252">
        <f t="shared" si="15"/>
        <v>3441.7197359091392</v>
      </c>
      <c r="R25" s="318">
        <f t="shared" si="16"/>
        <v>6441.7197359091388</v>
      </c>
      <c r="S25" s="297"/>
      <c r="T25" s="46"/>
      <c r="U25" s="9"/>
      <c r="X25" s="4"/>
    </row>
    <row r="26" spans="2:25" ht="17.399999999999999" x14ac:dyDescent="0.3">
      <c r="B26" s="329">
        <v>1</v>
      </c>
      <c r="C26" s="329" t="s">
        <v>175</v>
      </c>
      <c r="D26" s="330">
        <v>1.4</v>
      </c>
      <c r="E26" s="330">
        <v>0.06</v>
      </c>
      <c r="F26" s="329" t="s">
        <v>177</v>
      </c>
      <c r="G26" s="331">
        <v>10491</v>
      </c>
      <c r="H26" s="331">
        <f t="shared" si="9"/>
        <v>10491</v>
      </c>
      <c r="I26" s="319"/>
      <c r="J26" s="265"/>
      <c r="K26" s="47"/>
      <c r="L26" s="47">
        <f t="shared" si="10"/>
        <v>1</v>
      </c>
      <c r="M26" s="39">
        <f t="shared" si="11"/>
        <v>1.48</v>
      </c>
      <c r="N26" s="39">
        <f t="shared" si="12"/>
        <v>0.06</v>
      </c>
      <c r="O26" s="261">
        <f t="shared" si="13"/>
        <v>8.879999999999999E-2</v>
      </c>
      <c r="P26" s="259">
        <f t="shared" si="14"/>
        <v>8.879999999999999E-2</v>
      </c>
      <c r="Q26" s="252">
        <f t="shared" si="15"/>
        <v>7490.8017781551853</v>
      </c>
      <c r="R26" s="318">
        <f t="shared" si="16"/>
        <v>10490.801778155186</v>
      </c>
      <c r="S26" s="297"/>
      <c r="T26" s="46"/>
      <c r="U26" s="9"/>
      <c r="X26" s="4"/>
    </row>
    <row r="27" spans="2:25" ht="17.399999999999999" x14ac:dyDescent="0.3">
      <c r="B27" s="329">
        <v>1</v>
      </c>
      <c r="C27" s="329" t="s">
        <v>176</v>
      </c>
      <c r="D27" s="330"/>
      <c r="E27" s="330"/>
      <c r="F27" s="329"/>
      <c r="G27" s="331">
        <v>30000</v>
      </c>
      <c r="H27" s="331">
        <f t="shared" si="9"/>
        <v>30000</v>
      </c>
      <c r="I27" s="319"/>
      <c r="J27" s="265"/>
      <c r="K27" s="47"/>
      <c r="L27" s="47"/>
      <c r="M27" s="39"/>
      <c r="N27" s="39"/>
      <c r="O27" s="261"/>
      <c r="P27" s="259"/>
      <c r="Q27" s="252"/>
      <c r="R27" s="318"/>
      <c r="S27" s="297"/>
      <c r="T27" s="46"/>
      <c r="U27" s="9"/>
      <c r="X27" s="4"/>
    </row>
    <row r="28" spans="2:25" ht="17.399999999999999" x14ac:dyDescent="0.3">
      <c r="B28" s="285"/>
      <c r="C28" s="344"/>
      <c r="D28" s="286"/>
      <c r="E28" s="286"/>
      <c r="F28" s="285"/>
      <c r="G28" s="319"/>
      <c r="H28" s="319"/>
      <c r="I28" s="319"/>
      <c r="J28" s="265"/>
      <c r="K28" s="47"/>
      <c r="L28" s="47"/>
      <c r="M28" s="39"/>
      <c r="N28" s="39"/>
      <c r="O28" s="261"/>
      <c r="P28" s="259"/>
      <c r="Q28" s="252"/>
      <c r="R28" s="318"/>
      <c r="S28" s="297"/>
      <c r="T28" s="46"/>
      <c r="U28" s="9"/>
      <c r="X28" s="4"/>
    </row>
    <row r="29" spans="2:25" ht="18" thickBot="1" x14ac:dyDescent="0.35">
      <c r="B29" s="285"/>
      <c r="C29" s="285"/>
      <c r="D29" s="286"/>
      <c r="E29" s="286"/>
      <c r="F29" s="285"/>
      <c r="G29" s="265"/>
      <c r="H29" s="320"/>
      <c r="I29" s="322"/>
      <c r="J29" s="233"/>
      <c r="K29" s="47"/>
      <c r="L29" s="47"/>
      <c r="M29" s="39"/>
      <c r="N29" s="39"/>
      <c r="O29" s="261"/>
      <c r="P29" s="259"/>
      <c r="Q29" s="252"/>
      <c r="R29" s="258"/>
      <c r="S29" s="297"/>
      <c r="T29" s="14"/>
      <c r="U29" s="9"/>
      <c r="X29" s="4"/>
    </row>
    <row r="30" spans="2:25" ht="17.399999999999999" x14ac:dyDescent="0.3">
      <c r="B30" s="285"/>
      <c r="C30" s="285"/>
      <c r="D30" s="286"/>
      <c r="E30" s="286"/>
      <c r="F30" s="285"/>
      <c r="G30" s="323" t="s">
        <v>28</v>
      </c>
      <c r="H30" s="324">
        <f>SUM(H21:H29)</f>
        <v>286415</v>
      </c>
      <c r="I30" s="321"/>
      <c r="J30" s="265"/>
      <c r="K30" s="47">
        <v>2600000</v>
      </c>
      <c r="L30" s="47"/>
      <c r="M30" s="39"/>
      <c r="N30" s="39"/>
      <c r="O30" s="261"/>
      <c r="P30" s="259"/>
      <c r="Q30" s="252"/>
      <c r="R30" s="258"/>
      <c r="S30" s="297"/>
      <c r="T30" s="46">
        <f>SUM(T21:T29)</f>
        <v>2.4</v>
      </c>
      <c r="U30" s="9"/>
      <c r="X30" s="4"/>
    </row>
    <row r="31" spans="2:25" ht="17.399999999999999" x14ac:dyDescent="0.3">
      <c r="B31" s="279"/>
      <c r="C31" s="282"/>
      <c r="D31" s="283"/>
      <c r="E31" s="283"/>
      <c r="F31" s="284"/>
      <c r="G31" s="296" t="s">
        <v>51</v>
      </c>
      <c r="H31" s="294">
        <f>H30*19%</f>
        <v>54418.85</v>
      </c>
      <c r="I31" s="321"/>
      <c r="J31" s="265"/>
      <c r="K31" s="47"/>
      <c r="L31" s="47"/>
      <c r="M31" s="39">
        <f>SUM(M21:M26)</f>
        <v>8.91</v>
      </c>
      <c r="N31" s="12"/>
      <c r="O31" s="12"/>
      <c r="P31" s="253">
        <f>SUM(P21:P29)</f>
        <v>2.8262999999999998</v>
      </c>
      <c r="Q31" s="14"/>
      <c r="R31" s="12"/>
      <c r="S31" s="239">
        <f>SUM(S21:S30)</f>
        <v>2.42</v>
      </c>
      <c r="T31" s="46"/>
      <c r="U31" s="9"/>
      <c r="X31" s="4"/>
    </row>
    <row r="32" spans="2:25" ht="18" thickBot="1" x14ac:dyDescent="0.35">
      <c r="B32" s="275"/>
      <c r="C32" s="281"/>
      <c r="D32" s="272"/>
      <c r="E32" s="272"/>
      <c r="F32" s="273"/>
      <c r="G32" s="280" t="s">
        <v>6</v>
      </c>
      <c r="H32" s="295">
        <f>H30+H31</f>
        <v>340833.85</v>
      </c>
      <c r="I32" s="321"/>
      <c r="J32" s="265"/>
      <c r="K32" s="47"/>
      <c r="L32" s="47"/>
      <c r="M32" s="39"/>
      <c r="N32" s="12"/>
      <c r="O32" s="12"/>
      <c r="P32" s="253">
        <f>P31</f>
        <v>2.8262999999999998</v>
      </c>
      <c r="Q32" s="14"/>
      <c r="R32" s="12"/>
      <c r="S32" s="239"/>
      <c r="T32" s="46"/>
      <c r="U32" s="9"/>
      <c r="X32" s="4"/>
    </row>
    <row r="33" spans="1:24" ht="17.399999999999999" x14ac:dyDescent="0.3">
      <c r="B33" s="275"/>
      <c r="C33" s="271"/>
      <c r="D33" s="272"/>
      <c r="E33" s="272"/>
      <c r="F33" s="273"/>
      <c r="J33" s="265"/>
      <c r="K33" s="47"/>
      <c r="L33" s="47"/>
      <c r="M33" s="14"/>
      <c r="N33" s="12"/>
      <c r="O33" s="12"/>
      <c r="P33" s="39">
        <f>P32*20%</f>
        <v>0.56525999999999998</v>
      </c>
      <c r="Q33" s="39" t="s">
        <v>129</v>
      </c>
      <c r="R33" s="42"/>
      <c r="S33" s="240"/>
      <c r="T33" s="14"/>
      <c r="U33" s="9"/>
      <c r="X33" s="4"/>
    </row>
    <row r="34" spans="1:24" ht="17.399999999999999" x14ac:dyDescent="0.35">
      <c r="B34" s="269"/>
      <c r="C34" s="230"/>
      <c r="D34" s="230"/>
      <c r="E34" s="233"/>
      <c r="F34" s="234"/>
      <c r="G34" s="230"/>
      <c r="H34" s="274"/>
      <c r="I34" s="274"/>
      <c r="J34" s="265"/>
      <c r="K34" s="47"/>
      <c r="L34" s="47"/>
      <c r="M34" s="14"/>
      <c r="N34" s="12"/>
      <c r="O34" s="12"/>
      <c r="P34" s="46">
        <f>P32+P33</f>
        <v>3.3915599999999997</v>
      </c>
      <c r="Q34" s="14"/>
      <c r="R34" s="14"/>
      <c r="S34" s="238"/>
      <c r="T34" s="14"/>
      <c r="U34" s="9"/>
      <c r="X34" s="4"/>
    </row>
    <row r="35" spans="1:24" ht="17.399999999999999" x14ac:dyDescent="0.35">
      <c r="B35" s="235"/>
      <c r="C35" s="236"/>
      <c r="D35" s="237"/>
      <c r="E35" s="235"/>
      <c r="F35" s="230"/>
      <c r="G35" s="230"/>
      <c r="I35" s="274"/>
      <c r="J35" s="265"/>
      <c r="K35" s="47"/>
      <c r="L35" s="47"/>
      <c r="M35" s="14"/>
      <c r="N35" s="14"/>
      <c r="O35" s="14"/>
      <c r="P35" s="14"/>
      <c r="Q35" s="14"/>
      <c r="R35" s="14"/>
      <c r="S35" s="240"/>
      <c r="T35" s="14"/>
      <c r="U35" s="302" t="s">
        <v>21</v>
      </c>
      <c r="V35" s="299" t="s">
        <v>149</v>
      </c>
      <c r="W35" s="303">
        <v>44971</v>
      </c>
      <c r="X35" s="304"/>
    </row>
    <row r="36" spans="1:24" ht="17.399999999999999" x14ac:dyDescent="0.35">
      <c r="B36" s="230"/>
      <c r="C36" s="230"/>
      <c r="D36" s="230"/>
      <c r="E36" s="230"/>
      <c r="F36" s="230"/>
      <c r="G36" s="230"/>
      <c r="J36" s="265"/>
      <c r="K36" s="47"/>
      <c r="L36" s="47"/>
      <c r="M36" s="39">
        <f>P34</f>
        <v>3.3915599999999997</v>
      </c>
      <c r="N36" s="12">
        <v>3500</v>
      </c>
      <c r="O36" s="12">
        <f t="shared" ref="O36:O41" si="17">M36*N36</f>
        <v>11870.46</v>
      </c>
      <c r="P36" s="14" t="s">
        <v>21</v>
      </c>
      <c r="Q36" s="14"/>
      <c r="R36" s="14"/>
      <c r="S36" s="241"/>
      <c r="T36" s="14"/>
      <c r="U36" s="302" t="s">
        <v>150</v>
      </c>
      <c r="V36" s="299">
        <v>3625</v>
      </c>
      <c r="W36" s="59" t="s">
        <v>151</v>
      </c>
      <c r="X36" s="304"/>
    </row>
    <row r="37" spans="1:24" ht="17.399999999999999" x14ac:dyDescent="0.35">
      <c r="A37" s="230"/>
      <c r="B37" s="230"/>
      <c r="C37" s="230"/>
      <c r="D37" s="230"/>
      <c r="E37" s="230"/>
      <c r="F37" s="230"/>
      <c r="G37" s="230"/>
      <c r="H37" s="230"/>
      <c r="J37" s="265"/>
      <c r="K37" s="47"/>
      <c r="L37" s="47"/>
      <c r="M37" s="249">
        <v>1</v>
      </c>
      <c r="N37" s="12">
        <v>23500</v>
      </c>
      <c r="O37" s="12">
        <f t="shared" si="17"/>
        <v>23500</v>
      </c>
      <c r="P37" s="39" t="s">
        <v>31</v>
      </c>
      <c r="Q37" s="42"/>
      <c r="R37" s="14"/>
      <c r="S37" s="240"/>
      <c r="T37" s="14"/>
      <c r="U37" s="302"/>
      <c r="V37" s="59">
        <v>906.25</v>
      </c>
      <c r="W37" s="59" t="s">
        <v>152</v>
      </c>
      <c r="X37" s="304"/>
    </row>
    <row r="38" spans="1:24" s="230" customFormat="1" ht="17.399999999999999" x14ac:dyDescent="0.35">
      <c r="B38" s="24" t="s">
        <v>148</v>
      </c>
      <c r="J38" s="262"/>
      <c r="K38" s="232"/>
      <c r="L38" s="250"/>
      <c r="M38" s="14">
        <v>1</v>
      </c>
      <c r="N38" s="250">
        <v>73000</v>
      </c>
      <c r="O38" s="12">
        <f t="shared" si="17"/>
        <v>73000</v>
      </c>
      <c r="P38" s="39" t="s">
        <v>30</v>
      </c>
      <c r="Q38" s="42"/>
      <c r="S38" s="240"/>
      <c r="T38" s="256"/>
      <c r="U38" s="59"/>
      <c r="V38" s="59">
        <f>V37*20%</f>
        <v>181.25</v>
      </c>
      <c r="W38" s="304" t="s">
        <v>153</v>
      </c>
      <c r="X38" s="59"/>
    </row>
    <row r="39" spans="1:24" s="230" customFormat="1" ht="17.399999999999999" x14ac:dyDescent="0.35">
      <c r="B39" s="24" t="s">
        <v>164</v>
      </c>
      <c r="C39"/>
      <c r="D39"/>
      <c r="E39"/>
      <c r="F39"/>
      <c r="J39" s="262"/>
      <c r="K39" s="232"/>
      <c r="L39" s="250"/>
      <c r="M39" s="14"/>
      <c r="N39" s="250">
        <v>26937</v>
      </c>
      <c r="O39" s="12">
        <f t="shared" si="17"/>
        <v>0</v>
      </c>
      <c r="P39" s="14" t="s">
        <v>139</v>
      </c>
      <c r="Q39" s="17"/>
      <c r="S39" s="238"/>
      <c r="T39" s="256"/>
      <c r="U39" s="59"/>
      <c r="V39" s="59">
        <f>V37+V38</f>
        <v>1087.5</v>
      </c>
      <c r="W39" s="304" t="s">
        <v>154</v>
      </c>
      <c r="X39" s="59"/>
    </row>
    <row r="40" spans="1:24" s="230" customFormat="1" ht="17.399999999999999" x14ac:dyDescent="0.35">
      <c r="B40" s="29" t="s">
        <v>124</v>
      </c>
      <c r="C40"/>
      <c r="D40"/>
      <c r="E40"/>
      <c r="F40" s="229" t="s">
        <v>15</v>
      </c>
      <c r="J40" s="262"/>
      <c r="K40" s="260"/>
      <c r="L40" s="250"/>
      <c r="M40" s="249"/>
      <c r="N40" s="250">
        <v>900</v>
      </c>
      <c r="O40" s="12">
        <f t="shared" si="17"/>
        <v>0</v>
      </c>
      <c r="P40" s="14" t="s">
        <v>32</v>
      </c>
      <c r="Q40" s="14"/>
      <c r="R40" s="230">
        <v>1.52</v>
      </c>
      <c r="S40" s="238"/>
      <c r="T40" s="238"/>
    </row>
    <row r="41" spans="1:24" s="230" customFormat="1" ht="17.399999999999999" x14ac:dyDescent="0.35">
      <c r="J41" s="293"/>
      <c r="K41" s="260"/>
      <c r="L41" s="250"/>
      <c r="M41" s="266"/>
      <c r="N41" s="12">
        <v>1500</v>
      </c>
      <c r="O41" s="12">
        <f t="shared" si="17"/>
        <v>0</v>
      </c>
      <c r="P41" s="14" t="s">
        <v>22</v>
      </c>
      <c r="Q41" s="14"/>
      <c r="R41">
        <v>2.44</v>
      </c>
      <c r="S41"/>
      <c r="T41" s="238"/>
      <c r="X41" s="231"/>
    </row>
    <row r="42" spans="1:24" s="230" customFormat="1" ht="17.399999999999999" x14ac:dyDescent="0.35">
      <c r="K42" s="260"/>
      <c r="L42" s="250"/>
      <c r="M42" s="14"/>
      <c r="N42" s="12"/>
      <c r="O42" s="12">
        <f>SUM(O36:O41)</f>
        <v>108370.45999999999</v>
      </c>
      <c r="P42" s="39" t="s">
        <v>23</v>
      </c>
      <c r="Q42" s="14"/>
      <c r="R42">
        <f>R40*R41</f>
        <v>3.7088000000000001</v>
      </c>
      <c r="S42"/>
      <c r="T42" s="238"/>
      <c r="X42" s="231"/>
    </row>
    <row r="43" spans="1:24" s="230" customFormat="1" ht="17.399999999999999" x14ac:dyDescent="0.35">
      <c r="L43" s="250"/>
      <c r="M43" s="254" t="s">
        <v>33</v>
      </c>
      <c r="N43" s="12"/>
      <c r="O43" s="255">
        <f>O42*2.2</f>
        <v>238415.01199999999</v>
      </c>
      <c r="P43" s="14" t="s">
        <v>138</v>
      </c>
      <c r="Q43" s="14"/>
      <c r="R43" s="40">
        <f>P34/R42</f>
        <v>0.91446289905090583</v>
      </c>
      <c r="S43"/>
      <c r="T43" s="257"/>
    </row>
    <row r="44" spans="1:24" s="230" customFormat="1" ht="17.399999999999999" x14ac:dyDescent="0.35">
      <c r="G44"/>
      <c r="H44" s="260"/>
      <c r="I44" s="260"/>
      <c r="J44" s="260"/>
      <c r="K44" s="230">
        <v>72590</v>
      </c>
      <c r="L44" s="250"/>
      <c r="M44" s="14"/>
      <c r="N44" s="12"/>
      <c r="O44" s="12">
        <f>O43/P32</f>
        <v>84355.875880125968</v>
      </c>
      <c r="P44" s="45" t="s">
        <v>24</v>
      </c>
      <c r="Q44" s="14"/>
      <c r="R44" s="14"/>
      <c r="S44"/>
      <c r="T44" s="238"/>
      <c r="U44" s="59" t="s">
        <v>155</v>
      </c>
      <c r="V44" s="299">
        <v>43650</v>
      </c>
    </row>
    <row r="45" spans="1:24" s="230" customFormat="1" ht="17.399999999999999" x14ac:dyDescent="0.35">
      <c r="G45"/>
      <c r="K45" s="230">
        <f>K44/1.19</f>
        <v>61000</v>
      </c>
      <c r="L45" s="250"/>
      <c r="M45" s="13"/>
      <c r="N45" s="14"/>
      <c r="O45" s="17">
        <f>O43/O42</f>
        <v>2.2000000000000002</v>
      </c>
      <c r="P45" s="15"/>
      <c r="Q45"/>
      <c r="R45"/>
      <c r="S45"/>
      <c r="T45" s="238"/>
      <c r="U45" s="59" t="s">
        <v>157</v>
      </c>
      <c r="V45" s="300" t="s">
        <v>156</v>
      </c>
      <c r="W45" s="59">
        <v>2.4</v>
      </c>
    </row>
    <row r="46" spans="1:24" s="230" customFormat="1" ht="17.399999999999999" x14ac:dyDescent="0.35">
      <c r="G46" s="23"/>
      <c r="L46" s="12"/>
      <c r="T46" s="238"/>
      <c r="U46" s="59" t="s">
        <v>158</v>
      </c>
      <c r="V46" s="301">
        <v>395.37</v>
      </c>
    </row>
    <row r="47" spans="1:24" s="230" customFormat="1" ht="17.399999999999999" x14ac:dyDescent="0.35">
      <c r="B47"/>
      <c r="C47" s="228"/>
      <c r="D47" s="22"/>
      <c r="E47" s="22"/>
      <c r="F47" s="21"/>
      <c r="G47" s="23"/>
      <c r="L47" s="12"/>
      <c r="T47" s="238"/>
      <c r="U47" s="59" t="s">
        <v>153</v>
      </c>
      <c r="V47" s="59">
        <v>474.45</v>
      </c>
    </row>
    <row r="48" spans="1:24" ht="14.4" customHeight="1" x14ac:dyDescent="0.3">
      <c r="L48" s="12"/>
      <c r="U48" s="59"/>
      <c r="V48" s="59"/>
    </row>
    <row r="49" spans="12:20" x14ac:dyDescent="0.3">
      <c r="L49" s="250"/>
    </row>
    <row r="50" spans="12:20" x14ac:dyDescent="0.3">
      <c r="L50" s="250"/>
      <c r="T50" s="270"/>
    </row>
    <row r="51" spans="12:20" x14ac:dyDescent="0.3">
      <c r="L51" s="250"/>
    </row>
    <row r="52" spans="12:20" ht="15" customHeight="1" x14ac:dyDescent="0.3"/>
    <row r="54" spans="12:20" x14ac:dyDescent="0.3">
      <c r="O54">
        <v>40935</v>
      </c>
      <c r="P54" t="s">
        <v>16</v>
      </c>
      <c r="Q54" t="s">
        <v>26</v>
      </c>
    </row>
    <row r="56" spans="12:20" x14ac:dyDescent="0.3">
      <c r="O56" s="54"/>
      <c r="P56" s="54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145</v>
      </c>
    </row>
    <row r="80" spans="3:20" x14ac:dyDescent="0.3">
      <c r="C80" t="s">
        <v>144</v>
      </c>
    </row>
    <row r="83" spans="3:3" x14ac:dyDescent="0.3">
      <c r="C83" t="s">
        <v>144</v>
      </c>
    </row>
    <row r="160" spans="3:3" x14ac:dyDescent="0.3">
      <c r="C160" t="s">
        <v>144</v>
      </c>
    </row>
    <row r="161" spans="3:3" x14ac:dyDescent="0.3">
      <c r="C161" t="s">
        <v>146</v>
      </c>
    </row>
    <row r="162" spans="3:3" x14ac:dyDescent="0.3">
      <c r="C162" t="s">
        <v>147</v>
      </c>
    </row>
    <row r="587" spans="3:3" x14ac:dyDescent="0.3">
      <c r="C587" t="s">
        <v>144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45792</v>
      </c>
    </row>
    <row r="6" spans="2:31" ht="16.2" thickBot="1" x14ac:dyDescent="0.35">
      <c r="B6" s="140" t="s">
        <v>2</v>
      </c>
      <c r="C6" s="139" t="str">
        <f>'2229'!C10</f>
        <v>JULIO ESTRADA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-9729.5818667874464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'2229'!H30</f>
        <v>286415</v>
      </c>
      <c r="E11" s="132">
        <f>D11*0.19</f>
        <v>54418.85</v>
      </c>
      <c r="F11" s="131">
        <f>E11+D11</f>
        <v>340833.85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96260.418133212559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138204.5507874396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78260.418133212559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148210.4492125604</v>
      </c>
      <c r="E13" s="221">
        <f>(D11/D12)-1</f>
        <v>1.0723991964671988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69260.418133212559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30260.418133212552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228037.50879927533</v>
      </c>
      <c r="F15" s="216">
        <f>E15-D12</f>
        <v>89832.958011835726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30260.418133212552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70260.418133212559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'2229'!O38</f>
        <v>73000</v>
      </c>
      <c r="E18" s="123">
        <f>D18*0.19</f>
        <v>13870</v>
      </c>
      <c r="F18" s="120">
        <f>SUM(D18:E18)</f>
        <v>86870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'2229'!O37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'2229'!O36</f>
        <v>11870.46</v>
      </c>
      <c r="E20" s="121">
        <f>D20*0.19</f>
        <v>2255.3874000000001</v>
      </c>
      <c r="F20" s="120">
        <f>SUM(D20:E20)</f>
        <v>14125.847399999999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108370.45999999999</v>
      </c>
      <c r="E21" s="116">
        <f>SUM(E18:E20)</f>
        <v>20590.3874</v>
      </c>
      <c r="F21" s="115">
        <f>SUM(F18:F20)</f>
        <v>128960.8474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33828.462599999999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286415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108370.45999999999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148210.4492125604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148210.4492125604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2025-05-15T20:54:19Z</cp:lastPrinted>
  <dcterms:created xsi:type="dcterms:W3CDTF">2013-03-18T13:35:42Z</dcterms:created>
  <dcterms:modified xsi:type="dcterms:W3CDTF">2025-05-15T20:58:46Z</dcterms:modified>
</cp:coreProperties>
</file>