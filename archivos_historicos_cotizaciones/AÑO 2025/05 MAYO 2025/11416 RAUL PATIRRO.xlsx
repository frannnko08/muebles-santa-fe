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A5EED64C-9A88-4D92-B6CC-F24E2E294C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L22" i="1"/>
  <c r="P22" i="1" s="1"/>
  <c r="L23" i="1"/>
  <c r="L21" i="1"/>
  <c r="M22" i="1"/>
  <c r="N22" i="1"/>
  <c r="O22" i="1"/>
  <c r="M23" i="1"/>
  <c r="O23" i="1" s="1"/>
  <c r="P23" i="1" s="1"/>
  <c r="N23" i="1"/>
  <c r="H21" i="1"/>
  <c r="N21" i="1" l="1"/>
  <c r="M21" i="1" l="1"/>
  <c r="M27" i="1" s="1"/>
  <c r="S21" i="1" l="1"/>
  <c r="S27" i="1" s="1"/>
  <c r="T21" i="1"/>
  <c r="T26" i="1" s="1"/>
  <c r="O21" i="1"/>
  <c r="P21" i="1" s="1"/>
  <c r="P27" i="1" s="1"/>
  <c r="K41" i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O40" i="1" l="1"/>
  <c r="D20" i="3"/>
  <c r="E20" i="3" s="1"/>
  <c r="E21" i="3" s="1"/>
  <c r="Q20" i="1" l="1"/>
  <c r="D21" i="3"/>
  <c r="M43" i="3" s="1"/>
  <c r="D12" i="3" s="1"/>
  <c r="F20" i="3"/>
  <c r="F21" i="3" s="1"/>
  <c r="Q22" i="1" l="1"/>
  <c r="R22" i="1" s="1"/>
  <c r="Q23" i="1"/>
  <c r="R23" i="1" s="1"/>
  <c r="O41" i="1"/>
  <c r="E15" i="3"/>
  <c r="Q21" i="1" l="1"/>
  <c r="F15" i="3"/>
  <c r="R21" i="1" l="1"/>
  <c r="H26" i="1" l="1"/>
  <c r="H27" i="1" s="1"/>
  <c r="D11" i="3" l="1"/>
  <c r="X9" i="3" s="1"/>
  <c r="X15" i="3" s="1"/>
  <c r="H28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<sst xmlns="http://schemas.openxmlformats.org/spreadsheetml/2006/main" count="233" uniqueCount="174">
  <si>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</si>
  <si>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</si>
  <si>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</si>
  <si>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</si>
  <si>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</si>
  <si>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</si>
  <si>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</si>
  <si>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</si>
  <si>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</si>
  <si>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</si>
  <si>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</si>
  <si>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</si>
  <si>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</si>
  <si>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</si>
  <si>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</si>
  <si>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</si>
  <si>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</si>
  <si>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</si>
  <si>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</si>
  <si>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</si>
  <si>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</si>
  <si>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</si>
  <si>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</si>
  <si>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</si>
  <si>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</si>
  <si>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</si>
  <si>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</si>
  <si>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</si>
  <si>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</si>
  <si>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</si>
  <si>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</si>
  <si>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</si>
  <si>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</si>
  <si>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</si>
  <si>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</si>
  <si>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</si>
  <si>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</si>
  <si>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</si>
  <si>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</si>
  <si>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</si>
  <si>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</si>
  <si>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</si>
  <si>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</si>
  <si>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</si>
  <si>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</si>
  <si>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</si>
  <si>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</si>
  <si>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</si>
  <si>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</si>
  <si>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</si>
  <si>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</si>
  <si>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</si>
  <si>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</si>
  <si>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</si>
  <si>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</si>
  <si>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</si>
  <si>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</si>
  <si>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</si>
  <si>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</si>
  <si>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</si>
  <si>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</si>
  <si>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</si>
  <si>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</si>
  <si>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</si>
  <si>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</si>
  <si>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</si>
  <si>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</si>
  <si>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</si>
  <si>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</si>
  <si>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</si>
  <si>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</si>
  <si>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</si>
  <si>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</si>
  <si>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</si>
  <si>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</si>
  <si>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</si>
  <si>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</si>
  <si>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</si>
  <si>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</si>
  <si>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</si>
  <si>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</si>
  <si>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</si>
  <si>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</si>
  <si>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</si>
  <si>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</si>
  <si>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</si>
  <si>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</si>
  <si>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</si>
  <si>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</si>
  <si>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</si>
  <si>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</si>
  <si>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</si>
  <si>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</si>
  <si>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</si>
  <si>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</si>
  <si>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</si>
  <si>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</si>
  <si>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</si>
  <si>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</si>
  <si>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</si>
  <si>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</si>
  <si>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</si>
  <si>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</si>
  <si>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</si>
  <si>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</si>
  <si>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</si>
  <si>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</si>
  <si>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</si>
  <si>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</si>
  <si>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</si>
  <si>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</si>
  <si>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</si>
  <si>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</si>
  <si>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</si>
  <si>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</si>
  <si>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</si>
  <si>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</si>
  <si>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</si>
  <si>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</si>
  <si>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</si>
  <si>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</si>
  <si>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</si>
  <si>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</si>
  <si>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</si>
  <si>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</si>
  <si>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</si>
  <si>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</si>
  <si>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</si>
  <si>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</si>
  <si>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</si>
  <si>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</si>
  <si>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</si>
  <si>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</si>
  <si>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</si>
  <si>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</si>
  <si>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</si>
  <si>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</si>
  <si>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</si>
  <si>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</si>
  <si>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</si>
  <si>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</si>
  <si>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</si>
  <si>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</si>
  <si>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</si>
  <si>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</si>
  <si>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</si>
  <si>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</si>
  <si>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</si>
  <si>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</si>
  <si>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</si>
  <si>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</si>
  <si>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</si>
  <si>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</si>
  <si>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</si>
  <si>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</si>
  <si>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</si>
  <si>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</si>
  <si>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</si>
  <si>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</si>
  <si>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</si>
  <si>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</si>
  <si>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</si>
  <si>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</si>
  <si>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</si>
  <si>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</si>
  <si>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</si>
  <si>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CUB C/R 90° R8</t>
  </si>
  <si>
    <t>N° 11416</t>
  </si>
  <si>
    <t>RAUL PATIRRO</t>
  </si>
  <si>
    <t>RAULPATIRRO@GMAIL.COM</t>
  </si>
  <si>
    <t>569 9195 8704</t>
  </si>
  <si>
    <t>5 DIAS HABILES</t>
  </si>
  <si>
    <t>MARMOL CARRARA BR</t>
  </si>
  <si>
    <t>CUB MESA 90° R8 3 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</si>
</sst>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 CUBIERTA SE ENTREGAN CORTADAS</a:t>
          </a:r>
          <a:r>
            <a:rPr lang="es-CL" sz="1200" b="1" baseline="0"/>
            <a:t> A LA MEDIDA Y ENCHAPADAS C</a:t>
          </a:r>
          <a:r>
            <a:rPr lang="es-CL" sz="1200" b="1"/>
            <a:t>ON LA MISMA LAMINA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 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AULPATIRRO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3" zoomScale="93" zoomScaleNormal="93" workbookViewId="0">
      <selection activeCell="A25" sqref="A25"/>
    </sheetView>
  </sheetViews>
  <sheetFormatPr baseColWidth="10" defaultRowHeight="14.4" x14ac:dyDescent="0.3"/>
  <cols>
    <col min="1" max="1" width="6" customWidth="1"/>
    <col min="2" max="2" width="10.5546875" customWidth="1"/>
    <col min="3" max="3" width="37.554687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167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4" t="s">
        <v>160</v>
      </c>
      <c r="C10" s="278" t="s">
        <v>168</v>
      </c>
      <c r="D10" s="243"/>
      <c r="E10" s="243"/>
      <c r="F10" s="244" t="s">
        <v>0</v>
      </c>
      <c r="G10" s="276">
        <v>45782</v>
      </c>
      <c r="H10" s="245"/>
      <c r="K10" s="1"/>
      <c r="R10" s="2"/>
      <c r="S10" s="3"/>
      <c r="T10" s="3"/>
      <c r="U10" s="4"/>
      <c r="V10" s="2"/>
      <c r="W10" s="3"/>
    </row>
    <row r="11" spans="2:24" ht="15.6" x14ac:dyDescent="0.3">
      <c r="B11" s="287" t="s">
        <v>12</v>
      </c>
      <c r="C11" s="138"/>
      <c r="F11" t="s">
        <v>122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5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G13" s="306"/>
      <c r="H13" s="289"/>
      <c r="Q13" s="19"/>
      <c r="R13" s="25"/>
      <c r="S13" s="19"/>
    </row>
    <row r="14" spans="2:24" x14ac:dyDescent="0.3">
      <c r="B14" s="246" t="s">
        <v>138</v>
      </c>
      <c r="C14" s="313" t="s">
        <v>169</v>
      </c>
      <c r="D14" s="247"/>
      <c r="E14" s="247"/>
      <c r="F14" s="314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8" t="s">
        <v>170</v>
      </c>
      <c r="D15" s="309"/>
      <c r="F15" t="s">
        <v>133</v>
      </c>
      <c r="G15" s="307" t="s">
        <v>134</v>
      </c>
      <c r="H15" s="289"/>
    </row>
    <row r="16" spans="2:24" ht="16.8" x14ac:dyDescent="0.4">
      <c r="B16" s="315" t="s">
        <v>3</v>
      </c>
      <c r="C16" s="305"/>
      <c r="D16" s="247"/>
      <c r="E16" s="247"/>
      <c r="F16" s="316" t="s">
        <v>128</v>
      </c>
      <c r="G16" s="317" t="s">
        <v>161</v>
      </c>
      <c r="H16" s="248"/>
    </row>
    <row r="17" spans="2:25" ht="15" thickBot="1" x14ac:dyDescent="0.35">
      <c r="B17" s="310" t="s">
        <v>13</v>
      </c>
      <c r="C17" s="311" t="s">
        <v>164</v>
      </c>
      <c r="D17" s="312"/>
      <c r="E17" s="119"/>
      <c r="F17" s="332" t="s">
        <v>163</v>
      </c>
      <c r="G17" s="332"/>
      <c r="H17" s="333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4" t="s">
        <v>94</v>
      </c>
      <c r="C19" s="335"/>
      <c r="D19" s="335"/>
      <c r="E19" s="335"/>
      <c r="F19" s="335"/>
      <c r="G19" s="335"/>
      <c r="H19" s="336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O40</f>
        <v>68641.788413098242</v>
      </c>
      <c r="R20" s="258">
        <v>3000</v>
      </c>
      <c r="S20" s="38"/>
      <c r="T20" s="14" t="s">
        <v>127</v>
      </c>
      <c r="U20" s="9"/>
      <c r="X20" s="4"/>
    </row>
    <row r="21" spans="2:25" ht="17.399999999999999" x14ac:dyDescent="0.3">
      <c r="B21" s="329">
        <v>1</v>
      </c>
      <c r="C21" s="329" t="s">
        <v>166</v>
      </c>
      <c r="D21" s="331">
        <v>1.42</v>
      </c>
      <c r="E21" s="331">
        <v>0.6</v>
      </c>
      <c r="F21" s="329" t="s">
        <v>172</v>
      </c>
      <c r="G21" s="330">
        <v>64778</v>
      </c>
      <c r="H21" s="330">
        <f>G21*B21</f>
        <v>64778</v>
      </c>
      <c r="I21" s="319"/>
      <c r="J21" s="265"/>
      <c r="K21" s="47"/>
      <c r="L21" s="47">
        <f>B21</f>
        <v>1</v>
      </c>
      <c r="M21" s="39">
        <f>D21+M$19</f>
        <v>1.5</v>
      </c>
      <c r="N21" s="39">
        <f>E21+$N$19</f>
        <v>0.6</v>
      </c>
      <c r="O21" s="261">
        <f t="shared" ref="O21" si="1">M21*N21</f>
        <v>0.89999999999999991</v>
      </c>
      <c r="P21" s="259">
        <f t="shared" ref="P21" si="2">O21*L21</f>
        <v>0.89999999999999991</v>
      </c>
      <c r="Q21" s="252">
        <f t="shared" ref="Q21" si="3">Q$20*O21</f>
        <v>61777.609571788409</v>
      </c>
      <c r="R21" s="318">
        <f t="shared" ref="R21" si="4">Q21+R$20</f>
        <v>64777.609571788409</v>
      </c>
      <c r="S21" s="297">
        <f>M21*L21</f>
        <v>1.5</v>
      </c>
      <c r="T21" s="46">
        <f>N21*2*L21*2</f>
        <v>2.4</v>
      </c>
      <c r="U21" s="9"/>
      <c r="X21" s="4"/>
    </row>
    <row r="22" spans="2:25" ht="17.399999999999999" x14ac:dyDescent="0.3">
      <c r="B22" s="329">
        <v>1</v>
      </c>
      <c r="C22" s="329" t="s">
        <v>166</v>
      </c>
      <c r="D22" s="331">
        <v>1.22</v>
      </c>
      <c r="E22" s="331">
        <v>0.5</v>
      </c>
      <c r="F22" s="329" t="s">
        <v>172</v>
      </c>
      <c r="G22" s="330">
        <v>47617</v>
      </c>
      <c r="H22" s="330">
        <f t="shared" ref="H22:H23" si="5">G22*B22</f>
        <v>47617</v>
      </c>
      <c r="I22" s="319"/>
      <c r="J22" s="265"/>
      <c r="K22" s="47"/>
      <c r="L22" s="47">
        <f t="shared" ref="L22:L23" si="6">B22</f>
        <v>1</v>
      </c>
      <c r="M22" s="39">
        <f t="shared" ref="M22:M23" si="7">D22+M$19</f>
        <v>1.3</v>
      </c>
      <c r="N22" s="39">
        <f t="shared" ref="N22:N23" si="8">E22+$N$19</f>
        <v>0.5</v>
      </c>
      <c r="O22" s="261">
        <f t="shared" ref="O22:O23" si="9">M22*N22</f>
        <v>0.65</v>
      </c>
      <c r="P22" s="259">
        <f t="shared" ref="P22:P23" si="10">O22*L22</f>
        <v>0.65</v>
      </c>
      <c r="Q22" s="252">
        <f t="shared" ref="Q22:Q23" si="11">Q$20*O22</f>
        <v>44617.162468513859</v>
      </c>
      <c r="R22" s="318">
        <f t="shared" ref="R22:R23" si="12">Q22+R$20</f>
        <v>47617.162468513859</v>
      </c>
      <c r="S22" s="297"/>
      <c r="T22" s="46"/>
      <c r="U22" s="9"/>
      <c r="X22" s="4"/>
    </row>
    <row r="23" spans="2:25" ht="17.399999999999999" x14ac:dyDescent="0.3">
      <c r="B23" s="329">
        <v>1</v>
      </c>
      <c r="C23" s="329" t="s">
        <v>173</v>
      </c>
      <c r="D23" s="331">
        <v>2</v>
      </c>
      <c r="E23" s="331">
        <v>0.4</v>
      </c>
      <c r="F23" s="329" t="s">
        <v>172</v>
      </c>
      <c r="G23" s="330">
        <v>60110</v>
      </c>
      <c r="H23" s="330">
        <f t="shared" si="5"/>
        <v>60110</v>
      </c>
      <c r="I23" s="319"/>
      <c r="J23" s="265"/>
      <c r="K23" s="47"/>
      <c r="L23" s="47">
        <f t="shared" si="6"/>
        <v>1</v>
      </c>
      <c r="M23" s="39">
        <f t="shared" si="7"/>
        <v>2.08</v>
      </c>
      <c r="N23" s="39">
        <f t="shared" si="8"/>
        <v>0.4</v>
      </c>
      <c r="O23" s="261">
        <f t="shared" si="9"/>
        <v>0.83200000000000007</v>
      </c>
      <c r="P23" s="259">
        <f t="shared" si="10"/>
        <v>0.83200000000000007</v>
      </c>
      <c r="Q23" s="252">
        <f t="shared" si="11"/>
        <v>57109.967959697744</v>
      </c>
      <c r="R23" s="318">
        <f t="shared" si="12"/>
        <v>60109.967959697744</v>
      </c>
      <c r="S23" s="297"/>
      <c r="T23" s="46"/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19"/>
      <c r="H24" s="319"/>
      <c r="I24" s="319"/>
      <c r="J24" s="265"/>
      <c r="K24" s="47"/>
      <c r="L24" s="47"/>
      <c r="M24" s="39"/>
      <c r="N24" s="39"/>
      <c r="O24" s="261"/>
      <c r="P24" s="259"/>
      <c r="Q24" s="252"/>
      <c r="R24" s="318"/>
      <c r="S24" s="297"/>
      <c r="T24" s="46"/>
      <c r="U24" s="9"/>
      <c r="X24" s="4"/>
    </row>
    <row r="25" spans="2:25" ht="18" thickBot="1" x14ac:dyDescent="0.35">
      <c r="B25" s="285"/>
      <c r="C25" s="285"/>
      <c r="D25" s="286"/>
      <c r="E25" s="286"/>
      <c r="F25" s="285"/>
      <c r="G25" s="265"/>
      <c r="H25" s="320"/>
      <c r="I25" s="322"/>
      <c r="J25" s="233"/>
      <c r="K25" s="47"/>
      <c r="L25" s="47"/>
      <c r="M25" s="39"/>
      <c r="N25" s="39"/>
      <c r="O25" s="261"/>
      <c r="P25" s="259"/>
      <c r="Q25" s="252"/>
      <c r="R25" s="258"/>
      <c r="S25" s="297"/>
      <c r="T25" s="14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3" t="s">
        <v>27</v>
      </c>
      <c r="H26" s="324">
        <f>SUM(H21:H25)</f>
        <v>172505</v>
      </c>
      <c r="I26" s="321"/>
      <c r="J26" s="265"/>
      <c r="K26" s="47">
        <v>2600000</v>
      </c>
      <c r="L26" s="47"/>
      <c r="M26" s="39"/>
      <c r="N26" s="39"/>
      <c r="O26" s="261"/>
      <c r="P26" s="259"/>
      <c r="Q26" s="252"/>
      <c r="R26" s="258"/>
      <c r="S26" s="297"/>
      <c r="T26" s="46">
        <f>SUM(T21:T25)</f>
        <v>2.4</v>
      </c>
      <c r="U26" s="9"/>
      <c r="X26" s="4"/>
    </row>
    <row r="27" spans="2:25" ht="17.399999999999999" x14ac:dyDescent="0.3">
      <c r="B27" s="279"/>
      <c r="C27" s="282"/>
      <c r="D27" s="283"/>
      <c r="E27" s="283"/>
      <c r="F27" s="284"/>
      <c r="G27" s="296" t="s">
        <v>50</v>
      </c>
      <c r="H27" s="294">
        <f>H26*19%</f>
        <v>32775.949999999997</v>
      </c>
      <c r="I27" s="321"/>
      <c r="J27" s="265"/>
      <c r="K27" s="47"/>
      <c r="L27" s="47"/>
      <c r="M27" s="39">
        <f>SUM(M21:M21)</f>
        <v>1.5</v>
      </c>
      <c r="N27" s="12"/>
      <c r="O27" s="12"/>
      <c r="P27" s="253">
        <f>SUM(P21:P25)</f>
        <v>2.3819999999999997</v>
      </c>
      <c r="Q27" s="14"/>
      <c r="R27" s="12"/>
      <c r="S27" s="239">
        <f>SUM(S21:S26)</f>
        <v>1.5</v>
      </c>
      <c r="T27" s="46"/>
      <c r="U27" s="9"/>
      <c r="X27" s="4"/>
    </row>
    <row r="28" spans="2:25" ht="18" thickBot="1" x14ac:dyDescent="0.35">
      <c r="B28" s="275"/>
      <c r="C28" s="281"/>
      <c r="D28" s="272"/>
      <c r="E28" s="272"/>
      <c r="F28" s="273"/>
      <c r="G28" s="280" t="s">
        <v>6</v>
      </c>
      <c r="H28" s="295">
        <f>H26+H27</f>
        <v>205280.95</v>
      </c>
      <c r="I28" s="321"/>
      <c r="J28" s="265"/>
      <c r="K28" s="47"/>
      <c r="L28" s="47"/>
      <c r="M28" s="39"/>
      <c r="N28" s="12"/>
      <c r="O28" s="12"/>
      <c r="P28" s="253">
        <f>P27</f>
        <v>2.3819999999999997</v>
      </c>
      <c r="Q28" s="14"/>
      <c r="R28" s="12"/>
      <c r="S28" s="239"/>
      <c r="T28" s="46"/>
      <c r="U28" s="9"/>
      <c r="X28" s="4"/>
    </row>
    <row r="29" spans="2:25" ht="17.399999999999999" x14ac:dyDescent="0.3">
      <c r="B29" s="275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0.47639999999999993</v>
      </c>
      <c r="Q29" s="39" t="s">
        <v>129</v>
      </c>
      <c r="R29" s="42"/>
      <c r="S29" s="240"/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4"/>
      <c r="I30" s="274"/>
      <c r="J30" s="265"/>
      <c r="K30" s="47"/>
      <c r="L30" s="47"/>
      <c r="M30" s="14"/>
      <c r="N30" s="12"/>
      <c r="O30" s="12"/>
      <c r="P30" s="46">
        <f>P28+P29</f>
        <v>2.8583999999999996</v>
      </c>
      <c r="Q30" s="14"/>
      <c r="R30" s="14"/>
      <c r="S30" s="238"/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4"/>
      <c r="J31" s="265"/>
      <c r="K31" s="47"/>
      <c r="L31" s="47"/>
      <c r="M31" s="14"/>
      <c r="N31" s="14"/>
      <c r="O31" s="14"/>
      <c r="P31" s="14"/>
      <c r="Q31" s="14"/>
      <c r="R31" s="14"/>
      <c r="S31" s="240"/>
      <c r="T31" s="14"/>
      <c r="U31" s="301" t="s">
        <v>21</v>
      </c>
      <c r="V31" s="298" t="s">
        <v>150</v>
      </c>
      <c r="W31" s="302">
        <v>44971</v>
      </c>
      <c r="X31" s="303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/>
      <c r="L32" s="47"/>
      <c r="M32" s="39">
        <f>P30</f>
        <v>2.8583999999999996</v>
      </c>
      <c r="N32" s="12">
        <v>3500</v>
      </c>
      <c r="O32" s="12">
        <f t="shared" ref="O32:O37" si="13">M32*N32</f>
        <v>10004.399999999998</v>
      </c>
      <c r="P32" s="14" t="s">
        <v>21</v>
      </c>
      <c r="Q32" s="14"/>
      <c r="R32" s="14"/>
      <c r="S32" s="241"/>
      <c r="T32" s="14"/>
      <c r="U32" s="301" t="s">
        <v>151</v>
      </c>
      <c r="V32" s="298">
        <v>3625</v>
      </c>
      <c r="W32" s="59" t="s">
        <v>152</v>
      </c>
      <c r="X32" s="303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5"/>
      <c r="K33" s="47"/>
      <c r="L33" s="47"/>
      <c r="M33" s="249">
        <v>1</v>
      </c>
      <c r="N33" s="12">
        <v>25000</v>
      </c>
      <c r="O33" s="12">
        <f t="shared" si="13"/>
        <v>25000</v>
      </c>
      <c r="P33" s="39" t="s">
        <v>30</v>
      </c>
      <c r="Q33" s="42"/>
      <c r="R33" s="14"/>
      <c r="S33" s="240"/>
      <c r="T33" s="14"/>
      <c r="U33" s="301"/>
      <c r="V33" s="59">
        <v>906.25</v>
      </c>
      <c r="W33" s="59" t="s">
        <v>153</v>
      </c>
      <c r="X33" s="303"/>
    </row>
    <row r="34" spans="1:24" s="230" customFormat="1" ht="17.399999999999999" x14ac:dyDescent="0.35">
      <c r="B34" s="24" t="s">
        <v>149</v>
      </c>
      <c r="J34" s="262"/>
      <c r="K34" s="232"/>
      <c r="L34" s="250"/>
      <c r="M34" s="14"/>
      <c r="N34" s="250">
        <v>69000</v>
      </c>
      <c r="O34" s="12">
        <f t="shared" si="13"/>
        <v>0</v>
      </c>
      <c r="P34" s="39" t="s">
        <v>29</v>
      </c>
      <c r="Q34" s="42"/>
      <c r="S34" s="240"/>
      <c r="T34" s="256"/>
      <c r="U34" s="59"/>
      <c r="V34" s="59">
        <f>V33*20%</f>
        <v>181.25</v>
      </c>
      <c r="W34" s="303" t="s">
        <v>154</v>
      </c>
      <c r="X34" s="59"/>
    </row>
    <row r="35" spans="1:24" s="230" customFormat="1" ht="17.399999999999999" x14ac:dyDescent="0.35">
      <c r="B35" s="24" t="s">
        <v>165</v>
      </c>
      <c r="C35"/>
      <c r="D35"/>
      <c r="E35"/>
      <c r="F35"/>
      <c r="J35" s="262"/>
      <c r="K35" s="232"/>
      <c r="L35" s="250"/>
      <c r="M35" s="14">
        <v>1</v>
      </c>
      <c r="N35" s="250">
        <v>38655</v>
      </c>
      <c r="O35" s="12">
        <f t="shared" si="13"/>
        <v>38655</v>
      </c>
      <c r="P35" s="14" t="s">
        <v>140</v>
      </c>
      <c r="Q35" s="17"/>
      <c r="S35" s="238"/>
      <c r="T35" s="256"/>
      <c r="U35" s="59"/>
      <c r="V35" s="59">
        <f>V33+V34</f>
        <v>1087.5</v>
      </c>
      <c r="W35" s="303" t="s">
        <v>155</v>
      </c>
      <c r="X35" s="59"/>
    </row>
    <row r="36" spans="1:24" s="230" customFormat="1" ht="17.399999999999999" x14ac:dyDescent="0.35">
      <c r="B36" s="29" t="s">
        <v>124</v>
      </c>
      <c r="C36"/>
      <c r="D36"/>
      <c r="E36"/>
      <c r="F36" s="229" t="s">
        <v>15</v>
      </c>
      <c r="J36" s="262"/>
      <c r="K36" s="260"/>
      <c r="L36" s="250"/>
      <c r="M36" s="249"/>
      <c r="N36" s="250">
        <v>900</v>
      </c>
      <c r="O36" s="12">
        <f t="shared" si="13"/>
        <v>0</v>
      </c>
      <c r="P36" s="14" t="s">
        <v>31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93"/>
      <c r="K37" s="260"/>
      <c r="L37" s="250"/>
      <c r="M37" s="266">
        <v>2.8</v>
      </c>
      <c r="N37" s="12">
        <v>1500</v>
      </c>
      <c r="O37" s="12">
        <f t="shared" si="13"/>
        <v>4200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60"/>
      <c r="L38" s="250"/>
      <c r="M38" s="14"/>
      <c r="N38" s="12"/>
      <c r="O38" s="12">
        <f>SUM(O32:O37)</f>
        <v>77859.399999999994</v>
      </c>
      <c r="P38" s="39">
        <v>0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50"/>
      <c r="M39" s="254" t="s">
        <v>32</v>
      </c>
      <c r="N39" s="12"/>
      <c r="O39" s="255">
        <f>O38*2.1</f>
        <v>163504.74</v>
      </c>
      <c r="P39" s="14" t="s">
        <v>139</v>
      </c>
      <c r="Q39" s="14"/>
      <c r="R39" s="40">
        <f>P30/R38</f>
        <v>0.77070750647109565</v>
      </c>
      <c r="S39"/>
      <c r="T39" s="257"/>
    </row>
    <row r="40" spans="1:24" s="230" customFormat="1" ht="17.399999999999999" x14ac:dyDescent="0.35">
      <c r="G40"/>
      <c r="H40" s="260"/>
      <c r="I40" s="260"/>
      <c r="J40" s="260"/>
      <c r="K40" s="230">
        <v>46000</v>
      </c>
      <c r="L40" s="250"/>
      <c r="M40" s="14"/>
      <c r="N40" s="12"/>
      <c r="O40" s="12">
        <f>O39/P28</f>
        <v>68641.788413098242</v>
      </c>
      <c r="P40" s="45" t="s">
        <v>23</v>
      </c>
      <c r="Q40" s="14"/>
      <c r="R40" s="14"/>
      <c r="S40"/>
      <c r="T40" s="238"/>
      <c r="U40" s="59" t="s">
        <v>156</v>
      </c>
      <c r="V40" s="298">
        <v>43650</v>
      </c>
    </row>
    <row r="41" spans="1:24" s="230" customFormat="1" ht="17.399999999999999" x14ac:dyDescent="0.35">
      <c r="G41"/>
      <c r="K41" s="230">
        <f>K40/1.19</f>
        <v>38655.462184873948</v>
      </c>
      <c r="L41" s="250"/>
      <c r="M41" s="13"/>
      <c r="N41" s="14"/>
      <c r="O41" s="17">
        <f>O39/O38</f>
        <v>2.1</v>
      </c>
      <c r="P41" s="15"/>
      <c r="Q41"/>
      <c r="R41"/>
      <c r="S41"/>
      <c r="T41" s="238"/>
      <c r="U41" s="59" t="s">
        <v>158</v>
      </c>
      <c r="V41" s="299" t="s">
        <v>157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159</v>
      </c>
      <c r="V42" s="300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154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50"/>
    </row>
    <row r="46" spans="1:24" x14ac:dyDescent="0.3">
      <c r="L46" s="250"/>
      <c r="T46" s="270"/>
    </row>
    <row r="47" spans="1:24" x14ac:dyDescent="0.3">
      <c r="L47" s="250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25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146</v>
      </c>
    </row>
    <row r="76" spans="3:15" x14ac:dyDescent="0.3">
      <c r="C76" t="s">
        <v>145</v>
      </c>
    </row>
    <row r="79" spans="3:15" x14ac:dyDescent="0.3">
      <c r="C79" t="s">
        <v>145</v>
      </c>
    </row>
    <row r="156" spans="3:3" x14ac:dyDescent="0.3">
      <c r="C156" t="s">
        <v>145</v>
      </c>
    </row>
    <row r="157" spans="3:3" x14ac:dyDescent="0.3">
      <c r="C157" t="s">
        <v>147</v>
      </c>
    </row>
    <row r="158" spans="3:3" x14ac:dyDescent="0.3">
      <c r="C158" t="s">
        <v>148</v>
      </c>
    </row>
    <row r="583" spans="3:3" x14ac:dyDescent="0.3">
      <c r="C583" t="s">
        <v>145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  <hyperlink ref="C14" r:id="rId2" xr:uid="{60C21986-6D00-4167-B2CE-A37A207A41AF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45782</v>
      </c>
    </row>
    <row r="6" spans="2:31" ht="16.2" thickBot="1" x14ac:dyDescent="0.35">
      <c r="B6" s="140" t="s">
        <v>2</v>
      </c>
      <c r="C6" s="139" t="str">
        <f>'2229'!C10</f>
        <v>RAUL PATIRRO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97</v>
      </c>
      <c r="I7" s="339"/>
      <c r="J7" s="339"/>
      <c r="K7" s="340"/>
      <c r="N7" s="75"/>
      <c r="O7" s="337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11416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7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-10920.248366787442</v>
      </c>
    </row>
    <row r="10" spans="2:31" ht="16.2" thickBot="1" x14ac:dyDescent="0.35">
      <c r="D10" s="218" t="s">
        <v>27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'2229'!H26</f>
        <v>172505</v>
      </c>
      <c r="E11" s="132">
        <f>D11*0.19</f>
        <v>32775.949999999997</v>
      </c>
      <c r="F11" s="131">
        <f>E11+D11</f>
        <v>205280.95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95069.751633212552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64838.490787439609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77069.751633212552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107666.5092125604</v>
      </c>
      <c r="E13" s="221">
        <f>(D11/D12)-1</f>
        <v>1.6605338573583417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68069.751633212552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27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29069.75163321256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106983.50979927534</v>
      </c>
      <c r="F15" s="216">
        <f>E15-D12</f>
        <v>42145.019011835735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29069.75163321256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69069.751633212552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27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'2229'!O33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27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10004.399999999998</v>
      </c>
      <c r="E20" s="121">
        <f>D20*0.19</f>
        <v>1900.8359999999996</v>
      </c>
      <c r="F20" s="120">
        <f>SUM(D20:E20)</f>
        <v>11905.235999999997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28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35004.399999999994</v>
      </c>
      <c r="E21" s="116">
        <f>SUM(E18:E20)</f>
        <v>6650.8359999999993</v>
      </c>
      <c r="F21" s="115">
        <f>SUM(F18:F20)</f>
        <v>41655.235999999997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24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26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26125.113999999998</v>
      </c>
    </row>
    <row r="41" spans="2:16" ht="15" thickBot="1" x14ac:dyDescent="0.35">
      <c r="H41" s="341" t="s">
        <v>59</v>
      </c>
      <c r="I41" s="342"/>
      <c r="J41" s="342"/>
      <c r="K41" s="342"/>
      <c r="L41" s="342"/>
      <c r="M41" s="343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172505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35004.399999999994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107666.5092125604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107666.5092125604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2025-04-30T20:40:40Z</cp:lastPrinted>
  <dcterms:created xsi:type="dcterms:W3CDTF">2013-03-18T13:35:42Z</dcterms:created>
  <dcterms:modified xsi:type="dcterms:W3CDTF">2025-05-05T13:49:23Z</dcterms:modified>
</cp:coreProperties>
</file>