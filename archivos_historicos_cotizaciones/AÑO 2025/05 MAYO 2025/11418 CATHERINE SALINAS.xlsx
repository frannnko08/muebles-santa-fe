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007A3825-815D-4F0E-AF90-AC645F8A0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39" i="1"/>
  <c r="O27" i="1"/>
  <c r="L22" i="1"/>
  <c r="N22" i="1" s="1"/>
  <c r="M22" i="1"/>
  <c r="R22" i="1"/>
  <c r="I48" i="1"/>
  <c r="J32" i="1"/>
  <c r="J37" i="1"/>
  <c r="J38" i="1" s="1"/>
  <c r="N35" i="1"/>
  <c r="O22" i="1" l="1"/>
  <c r="R23" i="1"/>
  <c r="N34" i="1"/>
  <c r="N36" i="1"/>
  <c r="N37" i="1"/>
  <c r="J41" i="1" l="1"/>
  <c r="L21" i="1"/>
  <c r="L26" i="1" s="1"/>
  <c r="M21" i="1"/>
  <c r="S21" i="1" l="1"/>
  <c r="S26" i="1" s="1"/>
  <c r="S27" i="1" s="1"/>
  <c r="S28" i="1" s="1"/>
  <c r="R21" i="1"/>
  <c r="R28" i="1" s="1"/>
  <c r="N21" i="1"/>
  <c r="O21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P22" i="1" s="1"/>
  <c r="Q22" i="1" s="1"/>
  <c r="E15" i="3"/>
  <c r="P21" i="1" l="1"/>
  <c r="F15" i="3"/>
  <c r="Q21" i="1" l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<sst xmlns="http://schemas.openxmlformats.org/spreadsheetml/2006/main" count="235" uniqueCount="179">
  <si>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</si>
  <si>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</si>
  <si>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</si>
  <si>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</si>
  <si>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</si>
  <si>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</si>
  <si>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</si>
  <si>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</si>
  <si>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</si>
  <si>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</si>
  <si>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</si>
  <si>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</si>
  <si>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</si>
  <si>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</si>
  <si>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</si>
  <si>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</si>
  <si>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</si>
  <si>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</si>
  <si>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</si>
  <si>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</si>
  <si>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</si>
  <si>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</si>
  <si>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</si>
  <si>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</si>
  <si>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</si>
  <si>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</si>
  <si>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</si>
  <si>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</si>
  <si>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</si>
  <si>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</si>
  <si>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</si>
  <si>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</si>
  <si>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</si>
  <si>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</si>
  <si>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</si>
  <si>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</si>
  <si>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</si>
  <si>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</si>
  <si>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</si>
  <si>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</si>
  <si>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</si>
  <si>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</si>
  <si>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</si>
  <si>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</si>
  <si>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</si>
  <si>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</si>
  <si>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</si>
  <si>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</si>
  <si>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</si>
  <si>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</si>
  <si>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</si>
  <si>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</si>
  <si>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</si>
  <si>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</si>
  <si>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</si>
  <si>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</si>
  <si>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</si>
  <si>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</si>
  <si>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</si>
  <si>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</si>
  <si>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</si>
  <si>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</si>
  <si>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</si>
  <si>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</si>
  <si>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</si>
  <si>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</si>
  <si>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</si>
  <si>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</si>
  <si>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</si>
  <si>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</si>
  <si>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</si>
  <si>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</si>
  <si>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</si>
  <si>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</si>
  <si>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</si>
  <si>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</si>
  <si>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</si>
  <si>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</si>
  <si>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</si>
  <si>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</si>
  <si>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</si>
  <si>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</si>
  <si>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</si>
  <si>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</si>
  <si>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</si>
  <si>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</si>
  <si>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</si>
  <si>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</si>
  <si>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</si>
  <si>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</si>
  <si>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</si>
  <si>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</si>
  <si>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</si>
  <si>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</si>
  <si>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</si>
  <si>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</si>
  <si>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</si>
  <si>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</si>
  <si>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</si>
  <si>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</si>
  <si>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</si>
  <si>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</si>
  <si>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</si>
  <si>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</si>
  <si>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</si>
  <si>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</si>
  <si>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</si>
  <si>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</si>
  <si>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</si>
  <si>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</si>
  <si>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</si>
  <si>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</si>
  <si>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</si>
  <si>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</si>
  <si>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</si>
  <si>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</si>
  <si>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</si>
  <si>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</si>
  <si>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</si>
  <si>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</si>
  <si>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</si>
  <si>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</si>
  <si>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</si>
  <si>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</si>
  <si>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</si>
  <si>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</si>
  <si>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</si>
  <si>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</si>
  <si>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</si>
  <si>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</si>
  <si>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</si>
  <si>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</si>
  <si>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</si>
  <si>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</si>
  <si>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</si>
  <si>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</si>
  <si>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</si>
  <si>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</si>
  <si>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</si>
  <si>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</si>
  <si>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</si>
  <si>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</si>
  <si>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</si>
  <si>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</si>
  <si>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</si>
  <si>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</si>
  <si>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</si>
  <si>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</si>
  <si>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</si>
  <si>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</si>
  <si>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</si>
  <si>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</si>
  <si>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</si>
  <si>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</si>
  <si>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</si>
  <si>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</si>
  <si>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</si>
  <si>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</si>
  <si>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</si>
  <si>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</si>
  <si>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</si>
  <si>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</si>
  <si>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</si>
  <si>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</si>
  <si>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</si>
  <si>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</si>
  <si>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</si>
  <si>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</si>
  <si>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CATHERINE SALINAS</t>
  </si>
  <si>
    <t>10 DIAS HABILES</t>
  </si>
  <si>
    <t>GRIS NUBE</t>
  </si>
  <si>
    <t>KING</t>
  </si>
  <si>
    <t>MDF 3MM</t>
  </si>
  <si>
    <t>152X244</t>
  </si>
  <si>
    <t>LAMINA BALANCE</t>
  </si>
  <si>
    <t>N° 11418</t>
  </si>
  <si>
    <t>CUB MESA 2 LADOS R8MM  FALDON 8 CMS</t>
  </si>
  <si>
    <t>CUB MESA 2 LADOS R8MM  FALDON 8 CMS DIAGONAL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</si>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</sst>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ENCHAPE COSTADOS</a:t>
          </a:r>
          <a:r>
            <a:rPr lang="es-CL" sz="1200" b="1" baseline="0"/>
            <a:t> CON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, MAS REGRUESO  POR LOS COSTADOS 80MM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E37" sqref="E37"/>
    </sheetView>
  </sheetViews>
  <sheetFormatPr baseColWidth="10" defaultRowHeight="14.4" x14ac:dyDescent="0.3"/>
  <cols>
    <col min="1" max="1" width="6" customWidth="1"/>
    <col min="2" max="2" width="10.5546875" customWidth="1"/>
    <col min="3" max="3" width="51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168</v>
      </c>
      <c r="D10" s="243"/>
      <c r="E10" s="243"/>
      <c r="F10" s="244" t="s">
        <v>0</v>
      </c>
      <c r="G10" s="277">
        <v>45782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167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110453.24414715721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176</v>
      </c>
      <c r="D21" s="327">
        <v>0.6</v>
      </c>
      <c r="E21" s="327">
        <v>0.4</v>
      </c>
      <c r="F21" s="326" t="s">
        <v>178</v>
      </c>
      <c r="G21" s="328">
        <v>44461</v>
      </c>
      <c r="H21" s="328">
        <f>G21*B21</f>
        <v>88922</v>
      </c>
      <c r="I21" s="265"/>
      <c r="J21" s="47"/>
      <c r="K21" s="330">
        <v>1</v>
      </c>
      <c r="L21" s="39">
        <f t="shared" ref="L21" si="1">D21+L$19</f>
        <v>0.65</v>
      </c>
      <c r="M21" s="39">
        <f t="shared" ref="M21" si="2">E21+M$19</f>
        <v>0.48000000000000004</v>
      </c>
      <c r="N21" s="261">
        <f t="shared" ref="N21" si="3">L21*M21</f>
        <v>0.31200000000000006</v>
      </c>
      <c r="O21" s="259">
        <f t="shared" ref="O21" si="4">N21*K21</f>
        <v>0.31200000000000006</v>
      </c>
      <c r="P21" s="252">
        <f t="shared" ref="P21" si="5">P$20*N21</f>
        <v>34461.412173913057</v>
      </c>
      <c r="Q21" s="329">
        <f t="shared" ref="Q21" si="6">P21+Q$20</f>
        <v>44461.412173913057</v>
      </c>
      <c r="R21" s="298">
        <f>L21*K21*2</f>
        <v>1.3</v>
      </c>
      <c r="S21" s="46">
        <f>M21*2*K21</f>
        <v>0.96000000000000008</v>
      </c>
      <c r="T21" s="9"/>
      <c r="W21" s="4"/>
    </row>
    <row r="22" spans="2:24" ht="17.399999999999999" x14ac:dyDescent="0.3">
      <c r="B22" s="326">
        <v>1</v>
      </c>
      <c r="C22" s="326" t="s">
        <v>177</v>
      </c>
      <c r="D22" s="327">
        <v>0.6</v>
      </c>
      <c r="E22" s="327">
        <v>0.6</v>
      </c>
      <c r="F22" s="326" t="s">
        <v>178</v>
      </c>
      <c r="G22" s="328">
        <v>58820</v>
      </c>
      <c r="H22" s="328">
        <f>G22*B22</f>
        <v>58820</v>
      </c>
      <c r="I22" s="265"/>
      <c r="J22" s="47"/>
      <c r="K22" s="330">
        <v>2</v>
      </c>
      <c r="L22" s="39">
        <f t="shared" ref="L22:L23" si="7">D22+L$19</f>
        <v>0.65</v>
      </c>
      <c r="M22" s="39">
        <f t="shared" ref="M22:M23" si="8">E22+M$19</f>
        <v>0.67999999999999994</v>
      </c>
      <c r="N22" s="261">
        <f t="shared" ref="N22:N23" si="9">L22*M22</f>
        <v>0.44199999999999995</v>
      </c>
      <c r="O22" s="259">
        <f t="shared" ref="O22:O23" si="10">N22*K22</f>
        <v>0.8839999999999999</v>
      </c>
      <c r="P22" s="252">
        <f t="shared" ref="P22:P23" si="11">P$20*N22</f>
        <v>48820.333913043483</v>
      </c>
      <c r="Q22" s="329">
        <f t="shared" ref="Q22:Q23" si="12">P22+Q$20</f>
        <v>58820.333913043483</v>
      </c>
      <c r="R22" s="298">
        <f t="shared" ref="R22:R23" si="13">L22*K22*2</f>
        <v>2.6</v>
      </c>
      <c r="S22" s="46"/>
      <c r="T22" s="9"/>
      <c r="W22" s="4"/>
    </row>
    <row r="23" spans="2:24" ht="17.399999999999999" x14ac:dyDescent="0.3">
      <c r="B23" s="344"/>
      <c r="C23" s="344"/>
      <c r="D23" s="345"/>
      <c r="E23" s="345"/>
      <c r="F23" s="344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>
        <f t="shared" si="13"/>
        <v>0</v>
      </c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1"/>
      <c r="H24" s="331"/>
      <c r="I24" s="265"/>
      <c r="J24" s="47"/>
      <c r="K24" s="330"/>
      <c r="L24" s="39"/>
      <c r="M24" s="39"/>
      <c r="N24" s="261"/>
      <c r="O24" s="259"/>
      <c r="P24" s="252"/>
      <c r="Q24" s="329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147742</v>
      </c>
      <c r="I26" s="265"/>
      <c r="J26" s="47"/>
      <c r="K26" s="47"/>
      <c r="L26" s="39">
        <f>SUM(L21:L25)</f>
        <v>1.3</v>
      </c>
      <c r="M26" s="39"/>
      <c r="N26" s="261"/>
      <c r="O26" s="259"/>
      <c r="P26" s="252"/>
      <c r="Q26" s="258"/>
      <c r="R26" s="298"/>
      <c r="S26" s="46">
        <f>SUM(S21:S25)</f>
        <v>0.96000000000000008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28070.98</v>
      </c>
      <c r="I27" s="265"/>
      <c r="J27" s="47"/>
      <c r="K27" s="47"/>
      <c r="L27" s="39"/>
      <c r="M27" s="12"/>
      <c r="N27" s="12"/>
      <c r="O27" s="253">
        <f>SUM(O21:O23)</f>
        <v>1.196</v>
      </c>
      <c r="P27" s="14"/>
      <c r="Q27" s="12"/>
      <c r="R27" s="239"/>
      <c r="S27" s="46">
        <f>S26*20%</f>
        <v>0.19200000000000003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175812.98</v>
      </c>
      <c r="I28" s="265"/>
      <c r="J28" s="47"/>
      <c r="K28" s="47"/>
      <c r="L28" s="39"/>
      <c r="M28" s="12"/>
      <c r="N28" s="12"/>
      <c r="O28" s="253">
        <f>O27</f>
        <v>1.196</v>
      </c>
      <c r="P28" s="14"/>
      <c r="Q28" s="12"/>
      <c r="R28" s="239">
        <f>SUM(R21:R27)</f>
        <v>3.9000000000000004</v>
      </c>
      <c r="S28" s="46">
        <f>S26+S27</f>
        <v>1.1520000000000001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147074</v>
      </c>
      <c r="K29" s="47"/>
      <c r="L29" s="14"/>
      <c r="M29" s="12"/>
      <c r="N29" s="12"/>
      <c r="O29" s="39">
        <f>O28*20%</f>
        <v>0.2392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>
        <v>33749</v>
      </c>
      <c r="K30" s="47"/>
      <c r="L30" s="14"/>
      <c r="M30" s="12"/>
      <c r="N30" s="12"/>
      <c r="O30" s="46">
        <f>O28+O29</f>
        <v>1.4352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>
        <v>94650</v>
      </c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>
        <f>SUM(J29:J31)</f>
        <v>275473</v>
      </c>
      <c r="K32" s="47"/>
      <c r="L32" s="39">
        <f>O30*2</f>
        <v>2.8704000000000001</v>
      </c>
      <c r="M32" s="12">
        <v>3500</v>
      </c>
      <c r="N32" s="12">
        <f t="shared" ref="N32:N37" si="14">L32*M32</f>
        <v>10046.4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4"/>
        <v>25000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61860</v>
      </c>
      <c r="N34" s="12">
        <f t="shared" si="14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1</v>
      </c>
      <c r="M35" s="250">
        <v>25000</v>
      </c>
      <c r="N35" s="12">
        <f t="shared" si="14"/>
        <v>25000</v>
      </c>
      <c r="O35" s="14" t="s">
        <v>174</v>
      </c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J36" s="230">
        <v>27000</v>
      </c>
      <c r="K36" s="250"/>
      <c r="L36" s="249"/>
      <c r="M36" s="250">
        <v>300</v>
      </c>
      <c r="N36" s="12">
        <f t="shared" si="14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J37" s="230">
        <f>J36*19%</f>
        <v>5130</v>
      </c>
      <c r="K37" s="250"/>
      <c r="L37" s="266"/>
      <c r="M37" s="12">
        <v>1500</v>
      </c>
      <c r="N37" s="12">
        <f t="shared" si="14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I38" s="230" t="s">
        <v>171</v>
      </c>
      <c r="J38" s="230">
        <f>J36+J37</f>
        <v>32130</v>
      </c>
      <c r="K38" s="250"/>
      <c r="L38" s="14"/>
      <c r="M38" s="12"/>
      <c r="N38" s="12">
        <f>SUM(N32:N37)</f>
        <v>60046.400000000001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132102.08000000002</v>
      </c>
      <c r="O39" s="14" t="s">
        <v>141</v>
      </c>
      <c r="P39" s="14"/>
      <c r="Q39" s="40">
        <f>O30/Q38</f>
        <v>0.38697152717860223</v>
      </c>
      <c r="R39"/>
      <c r="S39" s="257"/>
    </row>
    <row r="40" spans="2:23" s="230" customFormat="1" ht="17.399999999999999" x14ac:dyDescent="0.35">
      <c r="G40"/>
      <c r="H40" s="260"/>
      <c r="I40" s="230" t="s">
        <v>170</v>
      </c>
      <c r="J40" s="230">
        <v>23560</v>
      </c>
      <c r="K40" s="250">
        <v>0</v>
      </c>
      <c r="L40" s="14"/>
      <c r="M40" s="12"/>
      <c r="N40" s="12">
        <f>N39/O28</f>
        <v>110453.24414715721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J41" s="230">
        <f>J40/1.19</f>
        <v>19798.319327731093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I43" s="230" t="s">
        <v>172</v>
      </c>
      <c r="K43" s="12"/>
      <c r="S43" s="238"/>
      <c r="T43" s="59" t="s">
        <v>156</v>
      </c>
      <c r="U43" s="59">
        <v>474.45</v>
      </c>
    </row>
    <row r="44" spans="2:23" ht="14.4" customHeight="1" x14ac:dyDescent="0.3">
      <c r="I44" t="s">
        <v>173</v>
      </c>
      <c r="J44">
        <v>8990</v>
      </c>
      <c r="K44" s="12"/>
      <c r="T44" s="59"/>
      <c r="U44" s="59"/>
    </row>
    <row r="45" spans="2:23" x14ac:dyDescent="0.3">
      <c r="K45" s="250"/>
    </row>
    <row r="46" spans="2:23" x14ac:dyDescent="0.3">
      <c r="I46">
        <v>46850</v>
      </c>
      <c r="K46" s="250"/>
      <c r="S46" s="270"/>
    </row>
    <row r="47" spans="2:23" x14ac:dyDescent="0.3">
      <c r="K47" s="250"/>
    </row>
    <row r="48" spans="2:23" ht="15" customHeight="1" x14ac:dyDescent="0.3">
      <c r="I48">
        <f>I46/1.19</f>
        <v>39369.747899159665</v>
      </c>
    </row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45782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11418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-6781.5317001207732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147742</v>
      </c>
      <c r="E11" s="132">
        <f>D11*0.19</f>
        <v>28070.98</v>
      </c>
      <c r="F11" s="131">
        <f>E11+D11</f>
        <v>175812.98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99208.468299879227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64880.490787439616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81208.468299879227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82861.509212560384</v>
      </c>
      <c r="E13" s="221">
        <f>(D11/D12)-1</f>
        <v>1.2771406043155542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72208.468299879227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33208.468299879227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107052.80979927536</v>
      </c>
      <c r="F15" s="216">
        <f>E15-D12</f>
        <v>42172.319011835745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33208.468299879227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73208.468299879227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10046.4</v>
      </c>
      <c r="E20" s="121">
        <f>D20*0.19</f>
        <v>1908.816</v>
      </c>
      <c r="F20" s="120">
        <f>SUM(D20:E20)</f>
        <v>11955.216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35046.400000000001</v>
      </c>
      <c r="E21" s="116">
        <f>SUM(E18:E20)</f>
        <v>6658.8159999999998</v>
      </c>
      <c r="F21" s="115">
        <f>SUM(F18:F20)</f>
        <v>41705.216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21412.164000000001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147742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35046.400000000001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82861.509212560384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82861.509212560384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2025-05-05T14:25:10Z</dcterms:modified>
</cp:coreProperties>
</file>