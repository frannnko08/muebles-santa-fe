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5 MAYO 2025\"/>
    </mc:Choice>
  </mc:AlternateContent>
  <xr:revisionPtr revIDLastSave="0" documentId="13_ncr:1_{2DF78520-EC31-44B2-8788-4C290AC1103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5" i="1" l="1"/>
  <c r="H23" i="1"/>
  <c r="K23" i="1"/>
  <c r="L23" i="1"/>
  <c r="M23" i="1"/>
  <c r="K21" i="1"/>
  <c r="H22" i="1"/>
  <c r="K22" i="1"/>
  <c r="L22" i="1"/>
  <c r="M22" i="1"/>
  <c r="D32" i="3"/>
  <c r="D31" i="3"/>
  <c r="D30" i="3"/>
  <c r="D29" i="3"/>
  <c r="D28" i="3"/>
  <c r="D27" i="3"/>
  <c r="D26" i="3"/>
  <c r="D25" i="3"/>
  <c r="D24" i="3"/>
  <c r="D23" i="3"/>
  <c r="B32" i="3"/>
  <c r="B31" i="3"/>
  <c r="B23" i="3"/>
  <c r="B24" i="3"/>
  <c r="B25" i="3"/>
  <c r="B26" i="3"/>
  <c r="B27" i="3"/>
  <c r="B28" i="3"/>
  <c r="B29" i="3"/>
  <c r="A22" i="3"/>
  <c r="A21" i="3"/>
  <c r="A23" i="3"/>
  <c r="I29" i="3"/>
  <c r="H20" i="3"/>
  <c r="N18" i="3"/>
  <c r="N17" i="3"/>
  <c r="H14" i="3"/>
  <c r="H23" i="3"/>
  <c r="H30" i="3"/>
  <c r="H41" i="3"/>
  <c r="K41" i="3" s="1"/>
  <c r="H45" i="3"/>
  <c r="H37" i="3"/>
  <c r="E33" i="3"/>
  <c r="H38" i="3" s="1"/>
  <c r="O40" i="3"/>
  <c r="O41" i="3" s="1"/>
  <c r="I51" i="1"/>
  <c r="J35" i="1"/>
  <c r="J40" i="1"/>
  <c r="J41" i="1" s="1"/>
  <c r="N38" i="1"/>
  <c r="N23" i="1" l="1"/>
  <c r="O23" i="1"/>
  <c r="N22" i="1"/>
  <c r="O22" i="1" s="1"/>
  <c r="H22" i="3"/>
  <c r="H48" i="3"/>
  <c r="H44" i="3"/>
  <c r="H40" i="3"/>
  <c r="K40" i="3" s="1"/>
  <c r="H31" i="3"/>
  <c r="H47" i="3"/>
  <c r="H43" i="3"/>
  <c r="H39" i="3"/>
  <c r="K39" i="3" s="1"/>
  <c r="H46" i="3"/>
  <c r="H42" i="3"/>
  <c r="R22" i="1"/>
  <c r="N37" i="1"/>
  <c r="N39" i="1"/>
  <c r="N40" i="1"/>
  <c r="J44" i="1" l="1"/>
  <c r="L21" i="1"/>
  <c r="M21" i="1"/>
  <c r="C10" i="3" s="1"/>
  <c r="N21" i="1" l="1"/>
  <c r="O21" i="1" s="1"/>
  <c r="O30" i="1" s="1"/>
  <c r="L29" i="1"/>
  <c r="C9" i="3" s="1"/>
  <c r="H21" i="3" s="1"/>
  <c r="S21" i="1"/>
  <c r="S29" i="1" s="1"/>
  <c r="S30" i="1" s="1"/>
  <c r="S31" i="1" s="1"/>
  <c r="R21" i="1"/>
  <c r="R31" i="1" s="1"/>
  <c r="U37" i="1"/>
  <c r="U38" i="1" s="1"/>
  <c r="H19" i="3" l="1"/>
  <c r="H10" i="3"/>
  <c r="H11" i="3"/>
  <c r="H18" i="3"/>
  <c r="H15" i="3"/>
  <c r="N36" i="1"/>
  <c r="O31" i="1" l="1"/>
  <c r="O32" i="1" s="1"/>
  <c r="O33" i="1" s="1"/>
  <c r="M20" i="1"/>
  <c r="K20" i="1"/>
  <c r="Q41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K21" i="3"/>
  <c r="F24" i="3"/>
  <c r="K22" i="3"/>
  <c r="F25" i="3"/>
  <c r="K23" i="3"/>
  <c r="I25" i="3"/>
  <c r="K25" i="3" s="1"/>
  <c r="F26" i="3"/>
  <c r="K26" i="3"/>
  <c r="F27" i="3"/>
  <c r="K27" i="3"/>
  <c r="F28" i="3"/>
  <c r="K28" i="3"/>
  <c r="F29" i="3"/>
  <c r="K29" i="3"/>
  <c r="F30" i="3"/>
  <c r="K30" i="3"/>
  <c r="F31" i="3"/>
  <c r="K31" i="3"/>
  <c r="K32" i="3"/>
  <c r="K38" i="3"/>
  <c r="K33" i="3"/>
  <c r="K34" i="3"/>
  <c r="K35" i="3"/>
  <c r="K37" i="3" l="1"/>
  <c r="W19" i="3"/>
  <c r="L24" i="3"/>
  <c r="D35" i="3" s="1"/>
  <c r="Y19" i="3"/>
  <c r="Y20" i="3" s="1"/>
  <c r="Y21" i="3" s="1"/>
  <c r="K48" i="3"/>
  <c r="D51" i="3"/>
  <c r="L9" i="3"/>
  <c r="D34" i="3" s="1"/>
  <c r="F23" i="3"/>
  <c r="F32" i="3"/>
  <c r="A32" i="3"/>
  <c r="W20" i="3" l="1"/>
  <c r="W21" i="3" s="1"/>
  <c r="L36" i="3"/>
  <c r="D36" i="3" s="1"/>
  <c r="D38" i="3" s="1"/>
  <c r="M54" i="3" s="1"/>
  <c r="F33" i="3"/>
  <c r="M53" i="3" s="1"/>
  <c r="D33" i="3"/>
  <c r="D19" i="3" l="1"/>
  <c r="D18" i="3" l="1"/>
  <c r="E18" i="3" s="1"/>
  <c r="E19" i="3"/>
  <c r="F19" i="3" s="1"/>
  <c r="F18" i="3" l="1"/>
  <c r="N35" i="1" l="1"/>
  <c r="N41" i="1" s="1"/>
  <c r="N42" i="1" s="1"/>
  <c r="Q42" i="1"/>
  <c r="D20" i="3" l="1"/>
  <c r="E20" i="3" s="1"/>
  <c r="E21" i="3" s="1"/>
  <c r="N43" i="1" l="1"/>
  <c r="D21" i="3"/>
  <c r="M52" i="3" s="1"/>
  <c r="D12" i="3" s="1"/>
  <c r="F20" i="3"/>
  <c r="F21" i="3" s="1"/>
  <c r="N44" i="1" l="1"/>
  <c r="P20" i="1"/>
  <c r="E15" i="3"/>
  <c r="P22" i="1" l="1"/>
  <c r="Q22" i="1" s="1"/>
  <c r="P23" i="1"/>
  <c r="Q23" i="1" s="1"/>
  <c r="P21" i="1"/>
  <c r="F15" i="3"/>
  <c r="Q21" i="1" l="1"/>
  <c r="H21" i="1" l="1"/>
  <c r="H29" i="1" s="1"/>
  <c r="H30" i="1" s="1"/>
  <c r="H31" i="1" l="1"/>
  <c r="D11" i="3" l="1"/>
  <c r="X9" i="3" l="1"/>
  <c r="X15" i="3" s="1"/>
  <c r="E13" i="3"/>
  <c r="D13" i="3"/>
  <c r="E11" i="3"/>
  <c r="D49" i="3" s="1"/>
  <c r="M51" i="3"/>
  <c r="M55" i="3" s="1"/>
  <c r="M58" i="3" s="1"/>
  <c r="X14" i="3" l="1"/>
  <c r="X12" i="3"/>
  <c r="X11" i="3"/>
  <c r="X13" i="3"/>
  <c r="X16" i="3"/>
  <c r="F11" i="3"/>
</calcChain>
</file>

<file path=xl/sharedStrings.xml><?xml version="1.0" encoding="utf-8"?>
<sst xmlns="http://schemas.openxmlformats.org/spreadsheetml/2006/main" count="248" uniqueCount="189">
  <si>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</si>
  <si>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</si>
  <si>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</si>
  <si>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</si>
  <si>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</si>
  <si>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</si>
  <si>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</si>
  <si>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</si>
  <si>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</si>
  <si>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</si>
  <si>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</si>
  <si>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</si>
  <si>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</si>
  <si>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</si>
  <si>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</si>
  <si>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</si>
  <si>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</si>
  <si>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</si>
  <si>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</si>
  <si>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</si>
  <si>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</si>
  <si>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</si>
  <si>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</si>
  <si>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</si>
  <si>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</si>
  <si>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</si>
  <si>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</si>
  <si>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</si>
  <si>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</si>
  <si>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</si>
  <si>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</si>
  <si>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</si>
  <si>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</si>
  <si>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</si>
  <si>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</si>
  <si>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</si>
  <si>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</si>
  <si>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</si>
  <si>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</si>
  <si>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</si>
  <si>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</si>
  <si>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</si>
  <si>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</si>
  <si>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</si>
  <si>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</si>
  <si>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</si>
  <si>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</si>
  <si>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</si>
  <si>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</si>
  <si>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</si>
  <si>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</si>
  <si>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</si>
  <si>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</si>
  <si>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</si>
  <si>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</si>
  <si>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</si>
  <si>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</si>
  <si>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</si>
  <si>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</si>
  <si>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</si>
  <si>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</si>
  <si>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</si>
  <si>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</si>
  <si>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</si>
  <si>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</si>
  <si>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</si>
  <si>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POSTFORMADO</t>
  </si>
  <si>
    <t>PEGADO</t>
  </si>
  <si>
    <t>TAG</t>
  </si>
  <si>
    <t>ARMADO</t>
  </si>
  <si>
    <t>TUPIZADO</t>
  </si>
  <si>
    <t>BENCINA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</si>
  <si>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</si>
  <si>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</si>
  <si>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</si>
  <si>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</si>
  <si>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</si>
  <si>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</si>
  <si>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</si>
  <si>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</si>
  <si>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</si>
  <si>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</si>
  <si>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</si>
  <si>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</si>
  <si>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</si>
  <si>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</si>
  <si>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</si>
  <si>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</si>
  <si>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</si>
  <si>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</si>
  <si>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</si>
  <si>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</si>
  <si>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</si>
  <si>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</si>
  <si>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</si>
  <si>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</si>
  <si>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</si>
  <si>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</si>
  <si>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</si>
  <si>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</si>
  <si>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</si>
  <si>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</si>
  <si>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</si>
  <si>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</si>
  <si>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</si>
  <si>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</si>
  <si>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</si>
  <si>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</si>
  <si>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</si>
  <si>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</si>
  <si>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</si>
  <si>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PRECIO</t>
  </si>
  <si>
    <t>$</t>
  </si>
  <si>
    <t>Q/HRS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</si>
  <si>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</si>
  <si>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</si>
  <si>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</si>
  <si>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</si>
  <si>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</si>
  <si>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</si>
  <si>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</si>
  <si>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</si>
  <si>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</si>
  <si>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</si>
  <si>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</si>
  <si>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</si>
  <si>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</si>
  <si>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</si>
  <si>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</si>
  <si>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</si>
  <si>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</si>
  <si>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</si>
  <si>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</si>
  <si>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</si>
  <si>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</si>
  <si>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</si>
  <si>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</si>
  <si>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</si>
  <si>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</si>
  <si>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</si>
  <si>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</si>
  <si>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</si>
  <si>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</si>
  <si>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</si>
  <si>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</si>
  <si>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</si>
  <si>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</si>
  <si>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</si>
  <si>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</si>
  <si>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</si>
  <si>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</si>
  <si>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</si>
  <si>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</si>
  <si>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</si>
  <si>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</si>
  <si>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</si>
  <si>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SANTIAGO</t>
  </si>
  <si>
    <t>GRIS NUBE</t>
  </si>
  <si>
    <t>KING</t>
  </si>
  <si>
    <t>MDF 3MM</t>
  </si>
  <si>
    <t>152X244</t>
  </si>
  <si>
    <t>LAMINA 122 X 306</t>
  </si>
  <si>
    <t>DURACION COTIZACION: 5 DIAS                            FRANCO DONOSO</t>
  </si>
  <si>
    <t>VENDEDOR</t>
  </si>
  <si>
    <t>ADMINISTRADOR</t>
  </si>
  <si>
    <t>INTERNET</t>
  </si>
  <si>
    <t>GAS</t>
  </si>
  <si>
    <t>DEPRECIACION MAQUINARIA</t>
  </si>
  <si>
    <t>REPARACION MAQUINARIA</t>
  </si>
  <si>
    <t>GASTOS INDIRECTOS</t>
  </si>
  <si>
    <t>PUBLICIDAD</t>
  </si>
  <si>
    <t>RELBASE</t>
  </si>
  <si>
    <t>WIX</t>
  </si>
  <si>
    <t>BASURA</t>
  </si>
  <si>
    <t>ASEO</t>
  </si>
  <si>
    <t>ML</t>
  </si>
  <si>
    <t>AGUARRAS</t>
  </si>
  <si>
    <t>FILM</t>
  </si>
  <si>
    <t>M.ANCHO</t>
  </si>
  <si>
    <t>EMBALAJE</t>
  </si>
  <si>
    <t>REBAJE LAMINA (R2)</t>
  </si>
  <si>
    <t>N° 11427</t>
  </si>
  <si>
    <t>WILDER MUEBLES</t>
  </si>
  <si>
    <t>+569 5071 1209</t>
  </si>
  <si>
    <t>10 DIAS HABILES</t>
  </si>
  <si>
    <t>BANQUETAS MODULARES</t>
  </si>
  <si>
    <t>ACACIA ARENA O SIMILAR</t>
  </si>
  <si>
    <t>MDF 5MM</t>
  </si>
  <si>
    <t>ESTANTES CENTRALES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</si>
</sst>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51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29" xfId="6" applyFont="1" applyFill="1" applyBorder="1"/>
    <xf numFmtId="172" fontId="0" fillId="0" borderId="32" xfId="0" applyNumberFormat="1" applyBorder="1" applyAlignment="1">
      <alignment horizontal="left"/>
    </xf>
    <xf numFmtId="42" fontId="0" fillId="0" borderId="32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5" xfId="0" applyNumberFormat="1" applyBorder="1" applyAlignment="1">
      <alignment horizontal="left"/>
    </xf>
    <xf numFmtId="42" fontId="0" fillId="0" borderId="35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6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4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7" xfId="6" applyFont="1" applyFill="1" applyBorder="1"/>
    <xf numFmtId="0" fontId="8" fillId="0" borderId="40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1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2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5" xfId="0" applyFont="1" applyFill="1" applyBorder="1"/>
    <xf numFmtId="0" fontId="0" fillId="0" borderId="22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13" xfId="0" applyBorder="1" applyAlignment="1">
      <alignment horizontal="center"/>
    </xf>
    <xf numFmtId="0" fontId="8" fillId="9" borderId="46" xfId="0" applyFont="1" applyFill="1" applyBorder="1" applyAlignment="1">
      <alignment horizontal="center"/>
    </xf>
    <xf numFmtId="0" fontId="8" fillId="9" borderId="38" xfId="0" applyFont="1" applyFill="1" applyBorder="1" applyAlignment="1">
      <alignment horizontal="center"/>
    </xf>
    <xf numFmtId="0" fontId="11" fillId="17" borderId="33" xfId="0" applyFont="1" applyFill="1" applyBorder="1" applyAlignment="1">
      <alignment horizontal="center"/>
    </xf>
    <xf numFmtId="164" fontId="0" fillId="0" borderId="1" xfId="5" applyFont="1" applyBorder="1"/>
    <xf numFmtId="164" fontId="0" fillId="0" borderId="32" xfId="5" applyFont="1" applyBorder="1"/>
    <xf numFmtId="174" fontId="0" fillId="0" borderId="35" xfId="5" applyNumberFormat="1" applyFont="1" applyBorder="1"/>
    <xf numFmtId="174" fontId="0" fillId="0" borderId="6" xfId="5" applyNumberFormat="1" applyFont="1" applyBorder="1"/>
    <xf numFmtId="174" fontId="0" fillId="0" borderId="32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7" xfId="0" applyBorder="1" applyAlignment="1">
      <alignment horizontal="center"/>
    </xf>
    <xf numFmtId="42" fontId="0" fillId="0" borderId="44" xfId="6" applyFont="1" applyBorder="1" applyAlignment="1">
      <alignment horizontal="center"/>
    </xf>
    <xf numFmtId="0" fontId="6" fillId="0" borderId="39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5" xfId="0" applyFill="1" applyBorder="1"/>
    <xf numFmtId="0" fontId="0" fillId="8" borderId="45" xfId="0" applyFill="1" applyBorder="1" applyAlignment="1">
      <alignment horizontal="left"/>
    </xf>
    <xf numFmtId="0" fontId="0" fillId="8" borderId="52" xfId="0" applyFill="1" applyBorder="1"/>
    <xf numFmtId="0" fontId="0" fillId="8" borderId="53" xfId="0" applyFill="1" applyBorder="1"/>
    <xf numFmtId="0" fontId="0" fillId="8" borderId="0" xfId="0" applyFill="1"/>
    <xf numFmtId="0" fontId="0" fillId="8" borderId="54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5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5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3" xfId="0" applyBorder="1"/>
    <xf numFmtId="14" fontId="29" fillId="0" borderId="0" xfId="0" applyNumberFormat="1" applyFont="1" applyAlignment="1">
      <alignment horizontal="left"/>
    </xf>
    <xf numFmtId="0" fontId="0" fillId="0" borderId="54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6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1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3" xfId="0" applyBorder="1"/>
    <xf numFmtId="0" fontId="29" fillId="0" borderId="36" xfId="3" applyFont="1" applyFill="1" applyBorder="1" applyAlignment="1">
      <alignment horizontal="left"/>
    </xf>
    <xf numFmtId="0" fontId="0" fillId="0" borderId="36" xfId="3" applyFont="1" applyFill="1" applyBorder="1" applyAlignment="1">
      <alignment horizontal="left"/>
    </xf>
    <xf numFmtId="0" fontId="9" fillId="8" borderId="0" xfId="3" applyFill="1"/>
    <xf numFmtId="0" fontId="7" fillId="8" borderId="53" xfId="0" applyFont="1" applyFill="1" applyBorder="1"/>
    <xf numFmtId="0" fontId="14" fillId="8" borderId="0" xfId="0" applyFont="1" applyFill="1"/>
    <xf numFmtId="0" fontId="30" fillId="8" borderId="0" xfId="0" applyFont="1" applyFill="1"/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41" fontId="11" fillId="2" borderId="0" xfId="4" applyFont="1" applyFill="1" applyBorder="1" applyAlignment="1">
      <alignment horizontal="center"/>
    </xf>
    <xf numFmtId="167" fontId="0" fillId="7" borderId="0" xfId="0" applyNumberFormat="1" applyFill="1"/>
    <xf numFmtId="167" fontId="11" fillId="0" borderId="0" xfId="2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42" fontId="8" fillId="0" borderId="0" xfId="0" applyNumberFormat="1" applyFont="1"/>
    <xf numFmtId="0" fontId="8" fillId="9" borderId="45" xfId="0" applyFont="1" applyFill="1" applyBorder="1" applyAlignment="1">
      <alignment horizontal="center"/>
    </xf>
    <xf numFmtId="42" fontId="8" fillId="9" borderId="42" xfId="6" applyFont="1" applyFill="1" applyBorder="1" applyAlignment="1">
      <alignment horizontal="center"/>
    </xf>
    <xf numFmtId="41" fontId="0" fillId="0" borderId="28" xfId="0" applyNumberFormat="1" applyBorder="1" applyAlignment="1">
      <alignment horizontal="center"/>
    </xf>
    <xf numFmtId="0" fontId="0" fillId="0" borderId="35" xfId="0" applyBorder="1" applyAlignment="1">
      <alignment horizontal="center"/>
    </xf>
    <xf numFmtId="41" fontId="0" fillId="0" borderId="26" xfId="0" applyNumberFormat="1" applyBorder="1" applyAlignment="1">
      <alignment horizontal="center"/>
    </xf>
    <xf numFmtId="42" fontId="0" fillId="0" borderId="20" xfId="6" applyFont="1" applyBorder="1" applyAlignment="1">
      <alignment horizontal="center"/>
    </xf>
    <xf numFmtId="41" fontId="0" fillId="0" borderId="31" xfId="0" applyNumberFormat="1" applyBorder="1" applyAlignment="1">
      <alignment horizontal="center"/>
    </xf>
    <xf numFmtId="0" fontId="0" fillId="0" borderId="32" xfId="0" applyBorder="1" applyAlignment="1">
      <alignment horizontal="center"/>
    </xf>
    <xf numFmtId="41" fontId="0" fillId="0" borderId="23" xfId="0" applyNumberFormat="1" applyBorder="1" applyAlignment="1">
      <alignment horizontal="center"/>
    </xf>
    <xf numFmtId="0" fontId="18" fillId="0" borderId="36" xfId="0" applyFont="1" applyBorder="1" applyAlignment="1">
      <alignment horizontal="left"/>
    </xf>
    <xf numFmtId="0" fontId="18" fillId="0" borderId="55" xfId="0" applyFont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5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7" xfId="0" applyFont="1" applyFill="1" applyBorder="1" applyAlignment="1">
      <alignment horizontal="center"/>
    </xf>
    <xf numFmtId="0" fontId="8" fillId="11" borderId="50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32" fillId="0" borderId="0" xfId="0" applyFont="1" applyBorder="1" applyAlignment="1">
      <alignment horizontal="center" vertical="center"/>
    </xf>
    <xf numFmtId="166" fontId="32" fillId="0" borderId="0" xfId="0" applyNumberFormat="1" applyFont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33</xdr:row>
      <xdr:rowOff>26670</xdr:rowOff>
    </xdr:from>
    <xdr:to>
      <xdr:col>7</xdr:col>
      <xdr:colOff>1034435</xdr:colOff>
      <xdr:row>36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35</xdr:row>
      <xdr:rowOff>154305</xdr:rowOff>
    </xdr:from>
    <xdr:to>
      <xdr:col>7</xdr:col>
      <xdr:colOff>853440</xdr:colOff>
      <xdr:row>35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33</xdr:row>
      <xdr:rowOff>9525</xdr:rowOff>
    </xdr:from>
    <xdr:to>
      <xdr:col>5</xdr:col>
      <xdr:colOff>1714500</xdr:colOff>
      <xdr:row>36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16389</xdr:colOff>
      <xdr:row>27</xdr:row>
      <xdr:rowOff>206170</xdr:rowOff>
    </xdr:from>
    <xdr:to>
      <xdr:col>5</xdr:col>
      <xdr:colOff>1643259</xdr:colOff>
      <xdr:row>31</xdr:row>
      <xdr:rowOff>138676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26066" y="4556944"/>
          <a:ext cx="7870354" cy="833797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 BANQUETAS</a:t>
          </a:r>
          <a:r>
            <a:rPr lang="es-CL" sz="1200" b="1" baseline="0"/>
            <a:t> Y ESTANTES SE CONSIDERAN ENCHAPADOS CON LAMINAS SIMILAR A LA MELAMINA ACACIA ARENA.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 </a:t>
          </a:r>
          <a:endParaRPr lang="es-CL" sz="1200" b="0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6"/>
  <sheetViews>
    <sheetView tabSelected="1" zoomScale="93" zoomScaleNormal="93" workbookViewId="0">
      <selection activeCell="G24" sqref="G24"/>
    </sheetView>
  </sheetViews>
  <sheetFormatPr baseColWidth="10" defaultRowHeight="14.4" x14ac:dyDescent="0.3"/>
  <cols>
    <col min="1" max="1" width="6" customWidth="1"/>
    <col min="2" max="2" width="10.5546875" customWidth="1"/>
    <col min="3" max="3" width="33" customWidth="1"/>
    <col min="4" max="4" width="11.109375" customWidth="1"/>
    <col min="5" max="5" width="10.5546875" customWidth="1"/>
    <col min="6" max="6" width="29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37" t="s">
        <v>134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131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135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117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287" t="s">
        <v>119</v>
      </c>
      <c r="C8" s="288"/>
      <c r="D8" s="319" t="s">
        <v>181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03" t="s">
        <v>154</v>
      </c>
      <c r="C10" s="274" t="s">
        <v>182</v>
      </c>
      <c r="D10" s="238"/>
      <c r="E10" s="238"/>
      <c r="F10" s="239" t="s">
        <v>0</v>
      </c>
      <c r="G10" s="272">
        <v>45786</v>
      </c>
      <c r="H10" s="240"/>
      <c r="J10" s="1"/>
      <c r="Q10" s="2"/>
      <c r="R10" s="3"/>
      <c r="S10" s="3"/>
      <c r="T10" s="4"/>
      <c r="U10" s="2"/>
      <c r="V10" s="3"/>
    </row>
    <row r="11" spans="2:23" ht="16.8" x14ac:dyDescent="0.4">
      <c r="B11" s="283" t="s">
        <v>12</v>
      </c>
      <c r="C11" s="296"/>
      <c r="F11" t="s">
        <v>116</v>
      </c>
      <c r="G11" s="284" t="s">
        <v>184</v>
      </c>
      <c r="H11" s="285"/>
      <c r="P11" s="19"/>
      <c r="Q11" s="25" t="s">
        <v>19</v>
      </c>
      <c r="R11" s="19"/>
    </row>
    <row r="12" spans="2:23" ht="16.8" x14ac:dyDescent="0.4">
      <c r="B12" s="241" t="s">
        <v>137</v>
      </c>
      <c r="C12" s="307"/>
      <c r="D12" s="242"/>
      <c r="E12" s="242"/>
      <c r="F12" s="242" t="s">
        <v>120</v>
      </c>
      <c r="G12" s="273" t="s">
        <v>128</v>
      </c>
      <c r="H12" s="243"/>
      <c r="P12" s="19"/>
      <c r="Q12" s="25"/>
      <c r="R12" s="19"/>
    </row>
    <row r="13" spans="2:23" x14ac:dyDescent="0.3">
      <c r="B13" s="283" t="s">
        <v>138</v>
      </c>
      <c r="F13" t="s">
        <v>129</v>
      </c>
      <c r="G13" s="308" t="s">
        <v>128</v>
      </c>
      <c r="H13" s="285"/>
      <c r="P13" s="19"/>
      <c r="Q13" s="25"/>
      <c r="R13" s="19"/>
    </row>
    <row r="14" spans="2:23" x14ac:dyDescent="0.3">
      <c r="B14" s="241" t="s">
        <v>132</v>
      </c>
      <c r="C14" s="315"/>
      <c r="D14" s="242"/>
      <c r="E14" s="242"/>
      <c r="F14" s="242" t="s">
        <v>179</v>
      </c>
      <c r="G14" s="286" t="s">
        <v>128</v>
      </c>
      <c r="H14" s="243"/>
      <c r="J14" s="29"/>
      <c r="P14" s="20"/>
      <c r="Q14" s="26" t="s">
        <v>18</v>
      </c>
      <c r="R14" s="20"/>
    </row>
    <row r="15" spans="2:23" ht="15.6" x14ac:dyDescent="0.3">
      <c r="B15" s="283" t="s">
        <v>4</v>
      </c>
      <c r="C15" s="310" t="s">
        <v>183</v>
      </c>
      <c r="D15" s="311"/>
      <c r="F15" t="s">
        <v>127</v>
      </c>
      <c r="G15" s="309" t="s">
        <v>128</v>
      </c>
      <c r="H15" s="285"/>
    </row>
    <row r="16" spans="2:23" ht="16.8" x14ac:dyDescent="0.4">
      <c r="B16" s="316" t="s">
        <v>3</v>
      </c>
      <c r="C16" s="307"/>
      <c r="D16" s="242"/>
      <c r="E16" s="242"/>
      <c r="F16" s="317" t="s">
        <v>122</v>
      </c>
      <c r="G16" s="318" t="s">
        <v>155</v>
      </c>
      <c r="H16" s="243"/>
    </row>
    <row r="17" spans="2:24" ht="15" thickBot="1" x14ac:dyDescent="0.35">
      <c r="B17" s="312" t="s">
        <v>13</v>
      </c>
      <c r="C17" s="313" t="s">
        <v>156</v>
      </c>
      <c r="D17" s="314"/>
      <c r="E17" s="118"/>
      <c r="F17" s="337" t="s">
        <v>162</v>
      </c>
      <c r="G17" s="337"/>
      <c r="H17" s="338"/>
      <c r="I17" s="258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9" t="s">
        <v>139</v>
      </c>
      <c r="C19" s="340"/>
      <c r="D19" s="340"/>
      <c r="E19" s="340"/>
      <c r="F19" s="340"/>
      <c r="G19" s="340"/>
      <c r="H19" s="341"/>
      <c r="I19" s="259"/>
      <c r="J19" s="5"/>
      <c r="K19" s="245"/>
      <c r="L19" s="14">
        <v>0.02</v>
      </c>
      <c r="M19" s="14">
        <v>0.02</v>
      </c>
      <c r="N19" s="14"/>
      <c r="O19" s="246" t="s">
        <v>6</v>
      </c>
      <c r="P19" s="36" t="s">
        <v>21</v>
      </c>
      <c r="Q19" s="37" t="s">
        <v>126</v>
      </c>
      <c r="R19" s="10" t="s">
        <v>130</v>
      </c>
      <c r="T19" s="9"/>
      <c r="U19" s="9"/>
      <c r="W19" s="6"/>
      <c r="X19" s="6"/>
    </row>
    <row r="20" spans="2:24" ht="17.399999999999999" x14ac:dyDescent="0.3">
      <c r="B20" s="304" t="s">
        <v>7</v>
      </c>
      <c r="C20" s="305" t="s">
        <v>1</v>
      </c>
      <c r="D20" s="305" t="s">
        <v>10</v>
      </c>
      <c r="E20" s="305" t="s">
        <v>11</v>
      </c>
      <c r="F20" s="305" t="s">
        <v>8</v>
      </c>
      <c r="G20" s="305" t="s">
        <v>5</v>
      </c>
      <c r="H20" s="306" t="s">
        <v>6</v>
      </c>
      <c r="I20" s="260"/>
      <c r="J20" s="47"/>
      <c r="K20" s="263" t="str">
        <f>B20</f>
        <v>UNIDAD</v>
      </c>
      <c r="L20" s="262" t="s">
        <v>124</v>
      </c>
      <c r="M20" s="39" t="str">
        <f>E20</f>
        <v>ANCHO</v>
      </c>
      <c r="N20" s="256" t="s">
        <v>125</v>
      </c>
      <c r="O20" s="254" t="s">
        <v>17</v>
      </c>
      <c r="P20" s="247">
        <f>N43</f>
        <v>37533.97634047953</v>
      </c>
      <c r="Q20" s="253">
        <v>10000</v>
      </c>
      <c r="R20" s="38"/>
      <c r="S20" s="14" t="s">
        <v>121</v>
      </c>
      <c r="T20" s="9"/>
      <c r="W20" s="4"/>
    </row>
    <row r="21" spans="2:24" ht="17.399999999999999" x14ac:dyDescent="0.3">
      <c r="B21" s="320">
        <v>8</v>
      </c>
      <c r="C21" s="320" t="s">
        <v>185</v>
      </c>
      <c r="D21" s="321">
        <v>1.77</v>
      </c>
      <c r="E21" s="321">
        <v>0.88500000000000001</v>
      </c>
      <c r="F21" s="320" t="s">
        <v>186</v>
      </c>
      <c r="G21" s="322">
        <v>60803</v>
      </c>
      <c r="H21" s="322">
        <f>G21*B21</f>
        <v>486424</v>
      </c>
      <c r="I21" s="260"/>
      <c r="J21" s="47"/>
      <c r="K21" s="324">
        <f>B21</f>
        <v>8</v>
      </c>
      <c r="L21" s="39">
        <f t="shared" ref="L21:M23" si="0">D21+L$19</f>
        <v>1.79</v>
      </c>
      <c r="M21" s="39">
        <f t="shared" si="0"/>
        <v>0.90500000000000003</v>
      </c>
      <c r="N21" s="256">
        <f>L21*M21</f>
        <v>1.61995</v>
      </c>
      <c r="O21" s="254">
        <f>N21*K21</f>
        <v>12.9596</v>
      </c>
      <c r="P21" s="247">
        <f t="shared" ref="P21" si="1">P$20*N21</f>
        <v>60803.164972759812</v>
      </c>
      <c r="Q21" s="323">
        <f t="shared" ref="Q21" si="2">P21+Q$20</f>
        <v>70803.164972759812</v>
      </c>
      <c r="R21" s="293">
        <f>L21*K21*2</f>
        <v>28.64</v>
      </c>
      <c r="S21" s="46">
        <f>M21*2*K21</f>
        <v>14.48</v>
      </c>
      <c r="T21" s="9"/>
      <c r="W21" s="4"/>
    </row>
    <row r="22" spans="2:24" ht="17.399999999999999" x14ac:dyDescent="0.3">
      <c r="B22" s="320">
        <v>16</v>
      </c>
      <c r="C22" s="320" t="s">
        <v>188</v>
      </c>
      <c r="D22" s="321">
        <v>3</v>
      </c>
      <c r="E22" s="321">
        <v>0.41</v>
      </c>
      <c r="F22" s="320" t="s">
        <v>186</v>
      </c>
      <c r="G22" s="322">
        <v>48742</v>
      </c>
      <c r="H22" s="322">
        <f>G22*B22</f>
        <v>779872</v>
      </c>
      <c r="I22" s="260"/>
      <c r="J22" s="47"/>
      <c r="K22" s="324">
        <f>B22</f>
        <v>16</v>
      </c>
      <c r="L22" s="39">
        <f t="shared" si="0"/>
        <v>3.02</v>
      </c>
      <c r="M22" s="39">
        <f t="shared" si="0"/>
        <v>0.43</v>
      </c>
      <c r="N22" s="256">
        <f>L22*M22</f>
        <v>1.2986</v>
      </c>
      <c r="O22" s="254">
        <f>N22*K22</f>
        <v>20.7776</v>
      </c>
      <c r="P22" s="247">
        <f t="shared" ref="P22" si="3">P$20*N22</f>
        <v>48741.621675746719</v>
      </c>
      <c r="Q22" s="323">
        <f t="shared" ref="Q22" si="4">P22+Q$20</f>
        <v>58741.621675746719</v>
      </c>
      <c r="R22" s="293">
        <f t="shared" ref="R22" si="5">L22*K22*2</f>
        <v>96.64</v>
      </c>
      <c r="S22" s="46"/>
      <c r="T22" s="9"/>
      <c r="W22" s="4"/>
    </row>
    <row r="23" spans="2:24" ht="17.399999999999999" x14ac:dyDescent="0.3">
      <c r="B23" s="320">
        <v>8</v>
      </c>
      <c r="C23" s="320"/>
      <c r="D23" s="321">
        <v>3</v>
      </c>
      <c r="E23" s="321">
        <v>0.41</v>
      </c>
      <c r="F23" s="320"/>
      <c r="G23" s="322">
        <v>48742</v>
      </c>
      <c r="H23" s="322">
        <f>G23*B23</f>
        <v>389936</v>
      </c>
      <c r="I23" s="260"/>
      <c r="J23" s="47"/>
      <c r="K23" s="324">
        <f>B23</f>
        <v>8</v>
      </c>
      <c r="L23" s="39">
        <f t="shared" si="0"/>
        <v>3.02</v>
      </c>
      <c r="M23" s="39">
        <f t="shared" si="0"/>
        <v>0.43</v>
      </c>
      <c r="N23" s="256">
        <f>L23*M23</f>
        <v>1.2986</v>
      </c>
      <c r="O23" s="254">
        <f>N23*K23</f>
        <v>10.3888</v>
      </c>
      <c r="P23" s="247">
        <f t="shared" ref="P23" si="6">P$20*N23</f>
        <v>48741.621675746719</v>
      </c>
      <c r="Q23" s="323">
        <f t="shared" ref="Q23" si="7">P23+Q$20</f>
        <v>58741.621675746719</v>
      </c>
      <c r="R23" s="293"/>
      <c r="S23" s="46"/>
      <c r="T23" s="9"/>
      <c r="W23" s="4"/>
    </row>
    <row r="24" spans="2:24" ht="17.399999999999999" x14ac:dyDescent="0.3">
      <c r="B24" s="349"/>
      <c r="C24" s="349"/>
      <c r="D24" s="350"/>
      <c r="E24" s="350"/>
      <c r="F24" s="349"/>
      <c r="G24" s="325"/>
      <c r="H24" s="325"/>
      <c r="I24" s="260"/>
      <c r="J24" s="47"/>
      <c r="K24" s="324"/>
      <c r="L24" s="39"/>
      <c r="M24" s="39"/>
      <c r="N24" s="256"/>
      <c r="O24" s="254"/>
      <c r="P24" s="247"/>
      <c r="Q24" s="323"/>
      <c r="R24" s="293"/>
      <c r="S24" s="46"/>
      <c r="T24" s="9"/>
      <c r="W24" s="4"/>
    </row>
    <row r="25" spans="2:24" ht="17.399999999999999" x14ac:dyDescent="0.3">
      <c r="B25" s="349"/>
      <c r="C25" s="349"/>
      <c r="D25" s="350"/>
      <c r="E25" s="350"/>
      <c r="F25" s="349"/>
      <c r="G25" s="325"/>
      <c r="H25" s="325"/>
      <c r="I25" s="260"/>
      <c r="J25" s="47"/>
      <c r="K25" s="324"/>
      <c r="L25" s="39"/>
      <c r="M25" s="39"/>
      <c r="N25" s="256"/>
      <c r="O25" s="254"/>
      <c r="P25" s="247"/>
      <c r="Q25" s="323"/>
      <c r="R25" s="293"/>
      <c r="S25" s="46"/>
      <c r="T25" s="9"/>
      <c r="W25" s="4"/>
    </row>
    <row r="26" spans="2:24" ht="17.399999999999999" x14ac:dyDescent="0.3">
      <c r="B26" s="281"/>
      <c r="C26" s="281"/>
      <c r="D26" s="282"/>
      <c r="E26" s="282"/>
      <c r="F26" s="281"/>
      <c r="G26" s="325"/>
      <c r="H26" s="325"/>
      <c r="I26" s="260"/>
      <c r="J26" s="47"/>
      <c r="K26" s="324"/>
      <c r="L26" s="39"/>
      <c r="M26" s="39"/>
      <c r="N26" s="256"/>
      <c r="O26" s="254"/>
      <c r="P26" s="247"/>
      <c r="Q26" s="323"/>
      <c r="R26" s="293"/>
      <c r="S26" s="46"/>
      <c r="T26" s="9"/>
      <c r="W26" s="4"/>
    </row>
    <row r="27" spans="2:24" ht="17.399999999999999" x14ac:dyDescent="0.3">
      <c r="B27" s="281"/>
      <c r="C27" s="281"/>
      <c r="D27" s="282"/>
      <c r="E27" s="282"/>
      <c r="F27" s="281"/>
      <c r="G27" s="325"/>
      <c r="H27" s="325"/>
      <c r="I27" s="260"/>
      <c r="J27" s="47"/>
      <c r="K27" s="324"/>
      <c r="L27" s="39"/>
      <c r="M27" s="39"/>
      <c r="N27" s="256"/>
      <c r="O27" s="254"/>
      <c r="P27" s="247"/>
      <c r="Q27" s="323"/>
      <c r="R27" s="293"/>
      <c r="S27" s="46"/>
      <c r="T27" s="9"/>
      <c r="W27" s="4"/>
    </row>
    <row r="28" spans="2:24" ht="18" thickBot="1" x14ac:dyDescent="0.35">
      <c r="B28" s="281"/>
      <c r="C28" s="281"/>
      <c r="D28" s="282"/>
      <c r="E28" s="282"/>
      <c r="F28" s="281"/>
      <c r="G28" s="260"/>
      <c r="H28" s="228"/>
      <c r="I28" s="228"/>
      <c r="J28" s="47"/>
      <c r="K28" s="47"/>
      <c r="L28" s="39"/>
      <c r="M28" s="39"/>
      <c r="N28" s="256">
        <v>0</v>
      </c>
      <c r="O28" s="254"/>
      <c r="P28" s="247"/>
      <c r="Q28" s="253"/>
      <c r="R28" s="293"/>
      <c r="S28" s="14"/>
      <c r="T28" s="9"/>
      <c r="W28" s="4"/>
    </row>
    <row r="29" spans="2:24" ht="17.399999999999999" x14ac:dyDescent="0.3">
      <c r="B29" s="281"/>
      <c r="C29" s="281"/>
      <c r="D29" s="282"/>
      <c r="E29" s="282"/>
      <c r="F29" s="281"/>
      <c r="G29" s="294" t="s">
        <v>29</v>
      </c>
      <c r="H29" s="295">
        <f>SUM(H21:H28)</f>
        <v>1656232</v>
      </c>
      <c r="I29" s="260"/>
      <c r="J29" s="47"/>
      <c r="K29" s="47"/>
      <c r="L29" s="39">
        <f>SUM(L21:L28)</f>
        <v>7.83</v>
      </c>
      <c r="M29" s="39"/>
      <c r="N29" s="256"/>
      <c r="O29" s="254"/>
      <c r="P29" s="247"/>
      <c r="Q29" s="253"/>
      <c r="R29" s="293"/>
      <c r="S29" s="46">
        <f>SUM(S21:S28)</f>
        <v>14.48</v>
      </c>
      <c r="T29" s="9"/>
      <c r="W29" s="4"/>
    </row>
    <row r="30" spans="2:24" ht="17.399999999999999" x14ac:dyDescent="0.3">
      <c r="B30" s="275"/>
      <c r="C30" s="278"/>
      <c r="D30" s="279"/>
      <c r="E30" s="279"/>
      <c r="F30" s="280"/>
      <c r="G30" s="292" t="s">
        <v>51</v>
      </c>
      <c r="H30" s="290">
        <f>H29*19%</f>
        <v>314684.08</v>
      </c>
      <c r="I30" s="260"/>
      <c r="J30" s="47"/>
      <c r="K30" s="47"/>
      <c r="L30" s="39"/>
      <c r="M30" s="12"/>
      <c r="N30" s="12"/>
      <c r="O30" s="248">
        <f>SUM(O21:O23)</f>
        <v>44.126000000000005</v>
      </c>
      <c r="P30" s="14"/>
      <c r="Q30" s="12"/>
      <c r="R30" s="234"/>
      <c r="S30" s="46">
        <f>S29*20%</f>
        <v>2.8960000000000004</v>
      </c>
      <c r="T30" s="9"/>
      <c r="W30" s="4"/>
    </row>
    <row r="31" spans="2:24" ht="18" thickBot="1" x14ac:dyDescent="0.35">
      <c r="B31" s="271"/>
      <c r="C31" s="277"/>
      <c r="D31" s="267"/>
      <c r="E31" s="267"/>
      <c r="F31" s="268"/>
      <c r="G31" s="276" t="s">
        <v>6</v>
      </c>
      <c r="H31" s="291">
        <f>H29+H30</f>
        <v>1970916.08</v>
      </c>
      <c r="I31" s="260"/>
      <c r="J31" s="47"/>
      <c r="K31" s="47"/>
      <c r="L31" s="39"/>
      <c r="M31" s="12"/>
      <c r="N31" s="12"/>
      <c r="O31" s="248">
        <f>O30</f>
        <v>44.126000000000005</v>
      </c>
      <c r="P31" s="14"/>
      <c r="Q31" s="12"/>
      <c r="R31" s="234">
        <f>SUM(R21:R30)</f>
        <v>125.28</v>
      </c>
      <c r="S31" s="46">
        <f>S29+S30</f>
        <v>17.376000000000001</v>
      </c>
      <c r="T31" s="9"/>
      <c r="W31" s="4"/>
    </row>
    <row r="32" spans="2:24" ht="17.399999999999999" x14ac:dyDescent="0.3">
      <c r="B32" s="271"/>
      <c r="C32" s="266"/>
      <c r="D32" s="267"/>
      <c r="E32" s="267"/>
      <c r="F32" s="268"/>
      <c r="I32" s="260"/>
      <c r="J32" s="47">
        <v>147074</v>
      </c>
      <c r="K32" s="47"/>
      <c r="L32" s="14"/>
      <c r="M32" s="12"/>
      <c r="N32" s="12"/>
      <c r="O32" s="39">
        <f>O31*20%</f>
        <v>8.8252000000000006</v>
      </c>
      <c r="P32" s="39" t="s">
        <v>123</v>
      </c>
      <c r="Q32" s="42"/>
      <c r="R32" s="235"/>
      <c r="S32" s="14"/>
      <c r="T32" s="9"/>
      <c r="W32" s="4"/>
    </row>
    <row r="33" spans="2:23" ht="17.399999999999999" x14ac:dyDescent="0.3">
      <c r="B33" s="266"/>
      <c r="C33" s="266"/>
      <c r="D33" s="267"/>
      <c r="E33" s="267"/>
      <c r="F33" s="268"/>
      <c r="G33" s="269"/>
      <c r="H33" s="270"/>
      <c r="I33" s="260"/>
      <c r="J33" s="47">
        <v>33749</v>
      </c>
      <c r="K33" s="47"/>
      <c r="L33" s="14"/>
      <c r="M33" s="12"/>
      <c r="N33" s="12"/>
      <c r="O33" s="46">
        <f>O31+O32</f>
        <v>52.951200000000007</v>
      </c>
      <c r="P33" s="14"/>
      <c r="Q33" s="14"/>
      <c r="R33" s="233">
        <v>40</v>
      </c>
      <c r="S33" s="14"/>
      <c r="T33" s="9"/>
      <c r="W33" s="4"/>
    </row>
    <row r="34" spans="2:23" ht="17.399999999999999" x14ac:dyDescent="0.35">
      <c r="B34" s="264"/>
      <c r="C34" s="225"/>
      <c r="D34" s="225"/>
      <c r="E34" s="228"/>
      <c r="F34" s="229"/>
      <c r="G34" s="225"/>
      <c r="H34" s="270"/>
      <c r="I34" s="260"/>
      <c r="J34" s="47">
        <v>94650</v>
      </c>
      <c r="K34" s="47"/>
      <c r="L34" s="14"/>
      <c r="M34" s="14"/>
      <c r="N34" s="14"/>
      <c r="O34" s="14"/>
      <c r="P34" s="14"/>
      <c r="Q34" s="14"/>
      <c r="R34" s="233"/>
      <c r="S34" s="14"/>
      <c r="T34" s="300" t="s">
        <v>22</v>
      </c>
      <c r="U34" s="297" t="s">
        <v>144</v>
      </c>
      <c r="V34" s="301">
        <v>44971</v>
      </c>
      <c r="W34" s="302"/>
    </row>
    <row r="35" spans="2:23" ht="17.399999999999999" x14ac:dyDescent="0.35">
      <c r="B35" s="230"/>
      <c r="C35" s="231"/>
      <c r="D35" s="232"/>
      <c r="E35" s="230"/>
      <c r="F35" s="225"/>
      <c r="G35" s="225"/>
      <c r="I35" s="260"/>
      <c r="J35" s="47">
        <f>SUM(J32:J34)</f>
        <v>275473</v>
      </c>
      <c r="K35" s="47"/>
      <c r="L35" s="39">
        <f>O33</f>
        <v>52.951200000000007</v>
      </c>
      <c r="M35" s="12">
        <v>3500</v>
      </c>
      <c r="N35" s="12">
        <f t="shared" ref="N35:N40" si="8">L35*M35</f>
        <v>185329.2</v>
      </c>
      <c r="O35" s="14" t="s">
        <v>22</v>
      </c>
      <c r="P35" s="14"/>
      <c r="Q35" s="14"/>
      <c r="R35" s="236"/>
      <c r="S35" s="14"/>
      <c r="T35" s="300" t="s">
        <v>145</v>
      </c>
      <c r="U35" s="297">
        <v>3625</v>
      </c>
      <c r="V35" s="59" t="s">
        <v>146</v>
      </c>
      <c r="W35" s="302"/>
    </row>
    <row r="36" spans="2:23" ht="17.399999999999999" x14ac:dyDescent="0.35">
      <c r="B36" s="225"/>
      <c r="C36" s="225"/>
      <c r="D36" s="225"/>
      <c r="E36" s="225"/>
      <c r="F36" s="225"/>
      <c r="G36" s="225"/>
      <c r="I36" s="260"/>
      <c r="J36" s="47"/>
      <c r="K36" s="47"/>
      <c r="L36" s="244">
        <v>5</v>
      </c>
      <c r="M36" s="12">
        <v>25000</v>
      </c>
      <c r="N36" s="12">
        <f t="shared" si="8"/>
        <v>125000</v>
      </c>
      <c r="O36" s="39" t="s">
        <v>31</v>
      </c>
      <c r="P36" s="42"/>
      <c r="Q36" s="14"/>
      <c r="R36" s="235"/>
      <c r="S36" s="14"/>
      <c r="T36" s="300"/>
      <c r="U36" s="59">
        <v>906.25</v>
      </c>
      <c r="V36" s="59" t="s">
        <v>147</v>
      </c>
      <c r="W36" s="302"/>
    </row>
    <row r="37" spans="2:23" s="225" customFormat="1" ht="17.399999999999999" x14ac:dyDescent="0.35">
      <c r="I37" s="257"/>
      <c r="J37" s="227"/>
      <c r="K37" s="245"/>
      <c r="L37" s="14">
        <v>5</v>
      </c>
      <c r="M37" s="245">
        <v>11500</v>
      </c>
      <c r="N37" s="12">
        <f t="shared" si="8"/>
        <v>57500</v>
      </c>
      <c r="O37" s="39" t="s">
        <v>187</v>
      </c>
      <c r="P37" s="42"/>
      <c r="R37" s="235"/>
      <c r="S37" s="251"/>
      <c r="T37" s="59"/>
      <c r="U37" s="59">
        <f>U36*20%</f>
        <v>181.25</v>
      </c>
      <c r="V37" s="302" t="s">
        <v>148</v>
      </c>
      <c r="W37" s="59"/>
    </row>
    <row r="38" spans="2:23" s="225" customFormat="1" ht="17.399999999999999" x14ac:dyDescent="0.35">
      <c r="B38" s="24" t="s">
        <v>143</v>
      </c>
      <c r="I38" s="257"/>
      <c r="J38" s="227"/>
      <c r="K38" s="245"/>
      <c r="L38" s="14">
        <v>11</v>
      </c>
      <c r="M38" s="245">
        <v>35000</v>
      </c>
      <c r="N38" s="12">
        <f t="shared" si="8"/>
        <v>385000</v>
      </c>
      <c r="O38" s="14" t="s">
        <v>161</v>
      </c>
      <c r="P38" s="17"/>
      <c r="R38" s="233"/>
      <c r="S38" s="251"/>
      <c r="T38" s="59"/>
      <c r="U38" s="59">
        <f>U36+U37</f>
        <v>1087.5</v>
      </c>
      <c r="V38" s="302" t="s">
        <v>149</v>
      </c>
      <c r="W38" s="59"/>
    </row>
    <row r="39" spans="2:23" s="225" customFormat="1" ht="17.399999999999999" x14ac:dyDescent="0.35">
      <c r="B39" s="24" t="s">
        <v>136</v>
      </c>
      <c r="C39"/>
      <c r="D39"/>
      <c r="E39"/>
      <c r="F39"/>
      <c r="I39" s="257"/>
      <c r="J39" s="225">
        <v>27000</v>
      </c>
      <c r="K39" s="245"/>
      <c r="L39" s="244"/>
      <c r="M39" s="245">
        <v>300</v>
      </c>
      <c r="N39" s="12">
        <f t="shared" si="8"/>
        <v>0</v>
      </c>
      <c r="O39" s="14" t="s">
        <v>32</v>
      </c>
      <c r="P39" s="14"/>
      <c r="Q39" s="225">
        <v>1.52</v>
      </c>
      <c r="R39" s="233"/>
      <c r="S39" s="233"/>
    </row>
    <row r="40" spans="2:23" s="225" customFormat="1" ht="17.399999999999999" x14ac:dyDescent="0.35">
      <c r="B40" s="29" t="s">
        <v>118</v>
      </c>
      <c r="C40"/>
      <c r="D40"/>
      <c r="E40"/>
      <c r="F40" s="224" t="s">
        <v>16</v>
      </c>
      <c r="I40" s="289"/>
      <c r="J40" s="225">
        <f>J39*19%</f>
        <v>5130</v>
      </c>
      <c r="K40" s="245"/>
      <c r="L40" s="261"/>
      <c r="M40" s="12">
        <v>1500</v>
      </c>
      <c r="N40" s="12">
        <f t="shared" si="8"/>
        <v>0</v>
      </c>
      <c r="O40" s="14" t="s">
        <v>23</v>
      </c>
      <c r="P40" s="14"/>
      <c r="Q40">
        <v>2.44</v>
      </c>
      <c r="R40"/>
      <c r="S40" s="233"/>
      <c r="W40" s="226"/>
    </row>
    <row r="41" spans="2:23" s="225" customFormat="1" ht="17.399999999999999" x14ac:dyDescent="0.35">
      <c r="I41" s="225" t="s">
        <v>158</v>
      </c>
      <c r="J41" s="225">
        <f>J39+J40</f>
        <v>32130</v>
      </c>
      <c r="K41" s="245"/>
      <c r="L41" s="14"/>
      <c r="M41" s="12"/>
      <c r="N41" s="12">
        <f>SUM(N35:N40)</f>
        <v>752829.2</v>
      </c>
      <c r="O41" s="39" t="s">
        <v>24</v>
      </c>
      <c r="P41" s="14"/>
      <c r="Q41">
        <f>Q39*Q40</f>
        <v>3.7088000000000001</v>
      </c>
      <c r="R41"/>
      <c r="S41" s="233"/>
      <c r="W41" s="226"/>
    </row>
    <row r="42" spans="2:23" s="225" customFormat="1" ht="17.399999999999999" x14ac:dyDescent="0.35">
      <c r="K42" s="245"/>
      <c r="L42" s="249" t="s">
        <v>33</v>
      </c>
      <c r="M42" s="12"/>
      <c r="N42" s="250">
        <f>N41*2.2</f>
        <v>1656224.24</v>
      </c>
      <c r="O42" s="14" t="s">
        <v>133</v>
      </c>
      <c r="P42" s="14"/>
      <c r="Q42" s="40">
        <f>O33/Q41</f>
        <v>14.277178602243314</v>
      </c>
      <c r="R42"/>
      <c r="S42" s="252"/>
    </row>
    <row r="43" spans="2:23" s="225" customFormat="1" ht="17.399999999999999" x14ac:dyDescent="0.35">
      <c r="G43"/>
      <c r="H43" s="255"/>
      <c r="I43" s="225" t="s">
        <v>157</v>
      </c>
      <c r="J43" s="225">
        <v>23560</v>
      </c>
      <c r="K43" s="245">
        <v>0</v>
      </c>
      <c r="L43" s="14"/>
      <c r="M43" s="12"/>
      <c r="N43" s="12">
        <f>N42/O31</f>
        <v>37533.97634047953</v>
      </c>
      <c r="O43" s="45" t="s">
        <v>25</v>
      </c>
      <c r="P43" s="14"/>
      <c r="Q43" s="14"/>
      <c r="R43"/>
      <c r="S43" s="233"/>
      <c r="T43" s="59" t="s">
        <v>150</v>
      </c>
      <c r="U43" s="297">
        <v>43650</v>
      </c>
    </row>
    <row r="44" spans="2:23" s="225" customFormat="1" ht="17.399999999999999" x14ac:dyDescent="0.35">
      <c r="G44"/>
      <c r="J44" s="225">
        <f>J43/1.19</f>
        <v>19798.319327731093</v>
      </c>
      <c r="K44" s="245"/>
      <c r="L44" s="13"/>
      <c r="M44" s="14"/>
      <c r="N44" s="17">
        <f>N42/N41</f>
        <v>2.2000000000000002</v>
      </c>
      <c r="O44" s="15"/>
      <c r="P44"/>
      <c r="Q44"/>
      <c r="R44"/>
      <c r="S44" s="233"/>
      <c r="T44" s="59" t="s">
        <v>152</v>
      </c>
      <c r="U44" s="298" t="s">
        <v>151</v>
      </c>
      <c r="V44" s="59">
        <v>2.4</v>
      </c>
    </row>
    <row r="45" spans="2:23" s="225" customFormat="1" ht="17.399999999999999" x14ac:dyDescent="0.35">
      <c r="G45" s="23"/>
      <c r="K45" s="12"/>
      <c r="S45" s="233"/>
      <c r="T45" s="59" t="s">
        <v>153</v>
      </c>
      <c r="U45" s="299">
        <v>395.37</v>
      </c>
    </row>
    <row r="46" spans="2:23" s="225" customFormat="1" ht="17.399999999999999" x14ac:dyDescent="0.35">
      <c r="B46"/>
      <c r="C46" s="223"/>
      <c r="D46" s="22"/>
      <c r="E46" s="22"/>
      <c r="F46" s="21"/>
      <c r="G46" s="23"/>
      <c r="I46" s="225" t="s">
        <v>159</v>
      </c>
      <c r="K46" s="12"/>
      <c r="S46" s="233"/>
      <c r="T46" s="59" t="s">
        <v>148</v>
      </c>
      <c r="U46" s="59">
        <v>474.45</v>
      </c>
    </row>
    <row r="47" spans="2:23" ht="14.4" customHeight="1" x14ac:dyDescent="0.3">
      <c r="I47" t="s">
        <v>160</v>
      </c>
      <c r="J47">
        <v>8990</v>
      </c>
      <c r="K47" s="12"/>
      <c r="T47" s="59"/>
      <c r="U47" s="59"/>
    </row>
    <row r="48" spans="2:23" x14ac:dyDescent="0.3">
      <c r="K48" s="245"/>
    </row>
    <row r="49" spans="9:19" x14ac:dyDescent="0.3">
      <c r="I49">
        <v>46850</v>
      </c>
      <c r="K49" s="245"/>
      <c r="S49" s="265"/>
    </row>
    <row r="50" spans="9:19" x14ac:dyDescent="0.3">
      <c r="K50" s="245"/>
    </row>
    <row r="51" spans="9:19" ht="15" customHeight="1" x14ac:dyDescent="0.3">
      <c r="I51">
        <f>I49/1.19</f>
        <v>39369.747899159665</v>
      </c>
    </row>
    <row r="53" spans="9:19" x14ac:dyDescent="0.3">
      <c r="N53">
        <v>40935</v>
      </c>
      <c r="O53" t="s">
        <v>17</v>
      </c>
      <c r="P53" t="s">
        <v>27</v>
      </c>
    </row>
    <row r="55" spans="9:19" x14ac:dyDescent="0.3">
      <c r="N55" s="54"/>
      <c r="O55" s="54"/>
    </row>
    <row r="56" spans="9:19" x14ac:dyDescent="0.3">
      <c r="R56" s="18"/>
      <c r="S56" s="18"/>
    </row>
    <row r="57" spans="9:19" x14ac:dyDescent="0.3">
      <c r="R57" s="18"/>
      <c r="S57" s="18"/>
    </row>
    <row r="58" spans="9:19" x14ac:dyDescent="0.3">
      <c r="R58" s="18"/>
      <c r="S58" s="18"/>
    </row>
    <row r="59" spans="9:19" x14ac:dyDescent="0.3">
      <c r="R59" s="18"/>
      <c r="S59" s="18"/>
    </row>
    <row r="60" spans="9:19" x14ac:dyDescent="0.3">
      <c r="R60" s="18"/>
      <c r="S60" s="18"/>
    </row>
    <row r="61" spans="9:19" x14ac:dyDescent="0.3">
      <c r="R61" s="18"/>
      <c r="S61" s="18"/>
    </row>
    <row r="62" spans="9:19" x14ac:dyDescent="0.3">
      <c r="R62" s="18"/>
      <c r="S62" s="18"/>
    </row>
    <row r="63" spans="9:19" x14ac:dyDescent="0.3">
      <c r="R63" s="18"/>
      <c r="S63" s="18"/>
    </row>
    <row r="64" spans="9:19" x14ac:dyDescent="0.3">
      <c r="R64" s="18"/>
      <c r="S64" s="18"/>
    </row>
    <row r="67" spans="3:14" x14ac:dyDescent="0.3">
      <c r="N67" s="43"/>
    </row>
    <row r="68" spans="3:14" x14ac:dyDescent="0.3">
      <c r="N68" s="43"/>
    </row>
    <row r="69" spans="3:14" x14ac:dyDescent="0.3">
      <c r="N69" s="6"/>
    </row>
    <row r="70" spans="3:14" x14ac:dyDescent="0.3">
      <c r="N70" s="6"/>
    </row>
    <row r="78" spans="3:14" x14ac:dyDescent="0.3">
      <c r="C78" t="s">
        <v>140</v>
      </c>
    </row>
    <row r="79" spans="3:14" x14ac:dyDescent="0.3">
      <c r="C79" t="s">
        <v>139</v>
      </c>
    </row>
    <row r="82" spans="3:3" x14ac:dyDescent="0.3">
      <c r="C82" t="s">
        <v>139</v>
      </c>
    </row>
    <row r="159" spans="3:3" x14ac:dyDescent="0.3">
      <c r="C159" t="s">
        <v>139</v>
      </c>
    </row>
    <row r="160" spans="3:3" x14ac:dyDescent="0.3">
      <c r="C160" t="s">
        <v>141</v>
      </c>
    </row>
    <row r="161" spans="3:3" x14ac:dyDescent="0.3">
      <c r="C161" t="s">
        <v>142</v>
      </c>
    </row>
    <row r="586" spans="3:3" x14ac:dyDescent="0.3">
      <c r="C586" t="s">
        <v>139</v>
      </c>
    </row>
  </sheetData>
  <mergeCells count="2">
    <mergeCell ref="F17:H17"/>
    <mergeCell ref="B19:H19"/>
  </mergeCells>
  <phoneticPr fontId="34" type="noConversion"/>
  <hyperlinks>
    <hyperlink ref="F40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3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65"/>
  <sheetViews>
    <sheetView topLeftCell="A11" workbookViewId="0">
      <selection activeCell="D33" sqref="D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6" t="s">
        <v>103</v>
      </c>
      <c r="C2" s="48"/>
      <c r="D2" s="48"/>
      <c r="E2" s="145"/>
      <c r="F2" s="6"/>
    </row>
    <row r="3" spans="2:31" ht="18" x14ac:dyDescent="0.35">
      <c r="E3" s="144"/>
      <c r="F3" s="143"/>
    </row>
    <row r="5" spans="2:31" ht="15.6" x14ac:dyDescent="0.3">
      <c r="B5" s="139" t="s">
        <v>0</v>
      </c>
      <c r="C5" s="142">
        <f>'2229'!G10</f>
        <v>45786</v>
      </c>
    </row>
    <row r="6" spans="2:31" ht="16.2" thickBot="1" x14ac:dyDescent="0.35">
      <c r="B6" s="139" t="s">
        <v>2</v>
      </c>
      <c r="C6" s="138" t="str">
        <f>'2229'!C10</f>
        <v>WILDER MUEBLES</v>
      </c>
      <c r="D6" s="137"/>
      <c r="E6" s="137"/>
      <c r="F6" s="137"/>
      <c r="N6" s="75" t="s">
        <v>102</v>
      </c>
      <c r="O6" s="75"/>
      <c r="P6" s="141" t="s">
        <v>101</v>
      </c>
      <c r="Q6" s="141"/>
    </row>
    <row r="7" spans="2:31" ht="16.2" thickBot="1" x14ac:dyDescent="0.35">
      <c r="B7" s="139" t="s">
        <v>3</v>
      </c>
      <c r="C7" s="138" t="e">
        <f>'2229'!#REF!</f>
        <v>#REF!</v>
      </c>
      <c r="D7" s="137"/>
      <c r="E7" s="137"/>
      <c r="F7" s="137"/>
      <c r="H7" s="343" t="s">
        <v>96</v>
      </c>
      <c r="I7" s="344"/>
      <c r="J7" s="344"/>
      <c r="K7" s="345"/>
      <c r="N7" s="75"/>
      <c r="O7" s="342" t="s">
        <v>100</v>
      </c>
      <c r="P7" s="140" t="s">
        <v>99</v>
      </c>
      <c r="Q7" s="140"/>
    </row>
    <row r="8" spans="2:31" ht="16.2" thickBot="1" x14ac:dyDescent="0.35">
      <c r="B8" s="139" t="s">
        <v>98</v>
      </c>
      <c r="C8" s="138" t="str">
        <f>'2229'!D8</f>
        <v>N° 11427</v>
      </c>
      <c r="D8" s="137"/>
      <c r="E8" s="137"/>
      <c r="F8" s="137"/>
      <c r="H8" s="181" t="s">
        <v>113</v>
      </c>
      <c r="I8" s="153" t="s">
        <v>112</v>
      </c>
      <c r="J8" s="222" t="s">
        <v>93</v>
      </c>
      <c r="K8" s="134" t="s">
        <v>6</v>
      </c>
      <c r="L8" s="133" t="s">
        <v>6</v>
      </c>
      <c r="N8" s="75"/>
      <c r="O8" s="342"/>
      <c r="P8" s="75" t="s">
        <v>97</v>
      </c>
      <c r="Q8" s="75"/>
      <c r="X8">
        <f>SUM(Q11:Q16)</f>
        <v>6</v>
      </c>
    </row>
    <row r="9" spans="2:31" ht="16.2" thickBot="1" x14ac:dyDescent="0.35">
      <c r="B9" s="139" t="s">
        <v>175</v>
      </c>
      <c r="C9">
        <f>SUM('2229'!L29)</f>
        <v>7.83</v>
      </c>
      <c r="H9" s="194" t="s">
        <v>94</v>
      </c>
      <c r="I9" s="195" t="s">
        <v>111</v>
      </c>
      <c r="J9" s="182" t="s">
        <v>90</v>
      </c>
      <c r="K9" s="155"/>
      <c r="L9" s="101">
        <f>SUM(K10:K23)</f>
        <v>15385.7</v>
      </c>
      <c r="S9" s="28" t="s">
        <v>9</v>
      </c>
      <c r="T9" s="28"/>
      <c r="W9" s="8"/>
      <c r="X9" s="175">
        <f>(E15-D11)/X8</f>
        <v>-166616.05050724637</v>
      </c>
    </row>
    <row r="10" spans="2:31" ht="16.2" thickBot="1" x14ac:dyDescent="0.35">
      <c r="B10" s="139" t="s">
        <v>178</v>
      </c>
      <c r="C10">
        <f>SUM('2229'!M21:M28)</f>
        <v>1.7649999999999999</v>
      </c>
      <c r="D10" s="213" t="s">
        <v>29</v>
      </c>
      <c r="E10" s="214" t="s">
        <v>51</v>
      </c>
      <c r="F10" s="215" t="s">
        <v>6</v>
      </c>
      <c r="H10" s="188">
        <f>C9</f>
        <v>7.83</v>
      </c>
      <c r="I10" s="199">
        <v>300</v>
      </c>
      <c r="J10" s="196" t="s">
        <v>32</v>
      </c>
      <c r="K10" s="156">
        <f t="shared" ref="K10:K23" si="0">I10*H10</f>
        <v>2349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5"/>
      <c r="AB10" s="6"/>
      <c r="AC10" s="14"/>
      <c r="AD10" s="221"/>
      <c r="AE10" s="10"/>
    </row>
    <row r="11" spans="2:31" ht="16.2" thickBot="1" x14ac:dyDescent="0.35">
      <c r="C11" s="206" t="s">
        <v>91</v>
      </c>
      <c r="D11" s="132">
        <f>'2229'!H29</f>
        <v>1656232</v>
      </c>
      <c r="E11" s="131">
        <f>D11*0.19</f>
        <v>314684.08</v>
      </c>
      <c r="F11" s="130">
        <f>E11+D11</f>
        <v>1970916.08</v>
      </c>
      <c r="H11" s="189">
        <f>C9</f>
        <v>7.83</v>
      </c>
      <c r="I11" s="173">
        <v>1500</v>
      </c>
      <c r="J11" s="147" t="s">
        <v>23</v>
      </c>
      <c r="K11" s="157">
        <f t="shared" si="0"/>
        <v>11745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5">
        <f t="shared" ref="X11:X16" si="2">V11+$X$9</f>
        <v>-60626.050507246371</v>
      </c>
      <c r="Y11" s="174">
        <v>108990</v>
      </c>
      <c r="AA11" s="6"/>
      <c r="AB11" s="6"/>
      <c r="AC11" s="220"/>
      <c r="AD11" s="53"/>
      <c r="AE11" s="217"/>
    </row>
    <row r="12" spans="2:31" ht="16.2" thickBot="1" x14ac:dyDescent="0.35">
      <c r="C12" s="136" t="s">
        <v>95</v>
      </c>
      <c r="D12" s="135">
        <f>SUM(M52:M54)</f>
        <v>397900.42239789199</v>
      </c>
      <c r="F12" s="61"/>
      <c r="H12" s="189">
        <v>0</v>
      </c>
      <c r="I12" s="173">
        <v>7500</v>
      </c>
      <c r="J12" s="149" t="s">
        <v>109</v>
      </c>
      <c r="K12" s="157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5">
        <f t="shared" si="2"/>
        <v>-78626.050507246371</v>
      </c>
      <c r="Y12" s="174">
        <v>89990</v>
      </c>
      <c r="Z12" s="2"/>
      <c r="AA12" s="218"/>
      <c r="AB12" s="219"/>
      <c r="AC12" s="220"/>
      <c r="AD12" s="53"/>
      <c r="AE12" s="217"/>
    </row>
    <row r="13" spans="2:31" ht="16.2" thickBot="1" x14ac:dyDescent="0.35">
      <c r="C13" s="207" t="s">
        <v>89</v>
      </c>
      <c r="D13" s="212">
        <f>D11-D12</f>
        <v>1258331.577602108</v>
      </c>
      <c r="E13" s="216">
        <f>(D11/D12)-1</f>
        <v>3.1624283533526967</v>
      </c>
      <c r="H13" s="189">
        <v>0</v>
      </c>
      <c r="I13" s="173">
        <v>50</v>
      </c>
      <c r="J13" s="149" t="s">
        <v>110</v>
      </c>
      <c r="K13" s="157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5">
        <f t="shared" si="2"/>
        <v>-87626.050507246371</v>
      </c>
      <c r="Y13" s="174">
        <v>81990</v>
      </c>
      <c r="Z13" s="2"/>
      <c r="AA13" s="218"/>
      <c r="AB13" s="219"/>
      <c r="AC13" s="220"/>
      <c r="AD13" s="53"/>
      <c r="AE13" s="217"/>
    </row>
    <row r="14" spans="2:31" ht="15" thickBot="1" x14ac:dyDescent="0.35">
      <c r="D14" s="145" t="s">
        <v>115</v>
      </c>
      <c r="E14" s="178" t="s">
        <v>29</v>
      </c>
      <c r="F14" s="177" t="s">
        <v>108</v>
      </c>
      <c r="H14" s="189">
        <f>IF('2229'!G14="SI",(I14*C9),0)</f>
        <v>0</v>
      </c>
      <c r="I14" s="173">
        <v>50</v>
      </c>
      <c r="J14" s="149" t="s">
        <v>177</v>
      </c>
      <c r="K14" s="157">
        <f t="shared" si="0"/>
        <v>0</v>
      </c>
      <c r="L14" s="61"/>
      <c r="P14" s="125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5">
        <f t="shared" si="2"/>
        <v>-126626.05050724637</v>
      </c>
      <c r="Y14" s="174">
        <v>39990</v>
      </c>
      <c r="Z14" s="2"/>
      <c r="AA14" s="218"/>
      <c r="AB14" s="219"/>
      <c r="AC14" s="220"/>
      <c r="AD14" s="53"/>
      <c r="AE14" s="217"/>
    </row>
    <row r="15" spans="2:31" ht="15" thickBot="1" x14ac:dyDescent="0.35">
      <c r="C15" s="208" t="s">
        <v>114</v>
      </c>
      <c r="D15" s="209">
        <v>0.65</v>
      </c>
      <c r="E15" s="210">
        <f>(100%+D15)*D12</f>
        <v>656535.69695652172</v>
      </c>
      <c r="F15" s="211">
        <f>E15-D12</f>
        <v>258635.27455862972</v>
      </c>
      <c r="H15" s="189">
        <f>C9</f>
        <v>7.83</v>
      </c>
      <c r="I15" s="173">
        <v>22</v>
      </c>
      <c r="J15" s="149" t="s">
        <v>176</v>
      </c>
      <c r="K15" s="157">
        <f t="shared" si="0"/>
        <v>172.26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5">
        <f t="shared" si="2"/>
        <v>-126626.05050724637</v>
      </c>
      <c r="Y15" s="174">
        <v>39990</v>
      </c>
      <c r="Z15" s="100"/>
      <c r="AA15" s="100"/>
      <c r="AB15" s="123"/>
      <c r="AD15" s="40"/>
      <c r="AE15" s="41"/>
    </row>
    <row r="16" spans="2:31" ht="15" thickBot="1" x14ac:dyDescent="0.35">
      <c r="H16" s="190">
        <v>12</v>
      </c>
      <c r="I16" s="197">
        <v>2</v>
      </c>
      <c r="J16" s="147" t="s">
        <v>88</v>
      </c>
      <c r="K16" s="157">
        <f t="shared" si="0"/>
        <v>24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5">
        <f t="shared" si="2"/>
        <v>-86626.050507246371</v>
      </c>
      <c r="Y16" s="174">
        <v>83990</v>
      </c>
      <c r="Z16" s="100"/>
      <c r="AA16" s="100"/>
      <c r="AB16" s="39"/>
      <c r="AC16" s="39"/>
      <c r="AD16" s="42"/>
      <c r="AE16" s="42"/>
    </row>
    <row r="17" spans="1:31" ht="15" thickBot="1" x14ac:dyDescent="0.35">
      <c r="B17" s="129" t="s">
        <v>86</v>
      </c>
      <c r="C17" s="128" t="s">
        <v>85</v>
      </c>
      <c r="D17" s="128" t="s">
        <v>29</v>
      </c>
      <c r="E17" s="127" t="s">
        <v>51</v>
      </c>
      <c r="F17" s="126" t="s">
        <v>6</v>
      </c>
      <c r="H17" s="191">
        <v>12</v>
      </c>
      <c r="I17" s="197">
        <v>11</v>
      </c>
      <c r="J17" s="187" t="s">
        <v>87</v>
      </c>
      <c r="K17" s="157">
        <f t="shared" si="0"/>
        <v>132</v>
      </c>
      <c r="L17" s="61"/>
      <c r="N17">
        <f>25000/1.19</f>
        <v>21008.403361344539</v>
      </c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5"/>
      <c r="Y17" s="14"/>
      <c r="Z17" s="100"/>
      <c r="AA17" s="100"/>
      <c r="AB17" s="46"/>
    </row>
    <row r="18" spans="1:31" x14ac:dyDescent="0.3">
      <c r="C18" s="124" t="s">
        <v>83</v>
      </c>
      <c r="D18" s="121">
        <f>'2229'!N37</f>
        <v>57500</v>
      </c>
      <c r="E18" s="122">
        <f>D18*0.19</f>
        <v>10925</v>
      </c>
      <c r="F18" s="119">
        <f>SUM(D18:E18)</f>
        <v>68425</v>
      </c>
      <c r="H18" s="190">
        <f>C9</f>
        <v>7.83</v>
      </c>
      <c r="I18" s="197">
        <v>90</v>
      </c>
      <c r="J18" s="183" t="s">
        <v>84</v>
      </c>
      <c r="K18" s="157">
        <f t="shared" si="0"/>
        <v>704.7</v>
      </c>
      <c r="L18" s="61"/>
      <c r="N18">
        <f>N17/25</f>
        <v>840.3361344537816</v>
      </c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5"/>
    </row>
    <row r="19" spans="1:31" x14ac:dyDescent="0.3">
      <c r="C19" s="79" t="s">
        <v>31</v>
      </c>
      <c r="D19" s="121">
        <f>'2229'!N36</f>
        <v>125000</v>
      </c>
      <c r="E19" s="122">
        <f>D19*0.19</f>
        <v>23750</v>
      </c>
      <c r="F19" s="119">
        <f>SUM(D19:E19)</f>
        <v>148750</v>
      </c>
      <c r="H19" s="190">
        <f>C9</f>
        <v>7.83</v>
      </c>
      <c r="I19" s="197">
        <v>2</v>
      </c>
      <c r="J19" s="183" t="s">
        <v>82</v>
      </c>
      <c r="K19" s="157">
        <f t="shared" si="0"/>
        <v>15.66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5"/>
      <c r="Y19" s="175">
        <f>SUM(Y11:Y16)+SUM(W17:W18)</f>
        <v>484940</v>
      </c>
    </row>
    <row r="20" spans="1:31" ht="15" thickBot="1" x14ac:dyDescent="0.35">
      <c r="A20" s="80"/>
      <c r="C20" s="74" t="s">
        <v>22</v>
      </c>
      <c r="D20" s="121">
        <f>'2229'!N35</f>
        <v>185329.2</v>
      </c>
      <c r="E20" s="120">
        <f>D20*0.19</f>
        <v>35212.548000000003</v>
      </c>
      <c r="F20" s="119">
        <f>SUM(D20:E20)</f>
        <v>220541.74800000002</v>
      </c>
      <c r="H20" s="190">
        <f>IF('2229'!G14="SI",C9,0)</f>
        <v>0</v>
      </c>
      <c r="I20" s="197">
        <v>841</v>
      </c>
      <c r="J20" s="183" t="s">
        <v>81</v>
      </c>
      <c r="K20" s="157">
        <f t="shared" si="0"/>
        <v>0</v>
      </c>
      <c r="V20" s="31" t="s">
        <v>30</v>
      </c>
      <c r="W20" s="35">
        <f>W19*19%</f>
        <v>89858.6</v>
      </c>
      <c r="X20" s="105"/>
      <c r="Y20" s="176">
        <f>Y19*0.19</f>
        <v>92138.6</v>
      </c>
      <c r="Z20" s="100"/>
      <c r="AA20" s="100"/>
      <c r="AB20" s="14"/>
      <c r="AC20" s="14"/>
      <c r="AE20" s="3"/>
    </row>
    <row r="21" spans="1:31" ht="15" thickBot="1" x14ac:dyDescent="0.35">
      <c r="A21" s="80">
        <f>950000*1.2</f>
        <v>1140000</v>
      </c>
      <c r="B21" s="118"/>
      <c r="C21" s="117" t="s">
        <v>6</v>
      </c>
      <c r="D21" s="116">
        <f>SUM(D18:D20)</f>
        <v>367829.2</v>
      </c>
      <c r="E21" s="115">
        <f>SUM(E18:E20)</f>
        <v>69887.54800000001</v>
      </c>
      <c r="F21" s="114">
        <f>SUM(F18:F20)</f>
        <v>437716.74800000002</v>
      </c>
      <c r="H21" s="190">
        <f>C9</f>
        <v>7.83</v>
      </c>
      <c r="I21" s="197">
        <v>21</v>
      </c>
      <c r="J21" s="183" t="s">
        <v>80</v>
      </c>
      <c r="K21" s="157">
        <f t="shared" si="0"/>
        <v>164.43</v>
      </c>
      <c r="M21" s="152"/>
      <c r="Q21" s="50" t="s">
        <v>39</v>
      </c>
      <c r="R21" s="50"/>
      <c r="S21" s="50"/>
      <c r="V21" s="32" t="s">
        <v>6</v>
      </c>
      <c r="W21" s="35">
        <f>W19+W20</f>
        <v>562798.6</v>
      </c>
      <c r="X21" s="105"/>
      <c r="Y21" s="176">
        <f>SUM(Y19:Y20)</f>
        <v>577078.6</v>
      </c>
      <c r="Z21" s="100"/>
      <c r="AA21" s="100"/>
      <c r="AB21" s="39"/>
      <c r="AC21" s="4"/>
      <c r="AE21" s="4"/>
    </row>
    <row r="22" spans="1:31" ht="15" thickBot="1" x14ac:dyDescent="0.35">
      <c r="A22" s="80">
        <f>950000*1.2</f>
        <v>1140000</v>
      </c>
      <c r="B22" s="113" t="s">
        <v>78</v>
      </c>
      <c r="C22" s="112" t="s">
        <v>77</v>
      </c>
      <c r="D22" s="111" t="s">
        <v>76</v>
      </c>
      <c r="E22" s="110" t="s">
        <v>75</v>
      </c>
      <c r="F22" s="109" t="s">
        <v>6</v>
      </c>
      <c r="H22" s="336">
        <f>E33</f>
        <v>0.54999999999999993</v>
      </c>
      <c r="I22" s="197">
        <v>143</v>
      </c>
      <c r="J22" s="147" t="s">
        <v>79</v>
      </c>
      <c r="K22" s="157">
        <f t="shared" si="0"/>
        <v>78.649999999999991</v>
      </c>
      <c r="M22" s="104"/>
      <c r="N22" s="58"/>
      <c r="Q22" s="50" t="s">
        <v>34</v>
      </c>
      <c r="R22" s="50"/>
      <c r="S22" s="50"/>
      <c r="T22" s="50"/>
      <c r="X22" s="95"/>
      <c r="Y22" s="14"/>
      <c r="Z22" s="100"/>
      <c r="AA22" s="100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2">
        <f>A21/22</f>
        <v>51818.181818181816</v>
      </c>
      <c r="C23" s="82" t="s">
        <v>26</v>
      </c>
      <c r="D23" s="108">
        <f t="shared" ref="D23:D29" si="3">B23/8</f>
        <v>6477.272727272727</v>
      </c>
      <c r="E23" s="107">
        <v>0.1</v>
      </c>
      <c r="F23" s="106">
        <f t="shared" ref="F23:F32" si="4">D23*E23</f>
        <v>647.72727272727275</v>
      </c>
      <c r="H23" s="192">
        <f>IF('2229'!G14="SI",((C10*3)*3),0)</f>
        <v>0</v>
      </c>
      <c r="I23" s="198">
        <v>13</v>
      </c>
      <c r="J23" s="184" t="s">
        <v>74</v>
      </c>
      <c r="K23" s="157">
        <f t="shared" si="0"/>
        <v>0</v>
      </c>
      <c r="M23" s="104"/>
      <c r="N23" s="58"/>
      <c r="Q23" s="50" t="s">
        <v>28</v>
      </c>
      <c r="R23" s="50"/>
      <c r="X23" s="103"/>
      <c r="Y23" s="27"/>
      <c r="Z23" s="100"/>
      <c r="AA23" s="100"/>
      <c r="AB23" s="14"/>
      <c r="AC23" s="11"/>
      <c r="AD23" s="43"/>
    </row>
    <row r="24" spans="1:31" ht="15" thickBot="1" x14ac:dyDescent="0.35">
      <c r="A24" s="80">
        <v>1300000</v>
      </c>
      <c r="B24" s="102">
        <f>A22/22</f>
        <v>51818.181818181816</v>
      </c>
      <c r="C24" s="79" t="s">
        <v>72</v>
      </c>
      <c r="D24" s="99">
        <f t="shared" si="3"/>
        <v>6477.272727272727</v>
      </c>
      <c r="E24" s="98">
        <v>0.05</v>
      </c>
      <c r="F24" s="97">
        <f t="shared" si="4"/>
        <v>323.86363636363637</v>
      </c>
      <c r="H24" s="150" t="s">
        <v>113</v>
      </c>
      <c r="I24" s="154" t="s">
        <v>111</v>
      </c>
      <c r="J24" s="180" t="s">
        <v>73</v>
      </c>
      <c r="K24" s="151" t="s">
        <v>92</v>
      </c>
      <c r="L24" s="101">
        <f>SUM(K25:K35)</f>
        <v>7819.1405797101452</v>
      </c>
      <c r="X24" s="100"/>
      <c r="Y24" s="100"/>
      <c r="Z24" s="100"/>
      <c r="AA24" s="100"/>
      <c r="AB24" s="14"/>
      <c r="AD24" s="43"/>
    </row>
    <row r="25" spans="1:31" x14ac:dyDescent="0.3">
      <c r="A25" s="80">
        <v>1300000</v>
      </c>
      <c r="B25" s="102">
        <f>A23/22</f>
        <v>43636.36363636364</v>
      </c>
      <c r="C25" s="79" t="s">
        <v>180</v>
      </c>
      <c r="D25" s="99">
        <f t="shared" si="3"/>
        <v>5454.545454545455</v>
      </c>
      <c r="E25" s="98"/>
      <c r="F25" s="97">
        <f t="shared" si="4"/>
        <v>0</v>
      </c>
      <c r="H25" s="204">
        <v>1</v>
      </c>
      <c r="I25" s="199">
        <f>((480000/23)/9)</f>
        <v>2318.840579710145</v>
      </c>
      <c r="J25" s="186" t="s">
        <v>106</v>
      </c>
      <c r="K25" s="148">
        <f t="shared" ref="K25:K35" si="5">H25*I25</f>
        <v>2318.840579710145</v>
      </c>
      <c r="X25" s="100"/>
      <c r="Z25" s="100"/>
      <c r="AA25" s="100"/>
      <c r="AB25" s="39"/>
      <c r="AD25" s="43"/>
    </row>
    <row r="26" spans="1:31" x14ac:dyDescent="0.3">
      <c r="A26" s="80"/>
      <c r="B26" s="102">
        <f>A24/22</f>
        <v>59090.909090909088</v>
      </c>
      <c r="C26" s="79" t="s">
        <v>70</v>
      </c>
      <c r="D26" s="99">
        <f t="shared" si="3"/>
        <v>7386.363636363636</v>
      </c>
      <c r="E26" s="98">
        <v>0.1</v>
      </c>
      <c r="F26" s="97">
        <f t="shared" si="4"/>
        <v>738.63636363636363</v>
      </c>
      <c r="H26" s="190">
        <v>1</v>
      </c>
      <c r="I26" s="173">
        <v>3000</v>
      </c>
      <c r="J26" s="183" t="s">
        <v>71</v>
      </c>
      <c r="K26" s="96">
        <f t="shared" si="5"/>
        <v>3000</v>
      </c>
      <c r="L26" s="61"/>
      <c r="X26" s="95"/>
      <c r="Z26" s="100"/>
      <c r="AA26" s="100"/>
      <c r="AB26" s="14"/>
      <c r="AD26" s="44"/>
    </row>
    <row r="27" spans="1:31" x14ac:dyDescent="0.3">
      <c r="A27" s="80">
        <v>1300000</v>
      </c>
      <c r="B27" s="102">
        <f>A25/22</f>
        <v>59090.909090909088</v>
      </c>
      <c r="C27" s="79" t="s">
        <v>69</v>
      </c>
      <c r="D27" s="99">
        <f t="shared" si="3"/>
        <v>7386.363636363636</v>
      </c>
      <c r="E27" s="98">
        <v>0.1</v>
      </c>
      <c r="F27" s="97">
        <f t="shared" si="4"/>
        <v>738.63636363636363</v>
      </c>
      <c r="H27" s="190">
        <v>0</v>
      </c>
      <c r="I27" s="173"/>
      <c r="J27" s="183" t="s">
        <v>68</v>
      </c>
      <c r="K27" s="96">
        <f t="shared" si="5"/>
        <v>0</v>
      </c>
      <c r="L27" s="61"/>
      <c r="X27" s="95"/>
      <c r="Z27" s="100"/>
      <c r="AA27" s="100"/>
      <c r="AB27" s="45"/>
    </row>
    <row r="28" spans="1:31" x14ac:dyDescent="0.3">
      <c r="A28" s="80">
        <v>450000</v>
      </c>
      <c r="B28" s="102">
        <f>A27/22</f>
        <v>59090.909090909088</v>
      </c>
      <c r="C28" s="79" t="s">
        <v>67</v>
      </c>
      <c r="D28" s="99">
        <f t="shared" si="3"/>
        <v>7386.363636363636</v>
      </c>
      <c r="E28" s="98">
        <v>0.1</v>
      </c>
      <c r="F28" s="97">
        <f t="shared" si="4"/>
        <v>738.63636363636363</v>
      </c>
      <c r="H28" s="190">
        <v>0</v>
      </c>
      <c r="I28" s="173"/>
      <c r="J28" s="183" t="s">
        <v>104</v>
      </c>
      <c r="K28" s="96">
        <f t="shared" si="5"/>
        <v>0</v>
      </c>
      <c r="L28" s="61"/>
      <c r="X28" s="95"/>
      <c r="Y28" s="13"/>
      <c r="Z28" s="14"/>
      <c r="AA28" s="17"/>
      <c r="AB28" s="94"/>
    </row>
    <row r="29" spans="1:31" x14ac:dyDescent="0.3">
      <c r="A29" s="80"/>
      <c r="B29" s="102">
        <f>A28/22</f>
        <v>20454.545454545456</v>
      </c>
      <c r="C29" s="79" t="s">
        <v>66</v>
      </c>
      <c r="D29" s="99">
        <f t="shared" si="3"/>
        <v>2556.818181818182</v>
      </c>
      <c r="E29" s="98">
        <v>0.1</v>
      </c>
      <c r="F29" s="97">
        <f t="shared" si="4"/>
        <v>255.68181818181822</v>
      </c>
      <c r="H29" s="189">
        <v>0</v>
      </c>
      <c r="I29" s="173">
        <f>((400000/22)/8)</f>
        <v>2272.7272727272725</v>
      </c>
      <c r="J29" s="149" t="s">
        <v>64</v>
      </c>
      <c r="K29" s="96">
        <f t="shared" si="5"/>
        <v>0</v>
      </c>
      <c r="L29" s="61"/>
    </row>
    <row r="30" spans="1:31" x14ac:dyDescent="0.3">
      <c r="A30" s="80">
        <v>950000</v>
      </c>
      <c r="B30" s="93"/>
      <c r="C30" s="79" t="s">
        <v>23</v>
      </c>
      <c r="D30" s="99">
        <f>D28</f>
        <v>7386.363636363636</v>
      </c>
      <c r="E30" s="98"/>
      <c r="F30" s="97">
        <f t="shared" si="4"/>
        <v>0</v>
      </c>
      <c r="H30" s="332">
        <f>E33</f>
        <v>0.54999999999999993</v>
      </c>
      <c r="I30" s="173">
        <v>2020</v>
      </c>
      <c r="J30" s="149" t="s">
        <v>164</v>
      </c>
      <c r="K30" s="96">
        <f t="shared" si="5"/>
        <v>1110.9999999999998</v>
      </c>
      <c r="L30" s="61"/>
    </row>
    <row r="31" spans="1:31" x14ac:dyDescent="0.3">
      <c r="A31" s="80">
        <v>350000</v>
      </c>
      <c r="B31" s="93">
        <f>A30/22</f>
        <v>43181.818181818184</v>
      </c>
      <c r="C31" s="79" t="s">
        <v>65</v>
      </c>
      <c r="D31" s="99">
        <f>B31/8</f>
        <v>5397.727272727273</v>
      </c>
      <c r="E31" s="98">
        <v>0</v>
      </c>
      <c r="F31" s="97">
        <f t="shared" si="4"/>
        <v>0</v>
      </c>
      <c r="H31" s="332">
        <f>E33</f>
        <v>0.54999999999999993</v>
      </c>
      <c r="I31" s="173">
        <v>2526</v>
      </c>
      <c r="J31" s="149" t="s">
        <v>163</v>
      </c>
      <c r="K31" s="96">
        <f t="shared" si="5"/>
        <v>1389.2999999999997</v>
      </c>
    </row>
    <row r="32" spans="1:31" ht="15" thickBot="1" x14ac:dyDescent="0.35">
      <c r="A32" s="80">
        <f>A21+A24+A27+A28+A30</f>
        <v>5140000</v>
      </c>
      <c r="B32" s="93">
        <f>400000/22</f>
        <v>18181.81818181818</v>
      </c>
      <c r="C32" s="92" t="s">
        <v>64</v>
      </c>
      <c r="D32" s="91">
        <f>B32/8</f>
        <v>2272.7272727272725</v>
      </c>
      <c r="E32" s="90">
        <v>0</v>
      </c>
      <c r="F32" s="89">
        <f t="shared" si="4"/>
        <v>0</v>
      </c>
      <c r="H32" s="191">
        <v>0</v>
      </c>
      <c r="I32" s="200"/>
      <c r="J32" s="187" t="s">
        <v>41</v>
      </c>
      <c r="K32" s="96">
        <f t="shared" si="5"/>
        <v>0</v>
      </c>
    </row>
    <row r="33" spans="2:16" ht="15" thickBot="1" x14ac:dyDescent="0.35">
      <c r="B33" s="233"/>
      <c r="C33" s="88" t="s">
        <v>6</v>
      </c>
      <c r="D33" s="87">
        <f>SUM(D23:D32)</f>
        <v>58181.818181818177</v>
      </c>
      <c r="E33" s="86">
        <f>SUM(E23:E32)</f>
        <v>0.54999999999999993</v>
      </c>
      <c r="F33" s="85">
        <f>SUM(F23:F32)</f>
        <v>3443.181818181818</v>
      </c>
      <c r="H33" s="193">
        <v>0</v>
      </c>
      <c r="I33" s="173"/>
      <c r="J33" s="185" t="s">
        <v>40</v>
      </c>
      <c r="K33" s="96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15385.7</v>
      </c>
      <c r="H34" s="190">
        <v>0</v>
      </c>
      <c r="I34" s="173">
        <v>15000</v>
      </c>
      <c r="J34" s="147" t="s">
        <v>105</v>
      </c>
      <c r="K34" s="96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7819.1405797101452</v>
      </c>
      <c r="H35" s="192">
        <v>0</v>
      </c>
      <c r="I35" s="201">
        <v>7500</v>
      </c>
      <c r="J35" s="179" t="s">
        <v>107</v>
      </c>
      <c r="K35" s="205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3423.2</v>
      </c>
      <c r="E36" s="58"/>
      <c r="H36" s="194" t="s">
        <v>94</v>
      </c>
      <c r="I36" s="195" t="s">
        <v>111</v>
      </c>
      <c r="J36" s="328" t="s">
        <v>169</v>
      </c>
      <c r="K36" s="329" t="s">
        <v>92</v>
      </c>
      <c r="L36" s="203">
        <f>SUM(K37:K48)</f>
        <v>3423.2</v>
      </c>
      <c r="N36" s="65"/>
    </row>
    <row r="37" spans="2:16" ht="15" thickBot="1" x14ac:dyDescent="0.35">
      <c r="B37" s="75"/>
      <c r="C37" s="74" t="s">
        <v>42</v>
      </c>
      <c r="D37" s="73"/>
      <c r="H37" s="330">
        <f>$E$33</f>
        <v>0.54999999999999993</v>
      </c>
      <c r="I37" s="199">
        <v>4394</v>
      </c>
      <c r="J37" s="331" t="s">
        <v>45</v>
      </c>
      <c r="K37" s="148">
        <f>I37*H37</f>
        <v>2416.6999999999998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26628.040579710145</v>
      </c>
      <c r="H38" s="332">
        <f t="shared" ref="H38:H48" si="6">$E$33</f>
        <v>0.54999999999999993</v>
      </c>
      <c r="I38" s="173">
        <v>127</v>
      </c>
      <c r="J38" s="149" t="s">
        <v>43</v>
      </c>
      <c r="K38" s="333">
        <f>I38*H38</f>
        <v>69.849999999999994</v>
      </c>
    </row>
    <row r="39" spans="2:16" x14ac:dyDescent="0.3">
      <c r="C39" s="326"/>
      <c r="D39" s="327"/>
      <c r="H39" s="332">
        <f t="shared" si="6"/>
        <v>0.54999999999999993</v>
      </c>
      <c r="I39" s="173">
        <v>253</v>
      </c>
      <c r="J39" s="149" t="s">
        <v>166</v>
      </c>
      <c r="K39" s="333">
        <f t="shared" ref="K39:K41" si="7">I39*H39</f>
        <v>139.14999999999998</v>
      </c>
    </row>
    <row r="40" spans="2:16" x14ac:dyDescent="0.3">
      <c r="C40" s="326"/>
      <c r="D40" s="327"/>
      <c r="H40" s="332">
        <f t="shared" si="6"/>
        <v>0.54999999999999993</v>
      </c>
      <c r="I40" s="173">
        <v>61</v>
      </c>
      <c r="J40" s="149" t="s">
        <v>165</v>
      </c>
      <c r="K40" s="333">
        <f t="shared" si="7"/>
        <v>33.549999999999997</v>
      </c>
      <c r="O40">
        <f>O39/22</f>
        <v>0</v>
      </c>
    </row>
    <row r="41" spans="2:16" x14ac:dyDescent="0.3">
      <c r="C41" s="326"/>
      <c r="D41" s="327"/>
      <c r="H41" s="332">
        <f t="shared" si="6"/>
        <v>0.54999999999999993</v>
      </c>
      <c r="I41" s="173">
        <v>379</v>
      </c>
      <c r="J41" s="149" t="s">
        <v>167</v>
      </c>
      <c r="K41" s="333">
        <f t="shared" si="7"/>
        <v>208.45</v>
      </c>
      <c r="O41">
        <f>O40/9</f>
        <v>0</v>
      </c>
    </row>
    <row r="42" spans="2:16" x14ac:dyDescent="0.3">
      <c r="C42" s="326"/>
      <c r="D42" s="327"/>
      <c r="H42" s="332">
        <f t="shared" si="6"/>
        <v>0.54999999999999993</v>
      </c>
      <c r="I42" s="173">
        <v>26</v>
      </c>
      <c r="J42" s="149" t="s">
        <v>168</v>
      </c>
      <c r="K42" s="333"/>
    </row>
    <row r="43" spans="2:16" x14ac:dyDescent="0.3">
      <c r="C43" s="326"/>
      <c r="D43" s="327"/>
      <c r="H43" s="332">
        <f t="shared" si="6"/>
        <v>0.54999999999999993</v>
      </c>
      <c r="I43" s="173">
        <v>253</v>
      </c>
      <c r="J43" s="149" t="s">
        <v>170</v>
      </c>
      <c r="K43" s="333"/>
    </row>
    <row r="44" spans="2:16" x14ac:dyDescent="0.3">
      <c r="C44" s="326"/>
      <c r="D44" s="327"/>
      <c r="H44" s="332">
        <f t="shared" si="6"/>
        <v>0.54999999999999993</v>
      </c>
      <c r="I44" s="173">
        <v>355</v>
      </c>
      <c r="J44" s="149" t="s">
        <v>171</v>
      </c>
      <c r="K44" s="333"/>
    </row>
    <row r="45" spans="2:16" x14ac:dyDescent="0.3">
      <c r="C45" s="326"/>
      <c r="D45" s="327"/>
      <c r="H45" s="332">
        <f t="shared" si="6"/>
        <v>0.54999999999999993</v>
      </c>
      <c r="I45" s="173">
        <v>76</v>
      </c>
      <c r="J45" s="149" t="s">
        <v>172</v>
      </c>
      <c r="K45" s="333"/>
    </row>
    <row r="46" spans="2:16" x14ac:dyDescent="0.3">
      <c r="C46" s="326"/>
      <c r="D46" s="327"/>
      <c r="H46" s="332">
        <f t="shared" si="6"/>
        <v>0.54999999999999993</v>
      </c>
      <c r="I46" s="173">
        <v>303</v>
      </c>
      <c r="J46" s="149" t="s">
        <v>173</v>
      </c>
      <c r="K46" s="333"/>
    </row>
    <row r="47" spans="2:16" x14ac:dyDescent="0.3">
      <c r="C47" s="326"/>
      <c r="D47" s="327"/>
      <c r="H47" s="332">
        <f t="shared" si="6"/>
        <v>0.54999999999999993</v>
      </c>
      <c r="I47" s="173">
        <v>405</v>
      </c>
      <c r="J47" s="149" t="s">
        <v>174</v>
      </c>
      <c r="K47" s="333"/>
    </row>
    <row r="48" spans="2:16" ht="15" thickBot="1" x14ac:dyDescent="0.35">
      <c r="H48" s="334">
        <f t="shared" si="6"/>
        <v>0.54999999999999993</v>
      </c>
      <c r="I48" s="201">
        <v>1010</v>
      </c>
      <c r="J48" s="335" t="s">
        <v>44</v>
      </c>
      <c r="K48" s="84">
        <f>I48*H48</f>
        <v>555.49999999999989</v>
      </c>
    </row>
    <row r="49" spans="2:13" ht="15" thickBot="1" x14ac:dyDescent="0.35">
      <c r="B49" s="68" t="s">
        <v>52</v>
      </c>
      <c r="C49" s="67" t="s">
        <v>51</v>
      </c>
      <c r="D49" s="66">
        <f>E11-E21</f>
        <v>244796.53200000001</v>
      </c>
    </row>
    <row r="50" spans="2:13" ht="15" thickBot="1" x14ac:dyDescent="0.35">
      <c r="H50" s="346" t="s">
        <v>60</v>
      </c>
      <c r="I50" s="347"/>
      <c r="J50" s="347"/>
      <c r="K50" s="347"/>
      <c r="L50" s="347"/>
      <c r="M50" s="348"/>
    </row>
    <row r="51" spans="2:13" ht="15" thickBot="1" x14ac:dyDescent="0.35">
      <c r="B51" s="75" t="s">
        <v>46</v>
      </c>
      <c r="C51" s="75"/>
      <c r="D51" s="202">
        <f>E33</f>
        <v>0.54999999999999993</v>
      </c>
      <c r="H51" s="77" t="s">
        <v>58</v>
      </c>
      <c r="I51" s="158" t="s">
        <v>57</v>
      </c>
      <c r="J51" s="159"/>
      <c r="K51" s="159"/>
      <c r="L51" s="160"/>
      <c r="M51" s="76">
        <f>D11</f>
        <v>1656232</v>
      </c>
    </row>
    <row r="52" spans="2:13" ht="15" thickBot="1" x14ac:dyDescent="0.35">
      <c r="D52" s="57"/>
      <c r="H52" s="72" t="s">
        <v>56</v>
      </c>
      <c r="I52" s="161" t="s">
        <v>55</v>
      </c>
      <c r="J52" s="162"/>
      <c r="K52" s="162"/>
      <c r="L52" s="163"/>
      <c r="M52" s="64">
        <f>D21</f>
        <v>367829.2</v>
      </c>
    </row>
    <row r="53" spans="2:13" x14ac:dyDescent="0.3">
      <c r="D53" s="57"/>
      <c r="I53" s="164" t="s">
        <v>54</v>
      </c>
      <c r="J53" s="165"/>
      <c r="K53" s="165"/>
      <c r="L53" s="166"/>
      <c r="M53" s="69">
        <f>F33</f>
        <v>3443.181818181818</v>
      </c>
    </row>
    <row r="54" spans="2:13" ht="15" thickBot="1" x14ac:dyDescent="0.35">
      <c r="D54" s="60"/>
      <c r="I54" s="167" t="s">
        <v>53</v>
      </c>
      <c r="J54" s="168"/>
      <c r="K54" s="168"/>
      <c r="L54" s="169"/>
      <c r="M54" s="63">
        <f>D38</f>
        <v>26628.040579710145</v>
      </c>
    </row>
    <row r="55" spans="2:13" ht="15" thickBot="1" x14ac:dyDescent="0.35">
      <c r="D55" s="60"/>
      <c r="I55" s="170" t="s">
        <v>50</v>
      </c>
      <c r="J55" s="171"/>
      <c r="K55" s="171"/>
      <c r="L55" s="172"/>
      <c r="M55" s="62">
        <f>M51-(SUM(M52:M54))</f>
        <v>1258331.577602108</v>
      </c>
    </row>
    <row r="56" spans="2:13" x14ac:dyDescent="0.3">
      <c r="I56" s="161" t="s">
        <v>49</v>
      </c>
      <c r="J56" s="162"/>
      <c r="K56" s="162"/>
      <c r="L56" s="163"/>
      <c r="M56" s="64"/>
    </row>
    <row r="57" spans="2:13" ht="15" thickBot="1" x14ac:dyDescent="0.35">
      <c r="D57" s="60"/>
      <c r="I57" s="167" t="s">
        <v>48</v>
      </c>
      <c r="J57" s="168"/>
      <c r="K57" s="168"/>
      <c r="L57" s="169"/>
      <c r="M57" s="63"/>
    </row>
    <row r="58" spans="2:13" ht="15" thickBot="1" x14ac:dyDescent="0.35">
      <c r="C58" s="59"/>
      <c r="D58" s="58"/>
      <c r="I58" s="170" t="s">
        <v>47</v>
      </c>
      <c r="J58" s="171"/>
      <c r="K58" s="171"/>
      <c r="L58" s="172"/>
      <c r="M58" s="62">
        <f>M55-SUM(M56:M57)</f>
        <v>1258331.577602108</v>
      </c>
    </row>
    <row r="61" spans="2:13" x14ac:dyDescent="0.3">
      <c r="D61" s="57"/>
    </row>
    <row r="63" spans="2:13" x14ac:dyDescent="0.3">
      <c r="D63" s="57"/>
    </row>
    <row r="65" spans="4:4" x14ac:dyDescent="0.3">
      <c r="D65" s="57"/>
    </row>
  </sheetData>
  <mergeCells count="3">
    <mergeCell ref="O7:O8"/>
    <mergeCell ref="H7:K7"/>
    <mergeCell ref="H50:M50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2025-05-08T17:12:16Z</cp:lastPrinted>
  <dcterms:created xsi:type="dcterms:W3CDTF">2013-03-18T13:35:42Z</dcterms:created>
  <dcterms:modified xsi:type="dcterms:W3CDTF">2025-05-10T04:38:35Z</dcterms:modified>
</cp:coreProperties>
</file>