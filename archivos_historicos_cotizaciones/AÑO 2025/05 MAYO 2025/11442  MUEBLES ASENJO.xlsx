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60967CAE-AE50-4217-A62F-986AA129C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H22" i="1"/>
  <c r="L22" i="1"/>
  <c r="M22" i="1"/>
  <c r="O22" i="1" s="1"/>
  <c r="P22" i="1" s="1"/>
  <c r="N22" i="1"/>
  <c r="H21" i="1"/>
  <c r="H23" i="1"/>
  <c r="H24" i="1"/>
  <c r="H25" i="1"/>
  <c r="H26" i="1"/>
  <c r="H27" i="1"/>
  <c r="H28" i="1"/>
  <c r="L25" i="1"/>
  <c r="M25" i="1"/>
  <c r="N25" i="1"/>
  <c r="L26" i="1"/>
  <c r="M26" i="1"/>
  <c r="N26" i="1"/>
  <c r="L27" i="1"/>
  <c r="M27" i="1"/>
  <c r="N27" i="1"/>
  <c r="L28" i="1"/>
  <c r="M28" i="1"/>
  <c r="N28" i="1"/>
  <c r="O28" i="1" s="1"/>
  <c r="L21" i="1"/>
  <c r="L29" i="1" s="1"/>
  <c r="M21" i="1"/>
  <c r="N21" i="1"/>
  <c r="L23" i="1"/>
  <c r="M23" i="1"/>
  <c r="N23" i="1"/>
  <c r="L24" i="1"/>
  <c r="M24" i="1"/>
  <c r="N24" i="1"/>
  <c r="J15" i="1"/>
  <c r="J10" i="1"/>
  <c r="H31" i="1" l="1"/>
  <c r="S22" i="1"/>
  <c r="O23" i="1"/>
  <c r="O25" i="1"/>
  <c r="P25" i="1" s="1"/>
  <c r="O21" i="1"/>
  <c r="P21" i="1" s="1"/>
  <c r="P23" i="1"/>
  <c r="S23" i="1"/>
  <c r="S21" i="1"/>
  <c r="O26" i="1"/>
  <c r="P26" i="1" s="1"/>
  <c r="P28" i="1"/>
  <c r="O27" i="1"/>
  <c r="P27" i="1" s="1"/>
  <c r="O24" i="1"/>
  <c r="P24" i="1" s="1"/>
  <c r="M32" i="1"/>
  <c r="T31" i="1"/>
  <c r="K46" i="1"/>
  <c r="S33" i="1" l="1"/>
  <c r="S34" i="1" s="1"/>
  <c r="S35" i="1" s="1"/>
  <c r="S36" i="1" s="1"/>
  <c r="V39" i="1"/>
  <c r="V40" i="1" s="1"/>
  <c r="O38" i="1" l="1"/>
  <c r="P33" i="1" l="1"/>
  <c r="N20" i="1"/>
  <c r="L20" i="1"/>
  <c r="P34" i="1" l="1"/>
  <c r="P35" i="1" s="1"/>
  <c r="O39" i="1"/>
  <c r="R43" i="1"/>
  <c r="M37" i="1" l="1"/>
  <c r="R44" i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O45" i="1" s="1"/>
  <c r="D20" i="3" l="1"/>
  <c r="E20" i="3" s="1"/>
  <c r="E21" i="3" s="1"/>
  <c r="Q20" i="1" l="1"/>
  <c r="Q22" i="1" s="1"/>
  <c r="R22" i="1" s="1"/>
  <c r="D21" i="3"/>
  <c r="M43" i="3" s="1"/>
  <c r="D12" i="3" s="1"/>
  <c r="F20" i="3"/>
  <c r="F21" i="3" s="1"/>
  <c r="Q26" i="1" l="1"/>
  <c r="R26" i="1" s="1"/>
  <c r="Q27" i="1"/>
  <c r="R27" i="1" s="1"/>
  <c r="Q25" i="1"/>
  <c r="R25" i="1" s="1"/>
  <c r="Q28" i="1"/>
  <c r="R28" i="1" s="1"/>
  <c r="Q23" i="1"/>
  <c r="R23" i="1" s="1"/>
  <c r="Q21" i="1"/>
  <c r="R21" i="1" s="1"/>
  <c r="Q24" i="1"/>
  <c r="R24" i="1" s="1"/>
  <c r="O46" i="1"/>
  <c r="E15" i="3"/>
  <c r="F15" i="3" l="1"/>
  <c r="H32" i="1" l="1"/>
  <c r="H33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<sst xmlns="http://schemas.openxmlformats.org/spreadsheetml/2006/main" count="243" uniqueCount="175">
  <si>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</si>
  <si>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</si>
  <si>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</si>
  <si>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</si>
  <si>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</si>
  <si>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</si>
  <si>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</si>
  <si>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</si>
  <si>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</si>
  <si>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</si>
  <si>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</si>
  <si>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</si>
  <si>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</si>
  <si>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</si>
  <si>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</si>
  <si>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</si>
  <si>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</si>
  <si>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</si>
  <si>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</si>
  <si>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</si>
  <si>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</si>
  <si>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</si>
  <si>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</si>
  <si>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</si>
  <si>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</si>
  <si>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</si>
  <si>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</si>
  <si>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</si>
  <si>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</si>
  <si>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</si>
  <si>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</si>
  <si>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</si>
  <si>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</si>
  <si>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</si>
  <si>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</si>
  <si>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</si>
  <si>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</si>
  <si>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</si>
  <si>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</si>
  <si>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</si>
  <si>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</si>
  <si>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</si>
  <si>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</si>
  <si>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</si>
  <si>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</si>
  <si>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</si>
  <si>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</si>
  <si>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</si>
  <si>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</si>
  <si>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</si>
  <si>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</si>
  <si>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</si>
  <si>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</si>
  <si>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</si>
  <si>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</si>
  <si>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</si>
  <si>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</si>
  <si>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</si>
  <si>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</si>
  <si>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</si>
  <si>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</si>
  <si>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</si>
  <si>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</si>
  <si>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</si>
  <si>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</si>
  <si>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</si>
  <si>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</si>
  <si>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</si>
  <si>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</si>
  <si>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</si>
  <si>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</si>
  <si>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</si>
  <si>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</si>
  <si>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</si>
  <si>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</si>
  <si>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</si>
  <si>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</si>
  <si>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</si>
  <si>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</si>
  <si>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</si>
  <si>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</si>
  <si>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</si>
  <si>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</si>
  <si>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</si>
  <si>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</si>
  <si>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</si>
  <si>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</si>
  <si>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</si>
  <si>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</si>
  <si>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</si>
  <si>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</si>
  <si>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</si>
  <si>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</si>
  <si>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</si>
  <si>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</si>
  <si>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</si>
  <si>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</si>
  <si>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</si>
  <si>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</si>
  <si>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</si>
  <si>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</si>
  <si>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</si>
  <si>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</si>
  <si>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</si>
  <si>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</si>
  <si>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</si>
  <si>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</si>
  <si>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</si>
  <si>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</si>
  <si>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</si>
  <si>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</si>
  <si>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</si>
  <si>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</si>
  <si>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</si>
  <si>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</si>
  <si>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</si>
  <si>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</si>
  <si>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</si>
  <si>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</si>
  <si>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</si>
  <si>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</si>
  <si>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</si>
  <si>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</si>
  <si>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</si>
  <si>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</si>
  <si>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</si>
  <si>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</si>
  <si>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</si>
  <si>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</si>
  <si>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</si>
  <si>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</si>
  <si>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</si>
  <si>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</si>
  <si>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</si>
  <si>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</si>
  <si>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</si>
  <si>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</si>
  <si>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</si>
  <si>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</si>
  <si>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</si>
  <si>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</si>
  <si>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</si>
  <si>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</si>
  <si>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</si>
  <si>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</si>
  <si>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</si>
  <si>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</si>
  <si>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</si>
  <si>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</si>
  <si>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</si>
  <si>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</si>
  <si>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</si>
  <si>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</si>
  <si>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</si>
  <si>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</si>
  <si>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</si>
  <si>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</si>
  <si>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</si>
  <si>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</si>
  <si>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</si>
  <si>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</si>
  <si>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</si>
  <si>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</si>
  <si>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</si>
  <si>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</si>
  <si>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</si>
  <si>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</si>
  <si>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</si>
  <si>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</si>
  <si>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</si>
  <si>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</si>
  <si>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10 DIAS HABILES</t>
  </si>
  <si>
    <t>N° 11442</t>
  </si>
  <si>
    <t>PR8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</si>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</sst>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0" borderId="0" xfId="0" applyFill="1"/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BLANCO 1 CARA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15" zoomScale="93" zoomScaleNormal="93" workbookViewId="0">
      <selection activeCell="B21" sqref="B21:H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45797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51208.237567362325</v>
      </c>
      <c r="R20" s="258">
        <v>1000</v>
      </c>
      <c r="S20" s="38"/>
      <c r="T20" s="14" t="s">
        <v>128</v>
      </c>
      <c r="U20" s="9"/>
      <c r="X20" s="4"/>
    </row>
    <row r="21" spans="1:25" ht="17.399999999999999" x14ac:dyDescent="0.3">
      <c r="A21" s="346"/>
      <c r="B21" s="347">
        <v>19</v>
      </c>
      <c r="C21" s="347" t="s">
        <v>173</v>
      </c>
      <c r="D21" s="348">
        <v>2.15</v>
      </c>
      <c r="E21" s="348">
        <v>0.36699999999999999</v>
      </c>
      <c r="F21" s="330" t="s">
        <v>174</v>
      </c>
      <c r="G21" s="331">
        <v>41346</v>
      </c>
      <c r="H21" s="331">
        <f t="shared" ref="H21:H28" si="1">G21*B21</f>
        <v>785574</v>
      </c>
      <c r="I21" s="320"/>
      <c r="J21" s="265">
        <v>19</v>
      </c>
      <c r="K21" s="47"/>
      <c r="L21" s="332">
        <f t="shared" ref="L21:L24" si="2">B21</f>
        <v>19</v>
      </c>
      <c r="M21" s="39">
        <f t="shared" ref="M21:M24" si="3">D21+M$19</f>
        <v>2.1999999999999997</v>
      </c>
      <c r="N21" s="39">
        <f t="shared" ref="N21:N24" si="4">E21+$N$19</f>
        <v>0.36699999999999999</v>
      </c>
      <c r="O21" s="261">
        <f t="shared" ref="O21:O24" si="5">M21*N21</f>
        <v>0.8073999999999999</v>
      </c>
      <c r="P21" s="259">
        <f t="shared" ref="P21:P24" si="6">O21*L21</f>
        <v>15.340599999999998</v>
      </c>
      <c r="Q21" s="252">
        <f t="shared" ref="Q21:Q24" si="7">Q$20*O21</f>
        <v>41345.531011888335</v>
      </c>
      <c r="R21" s="319">
        <f t="shared" ref="R21:R24" si="8">Q21+R$20</f>
        <v>42345.531011888335</v>
      </c>
      <c r="S21" s="297">
        <f t="shared" ref="S21:S23" si="9">M21*L21</f>
        <v>41.8</v>
      </c>
      <c r="T21" s="46"/>
      <c r="U21" s="9"/>
      <c r="X21" s="4"/>
    </row>
    <row r="22" spans="1:25" ht="17.399999999999999" x14ac:dyDescent="0.3">
      <c r="A22" s="346"/>
      <c r="B22" s="347">
        <v>19</v>
      </c>
      <c r="C22" s="347" t="s">
        <v>173</v>
      </c>
      <c r="D22" s="348">
        <v>0.71499999999999997</v>
      </c>
      <c r="E22" s="348">
        <v>0.36699999999999999</v>
      </c>
      <c r="F22" s="330" t="s">
        <v>174</v>
      </c>
      <c r="G22" s="331">
        <v>14377</v>
      </c>
      <c r="H22" s="331">
        <f t="shared" si="1"/>
        <v>273163</v>
      </c>
      <c r="I22" s="320"/>
      <c r="J22" s="265"/>
      <c r="K22" s="47"/>
      <c r="L22" s="332">
        <f t="shared" ref="L22" si="10">B22</f>
        <v>19</v>
      </c>
      <c r="M22" s="39">
        <f t="shared" ref="M22" si="11">D22+M$19</f>
        <v>0.76500000000000001</v>
      </c>
      <c r="N22" s="39">
        <f t="shared" ref="N22" si="12">E22+$N$19</f>
        <v>0.36699999999999999</v>
      </c>
      <c r="O22" s="261">
        <f t="shared" ref="O22" si="13">M22*N22</f>
        <v>0.28075499999999998</v>
      </c>
      <c r="P22" s="259">
        <f t="shared" ref="P22" si="14">O22*L22</f>
        <v>5.3343449999999999</v>
      </c>
      <c r="Q22" s="252">
        <f t="shared" ref="Q22" si="15">Q$20*O22</f>
        <v>14376.968738224808</v>
      </c>
      <c r="R22" s="319">
        <f t="shared" ref="R22" si="16">Q22+R$20</f>
        <v>15376.968738224808</v>
      </c>
      <c r="S22" s="297">
        <f t="shared" ref="S22" si="17">M22*L22</f>
        <v>14.535</v>
      </c>
      <c r="T22" s="46"/>
      <c r="U22" s="9"/>
      <c r="X22" s="4"/>
    </row>
    <row r="23" spans="1:25" ht="17.399999999999999" x14ac:dyDescent="0.3">
      <c r="A23" s="346"/>
      <c r="B23" s="347">
        <v>3</v>
      </c>
      <c r="C23" s="347" t="s">
        <v>173</v>
      </c>
      <c r="D23" s="348">
        <v>2.15</v>
      </c>
      <c r="E23" s="348">
        <v>0.39</v>
      </c>
      <c r="F23" s="330" t="s">
        <v>174</v>
      </c>
      <c r="G23" s="331">
        <v>43937</v>
      </c>
      <c r="H23" s="331">
        <f t="shared" si="1"/>
        <v>131811</v>
      </c>
      <c r="I23" s="320"/>
      <c r="J23" s="265"/>
      <c r="K23" s="47"/>
      <c r="L23" s="332">
        <f t="shared" si="2"/>
        <v>3</v>
      </c>
      <c r="M23" s="39">
        <f t="shared" si="3"/>
        <v>2.1999999999999997</v>
      </c>
      <c r="N23" s="39">
        <f t="shared" si="4"/>
        <v>0.39</v>
      </c>
      <c r="O23" s="261">
        <f t="shared" si="5"/>
        <v>0.85799999999999987</v>
      </c>
      <c r="P23" s="259">
        <f t="shared" si="6"/>
        <v>2.5739999999999998</v>
      </c>
      <c r="Q23" s="252">
        <f t="shared" si="7"/>
        <v>43936.667832796869</v>
      </c>
      <c r="R23" s="319">
        <f t="shared" si="8"/>
        <v>44936.667832796869</v>
      </c>
      <c r="S23" s="297">
        <f t="shared" si="9"/>
        <v>6.6</v>
      </c>
      <c r="T23" s="46"/>
      <c r="U23" s="9"/>
      <c r="X23" s="4"/>
    </row>
    <row r="24" spans="1:25" ht="17.399999999999999" x14ac:dyDescent="0.3">
      <c r="A24" s="346"/>
      <c r="B24" s="347">
        <v>1</v>
      </c>
      <c r="C24" s="347" t="s">
        <v>173</v>
      </c>
      <c r="D24" s="348">
        <v>2.15</v>
      </c>
      <c r="E24" s="348">
        <v>0.373</v>
      </c>
      <c r="F24" s="330" t="s">
        <v>174</v>
      </c>
      <c r="G24" s="331">
        <v>42021</v>
      </c>
      <c r="H24" s="331">
        <f t="shared" si="1"/>
        <v>42021</v>
      </c>
      <c r="I24" s="320"/>
      <c r="J24" s="265"/>
      <c r="K24" s="47"/>
      <c r="L24" s="332">
        <f t="shared" si="2"/>
        <v>1</v>
      </c>
      <c r="M24" s="39">
        <f t="shared" si="3"/>
        <v>2.1999999999999997</v>
      </c>
      <c r="N24" s="39">
        <f t="shared" si="4"/>
        <v>0.373</v>
      </c>
      <c r="O24" s="261">
        <f t="shared" si="5"/>
        <v>0.82059999999999989</v>
      </c>
      <c r="P24" s="259">
        <f t="shared" si="6"/>
        <v>0.82059999999999989</v>
      </c>
      <c r="Q24" s="252">
        <f t="shared" si="7"/>
        <v>42021.479747777521</v>
      </c>
      <c r="R24" s="319">
        <f t="shared" si="8"/>
        <v>43021.479747777521</v>
      </c>
      <c r="S24" s="297"/>
      <c r="T24" s="46"/>
      <c r="U24" s="9"/>
      <c r="X24" s="4"/>
    </row>
    <row r="25" spans="1:25" ht="17.399999999999999" x14ac:dyDescent="0.3">
      <c r="A25" s="346"/>
      <c r="B25" s="347">
        <v>3</v>
      </c>
      <c r="C25" s="347" t="s">
        <v>173</v>
      </c>
      <c r="D25" s="348">
        <v>2.15</v>
      </c>
      <c r="E25" s="348">
        <v>0.36299999999999999</v>
      </c>
      <c r="F25" s="330" t="s">
        <v>174</v>
      </c>
      <c r="G25" s="331">
        <v>40895</v>
      </c>
      <c r="H25" s="331">
        <f t="shared" si="1"/>
        <v>122685</v>
      </c>
      <c r="I25" s="320"/>
      <c r="J25" s="265"/>
      <c r="K25" s="47"/>
      <c r="L25" s="332">
        <f t="shared" ref="L25:L28" si="18">B25</f>
        <v>3</v>
      </c>
      <c r="M25" s="39">
        <f t="shared" ref="M25:M28" si="19">D25+M$19</f>
        <v>2.1999999999999997</v>
      </c>
      <c r="N25" s="39">
        <f t="shared" ref="N25:N28" si="20">E25+$N$19</f>
        <v>0.36299999999999999</v>
      </c>
      <c r="O25" s="261">
        <f t="shared" ref="O25:O28" si="21">M25*N25</f>
        <v>0.79859999999999987</v>
      </c>
      <c r="P25" s="259">
        <f t="shared" ref="P25:P28" si="22">O25*L25</f>
        <v>2.3957999999999995</v>
      </c>
      <c r="Q25" s="252">
        <f t="shared" ref="Q25:Q28" si="23">Q$20*O25</f>
        <v>40894.898521295545</v>
      </c>
      <c r="R25" s="319">
        <f t="shared" ref="R25:R28" si="24">Q25+R$20</f>
        <v>41894.898521295545</v>
      </c>
      <c r="S25" s="297"/>
      <c r="T25" s="46"/>
      <c r="U25" s="9"/>
      <c r="X25" s="4"/>
    </row>
    <row r="26" spans="1:25" ht="17.399999999999999" x14ac:dyDescent="0.3">
      <c r="B26" s="330">
        <v>6</v>
      </c>
      <c r="C26" s="330" t="s">
        <v>173</v>
      </c>
      <c r="D26" s="333">
        <v>2.15</v>
      </c>
      <c r="E26" s="333">
        <v>0.36599999999999999</v>
      </c>
      <c r="F26" s="330" t="s">
        <v>174</v>
      </c>
      <c r="G26" s="331">
        <v>41233</v>
      </c>
      <c r="H26" s="331">
        <f t="shared" si="1"/>
        <v>247398</v>
      </c>
      <c r="I26" s="320"/>
      <c r="J26" s="265"/>
      <c r="K26" s="47"/>
      <c r="L26" s="332">
        <f t="shared" si="18"/>
        <v>6</v>
      </c>
      <c r="M26" s="39">
        <f t="shared" si="19"/>
        <v>2.1999999999999997</v>
      </c>
      <c r="N26" s="39">
        <f t="shared" si="20"/>
        <v>0.36599999999999999</v>
      </c>
      <c r="O26" s="261">
        <f t="shared" si="21"/>
        <v>0.80519999999999992</v>
      </c>
      <c r="P26" s="259">
        <f t="shared" si="22"/>
        <v>4.8311999999999991</v>
      </c>
      <c r="Q26" s="252">
        <f t="shared" si="23"/>
        <v>41232.872889240141</v>
      </c>
      <c r="R26" s="319">
        <f t="shared" si="24"/>
        <v>42232.872889240141</v>
      </c>
      <c r="S26" s="297"/>
      <c r="T26" s="46"/>
      <c r="U26" s="9"/>
      <c r="X26" s="4"/>
    </row>
    <row r="27" spans="1:25" ht="17.399999999999999" x14ac:dyDescent="0.3">
      <c r="B27" s="330">
        <v>5</v>
      </c>
      <c r="C27" s="330" t="s">
        <v>173</v>
      </c>
      <c r="D27" s="333">
        <v>2.15</v>
      </c>
      <c r="E27" s="333">
        <v>0.39600000000000002</v>
      </c>
      <c r="F27" s="330" t="s">
        <v>174</v>
      </c>
      <c r="G27" s="331">
        <v>44613</v>
      </c>
      <c r="H27" s="331">
        <f t="shared" si="1"/>
        <v>223065</v>
      </c>
      <c r="I27" s="320"/>
      <c r="J27" s="265"/>
      <c r="K27" s="47"/>
      <c r="L27" s="332">
        <f t="shared" si="18"/>
        <v>5</v>
      </c>
      <c r="M27" s="39">
        <f t="shared" si="19"/>
        <v>2.1999999999999997</v>
      </c>
      <c r="N27" s="39">
        <f t="shared" si="20"/>
        <v>0.39600000000000002</v>
      </c>
      <c r="O27" s="261">
        <f t="shared" si="21"/>
        <v>0.87119999999999997</v>
      </c>
      <c r="P27" s="259">
        <f t="shared" si="22"/>
        <v>4.3559999999999999</v>
      </c>
      <c r="Q27" s="252">
        <f t="shared" si="23"/>
        <v>44612.616568686055</v>
      </c>
      <c r="R27" s="319">
        <f t="shared" si="24"/>
        <v>45612.616568686055</v>
      </c>
      <c r="S27" s="297"/>
      <c r="T27" s="46"/>
      <c r="U27" s="9"/>
      <c r="X27" s="4"/>
    </row>
    <row r="28" spans="1:25" ht="17.399999999999999" x14ac:dyDescent="0.3">
      <c r="B28" s="330">
        <v>1</v>
      </c>
      <c r="C28" s="330" t="s">
        <v>173</v>
      </c>
      <c r="D28" s="333">
        <v>2.15</v>
      </c>
      <c r="E28" s="333">
        <v>0.34699999999999998</v>
      </c>
      <c r="F28" s="330" t="s">
        <v>174</v>
      </c>
      <c r="G28" s="331">
        <v>39092</v>
      </c>
      <c r="H28" s="331">
        <f t="shared" si="1"/>
        <v>39092</v>
      </c>
      <c r="I28" s="320"/>
      <c r="J28" s="265"/>
      <c r="K28" s="47"/>
      <c r="L28" s="332">
        <f t="shared" si="18"/>
        <v>1</v>
      </c>
      <c r="M28" s="39">
        <f t="shared" si="19"/>
        <v>2.1999999999999997</v>
      </c>
      <c r="N28" s="39">
        <f t="shared" si="20"/>
        <v>0.34699999999999998</v>
      </c>
      <c r="O28" s="261">
        <f t="shared" si="21"/>
        <v>0.76339999999999986</v>
      </c>
      <c r="P28" s="259">
        <f t="shared" si="22"/>
        <v>0.76339999999999986</v>
      </c>
      <c r="Q28" s="252">
        <f t="shared" si="23"/>
        <v>39092.368558924391</v>
      </c>
      <c r="R28" s="319">
        <f t="shared" si="24"/>
        <v>40092.368558924391</v>
      </c>
      <c r="S28" s="297"/>
      <c r="T28" s="46"/>
      <c r="U28" s="9"/>
      <c r="X28" s="4"/>
    </row>
    <row r="29" spans="1:25" ht="17.399999999999999" x14ac:dyDescent="0.3">
      <c r="B29" s="285"/>
      <c r="C29" s="285"/>
      <c r="D29" s="286"/>
      <c r="E29" s="286"/>
      <c r="F29" s="285"/>
      <c r="G29" s="320"/>
      <c r="H29" s="320"/>
      <c r="I29" s="320"/>
      <c r="J29" s="265"/>
      <c r="K29" s="47"/>
      <c r="L29" s="332">
        <f>SUM(L21:L28)</f>
        <v>57</v>
      </c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1:25" ht="18" thickBot="1" x14ac:dyDescent="0.35">
      <c r="B30" s="285"/>
      <c r="C30" s="285"/>
      <c r="D30" s="286"/>
      <c r="E30" s="286"/>
      <c r="F30" s="285"/>
      <c r="G30" s="265"/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1:25" ht="17.399999999999999" x14ac:dyDescent="0.3">
      <c r="B31" s="285"/>
      <c r="C31" s="285"/>
      <c r="D31" s="286"/>
      <c r="E31" s="286"/>
      <c r="F31" s="285"/>
      <c r="G31" s="324" t="s">
        <v>28</v>
      </c>
      <c r="H31" s="325">
        <f>SUM(H21:H30)</f>
        <v>1864809</v>
      </c>
      <c r="I31" s="322"/>
      <c r="J31" s="265"/>
      <c r="K31" s="47"/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1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354313.71</v>
      </c>
      <c r="I32" s="322"/>
      <c r="J32" s="265"/>
      <c r="K32" s="47"/>
      <c r="L32" s="47"/>
      <c r="M32" s="39">
        <f>SUM(M21:M31)</f>
        <v>16.164999999999996</v>
      </c>
      <c r="N32" s="12"/>
      <c r="O32" s="12"/>
      <c r="P32" s="253">
        <f>SUM(P21:P30)</f>
        <v>36.415944999999994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2219122.71</v>
      </c>
      <c r="I33" s="322"/>
      <c r="J33" s="265"/>
      <c r="K33" s="47"/>
      <c r="L33" s="47"/>
      <c r="M33" s="39"/>
      <c r="N33" s="12"/>
      <c r="O33" s="12"/>
      <c r="P33" s="253">
        <f>P32</f>
        <v>36.415944999999994</v>
      </c>
      <c r="Q33" s="14"/>
      <c r="R33" s="12"/>
      <c r="S33" s="239">
        <f>SUM(S21:S32)</f>
        <v>62.934999999999995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7.2831889999999992</v>
      </c>
      <c r="Q34" s="39" t="s">
        <v>130</v>
      </c>
      <c r="R34" s="42"/>
      <c r="S34" s="240">
        <f>S33+T31</f>
        <v>62.934999999999995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43.699133999999994</v>
      </c>
      <c r="Q35" s="14"/>
      <c r="R35" s="14"/>
      <c r="S35" s="238">
        <f>S34*20%</f>
        <v>12.587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75.521999999999991</v>
      </c>
      <c r="T36" s="14"/>
      <c r="U36" s="302" t="s">
        <v>21</v>
      </c>
      <c r="V36" s="299" t="s">
        <v>152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43.699133999999994</v>
      </c>
      <c r="N37" s="12">
        <v>2000</v>
      </c>
      <c r="O37" s="12">
        <f t="shared" ref="O37:O42" si="25">M37*N37</f>
        <v>87398.267999999982</v>
      </c>
      <c r="P37" s="14" t="s">
        <v>21</v>
      </c>
      <c r="Q37" s="14"/>
      <c r="R37" s="14"/>
      <c r="S37" s="241"/>
      <c r="T37" s="14"/>
      <c r="U37" s="302" t="s">
        <v>153</v>
      </c>
      <c r="V37" s="299">
        <v>3625</v>
      </c>
      <c r="W37" s="59" t="s">
        <v>154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12</v>
      </c>
      <c r="N38" s="12">
        <v>39800</v>
      </c>
      <c r="O38" s="12">
        <f t="shared" si="25"/>
        <v>477600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155</v>
      </c>
      <c r="X38" s="304"/>
    </row>
    <row r="39" spans="1:24" s="230" customFormat="1" ht="17.399999999999999" x14ac:dyDescent="0.35">
      <c r="B39" s="24" t="s">
        <v>151</v>
      </c>
      <c r="J39" s="262"/>
      <c r="K39" s="232"/>
      <c r="L39" s="250"/>
      <c r="M39" s="14"/>
      <c r="N39" s="250">
        <v>67000</v>
      </c>
      <c r="O39" s="12">
        <f t="shared" si="25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156</v>
      </c>
      <c r="X39" s="59"/>
    </row>
    <row r="40" spans="1:24" s="230" customFormat="1" ht="17.399999999999999" x14ac:dyDescent="0.35">
      <c r="B40" s="24" t="s">
        <v>144</v>
      </c>
      <c r="C40"/>
      <c r="D40"/>
      <c r="E40"/>
      <c r="F40"/>
      <c r="J40" s="262"/>
      <c r="K40" s="232"/>
      <c r="L40" s="250"/>
      <c r="M40" s="14">
        <v>19</v>
      </c>
      <c r="N40" s="250">
        <v>17000</v>
      </c>
      <c r="O40" s="12">
        <f t="shared" si="25"/>
        <v>323000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157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25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/>
      <c r="K42" s="260"/>
      <c r="L42" s="250"/>
      <c r="M42" s="266"/>
      <c r="N42" s="12">
        <v>500</v>
      </c>
      <c r="O42" s="12">
        <f t="shared" si="25"/>
        <v>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887998.26799999992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33</v>
      </c>
      <c r="N44" s="12"/>
      <c r="O44" s="255">
        <f>O43*2.1</f>
        <v>1864796.3628</v>
      </c>
      <c r="P44" s="14" t="s">
        <v>140</v>
      </c>
      <c r="Q44" s="14"/>
      <c r="R44" s="40">
        <f>P35/R43</f>
        <v>11.782553386540119</v>
      </c>
      <c r="S44"/>
      <c r="T44" s="257"/>
    </row>
    <row r="45" spans="1:24" s="230" customFormat="1" ht="17.399999999999999" x14ac:dyDescent="0.35">
      <c r="G45"/>
      <c r="H45" s="260"/>
      <c r="I45" s="260"/>
      <c r="J45" s="260"/>
      <c r="K45" s="230">
        <v>40000</v>
      </c>
      <c r="L45" s="250"/>
      <c r="M45" s="14"/>
      <c r="N45" s="12"/>
      <c r="O45" s="12">
        <f>O44/P33</f>
        <v>51208.237567362325</v>
      </c>
      <c r="P45" s="45" t="s">
        <v>24</v>
      </c>
      <c r="Q45" s="14"/>
      <c r="R45" s="14"/>
      <c r="S45"/>
      <c r="T45" s="238"/>
      <c r="U45" s="59" t="s">
        <v>158</v>
      </c>
      <c r="V45" s="299">
        <v>43650</v>
      </c>
    </row>
    <row r="46" spans="1:24" s="230" customFormat="1" ht="17.399999999999999" x14ac:dyDescent="0.35">
      <c r="G46"/>
      <c r="K46" s="230">
        <f>K45/1.19</f>
        <v>33613.445378151264</v>
      </c>
      <c r="L46" s="250"/>
      <c r="M46" s="13"/>
      <c r="N46" s="14"/>
      <c r="O46" s="17">
        <f>O44/O43</f>
        <v>2.1</v>
      </c>
      <c r="P46" s="15"/>
      <c r="Q46"/>
      <c r="R46"/>
      <c r="S46"/>
      <c r="T46" s="238"/>
      <c r="U46" s="59" t="s">
        <v>160</v>
      </c>
      <c r="V46" s="300" t="s">
        <v>159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161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156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-147222.60133345413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1864809</v>
      </c>
      <c r="E11" s="132">
        <f>D11*0.19</f>
        <v>354313.71</v>
      </c>
      <c r="F11" s="131">
        <f>E11+D11</f>
        <v>2219122.71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-41232.601333454135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594832.35878743953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-59232.601333454135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1269976.6412125605</v>
      </c>
      <c r="E13" s="221">
        <f>(D11/D12)-1</f>
        <v>2.1350160636879214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-68232.601333454135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-107232.60133345413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981473.39199927519</v>
      </c>
      <c r="F15" s="216">
        <f>E15-D12</f>
        <v>386641.03321183566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-107232.60133345413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-67232.601333454135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477600</v>
      </c>
      <c r="E19" s="123">
        <f>D19*0.19</f>
        <v>90744</v>
      </c>
      <c r="F19" s="120">
        <f>SUM(D19:E19)</f>
        <v>568344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87398.267999999982</v>
      </c>
      <c r="E20" s="121">
        <f>D20*0.19</f>
        <v>16605.670919999997</v>
      </c>
      <c r="F20" s="120">
        <f>SUM(D20:E20)</f>
        <v>104003.93891999999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564998.26799999992</v>
      </c>
      <c r="E21" s="116">
        <f>SUM(E18:E20)</f>
        <v>107349.67092</v>
      </c>
      <c r="F21" s="115">
        <f>SUM(F18:F20)</f>
        <v>672347.93891999999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246964.03908000002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1864809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564998.26799999992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1269976.6412125605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1269976.6412125605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2025-05-22T21:24:31Z</cp:lastPrinted>
  <dcterms:created xsi:type="dcterms:W3CDTF">2013-03-18T13:35:42Z</dcterms:created>
  <dcterms:modified xsi:type="dcterms:W3CDTF">2025-05-26T19:34:30Z</dcterms:modified>
</cp:coreProperties>
</file>