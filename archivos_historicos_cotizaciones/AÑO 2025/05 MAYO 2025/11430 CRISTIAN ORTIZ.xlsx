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5 MAYO 2025\"/>
    </mc:Choice>
  </mc:AlternateContent>
  <xr:revisionPtr revIDLastSave="0" documentId="13_ncr:1_{B2647F03-010D-4208-9487-3771B4E3B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<sst xmlns="http://schemas.openxmlformats.org/spreadsheetml/2006/main" count="231" uniqueCount="175">
  <si>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</si>
  <si>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</si>
  <si>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</si>
  <si>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</si>
  <si>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</si>
  <si>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</si>
  <si>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</si>
  <si>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</si>
  <si>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</si>
  <si>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</si>
  <si>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</si>
  <si>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</si>
  <si>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</si>
  <si>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</si>
  <si>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</si>
  <si>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</si>
  <si>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</si>
  <si>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</si>
  <si>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</si>
  <si>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</si>
  <si>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</si>
  <si>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</si>
  <si>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</si>
  <si>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</si>
  <si>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</si>
  <si>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</si>
  <si>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</si>
  <si>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</si>
  <si>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</si>
  <si>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</si>
  <si>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</si>
  <si>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</si>
  <si>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</si>
  <si>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</si>
  <si>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</si>
  <si>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</si>
  <si>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</si>
  <si>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</si>
  <si>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</si>
  <si>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</si>
  <si>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</si>
  <si>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</si>
  <si>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</si>
  <si>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</si>
  <si>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</si>
  <si>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</si>
  <si>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</si>
  <si>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</si>
  <si>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</si>
  <si>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</si>
  <si>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</si>
  <si>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</si>
  <si>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</si>
  <si>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</si>
  <si>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</si>
  <si>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</si>
  <si>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</si>
  <si>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</si>
  <si>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</si>
  <si>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</si>
  <si>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</si>
  <si>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</si>
  <si>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</si>
  <si>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</si>
  <si>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</si>
  <si>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</si>
  <si>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</si>
  <si>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</si>
  <si>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</si>
  <si>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</si>
  <si>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</si>
  <si>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</si>
  <si>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</si>
  <si>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</si>
  <si>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</si>
  <si>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</si>
  <si>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</si>
  <si>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</si>
  <si>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</si>
  <si>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</si>
  <si>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</si>
  <si>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</si>
  <si>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</si>
  <si>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</si>
  <si>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</si>
  <si>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</si>
  <si>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</si>
  <si>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</si>
  <si>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</si>
  <si>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</si>
  <si>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</si>
  <si>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</si>
  <si>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</si>
  <si>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</si>
  <si>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</si>
  <si>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</si>
  <si>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</si>
  <si>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</si>
  <si>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</si>
  <si>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</si>
  <si>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</si>
  <si>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</si>
  <si>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</si>
  <si>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</si>
  <si>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</si>
  <si>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</si>
  <si>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</si>
  <si>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</si>
  <si>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</si>
  <si>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</si>
  <si>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</si>
  <si>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</si>
  <si>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</si>
  <si>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</si>
  <si>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</si>
  <si>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</si>
  <si>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</si>
  <si>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</si>
  <si>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</si>
  <si>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</si>
  <si>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</si>
  <si>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</si>
  <si>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</si>
  <si>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</si>
  <si>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</si>
  <si>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</si>
  <si>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</si>
  <si>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</si>
  <si>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</si>
  <si>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</si>
  <si>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</si>
  <si>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</si>
  <si>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</si>
  <si>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</si>
  <si>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</si>
  <si>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</si>
  <si>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</si>
  <si>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</si>
  <si>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</si>
  <si>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</si>
  <si>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</si>
  <si>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</si>
  <si>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</si>
  <si>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</si>
  <si>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</si>
  <si>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</si>
  <si>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</si>
  <si>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</si>
  <si>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</si>
  <si>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</si>
  <si>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</si>
  <si>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</si>
  <si>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</si>
  <si>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</si>
  <si>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</si>
  <si>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</si>
  <si>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</si>
  <si>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</si>
  <si>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</si>
  <si>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</si>
  <si>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</si>
  <si>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</si>
  <si>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</si>
  <si>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</si>
  <si>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</si>
  <si>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</si>
  <si>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CRISTIAN ORTIZ</t>
  </si>
  <si>
    <t>+569 4293 9216</t>
  </si>
  <si>
    <t>CUB CON RESPALDO FRENTE 90°</t>
  </si>
  <si>
    <t>CORN 21387 SF</t>
  </si>
  <si>
    <t>EMBALAJE</t>
  </si>
  <si>
    <t>PLAZO ENTREGA</t>
  </si>
  <si>
    <t>FECHA</t>
  </si>
  <si>
    <t>DESPACHO</t>
  </si>
  <si>
    <t>N° 11430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</si>
</sst>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0" fillId="8" borderId="0" xfId="0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 CORTADA A</a:t>
          </a:r>
          <a:r>
            <a:rPr lang="es-CL" sz="1200" b="1" baseline="0"/>
            <a:t> LA MEDIDA EN EL LADO IZQUIERDO MIRANDO DESDE EL FRENTE Y SOBREMEDIDA EN EL LADO DERECHO.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1.886718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159</v>
      </c>
      <c r="C10" s="278" t="s">
        <v>166</v>
      </c>
      <c r="D10" s="243"/>
      <c r="E10" s="243"/>
      <c r="F10" s="244" t="s">
        <v>172</v>
      </c>
      <c r="G10" s="276">
        <v>45790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171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142</v>
      </c>
      <c r="C12" s="306"/>
      <c r="D12" s="247"/>
      <c r="E12" s="247"/>
      <c r="F12" s="247" t="s">
        <v>126</v>
      </c>
      <c r="G12" s="277" t="s">
        <v>133</v>
      </c>
      <c r="H12" s="248"/>
      <c r="Q12" s="19"/>
      <c r="R12" s="25"/>
      <c r="S12" s="19"/>
    </row>
    <row r="13" spans="2:24" x14ac:dyDescent="0.3">
      <c r="B13" s="287" t="s">
        <v>143</v>
      </c>
      <c r="F13" t="s">
        <v>170</v>
      </c>
      <c r="G13" s="307" t="s">
        <v>133</v>
      </c>
      <c r="H13" s="289"/>
      <c r="Q13" s="19"/>
      <c r="R13" s="25"/>
      <c r="S13" s="19"/>
    </row>
    <row r="14" spans="2:24" x14ac:dyDescent="0.3">
      <c r="B14" s="246" t="s">
        <v>137</v>
      </c>
      <c r="C14" s="314"/>
      <c r="D14" s="247"/>
      <c r="E14" s="247"/>
      <c r="F14" s="344" t="s">
        <v>134</v>
      </c>
      <c r="G14" s="290" t="s">
        <v>133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167</v>
      </c>
      <c r="D15" s="310"/>
      <c r="F15" t="s">
        <v>173</v>
      </c>
      <c r="G15" s="308" t="s">
        <v>133</v>
      </c>
      <c r="H15" s="289"/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160</v>
      </c>
      <c r="H16" s="248"/>
    </row>
    <row r="17" spans="1:25" ht="15" thickBot="1" x14ac:dyDescent="0.35">
      <c r="B17" s="311" t="s">
        <v>13</v>
      </c>
      <c r="C17" s="312" t="s">
        <v>163</v>
      </c>
      <c r="D17" s="313"/>
      <c r="E17" s="119"/>
      <c r="F17" s="332" t="s">
        <v>162</v>
      </c>
      <c r="G17" s="332"/>
      <c r="H17" s="333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O38</f>
        <v>68951.111111111109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29">
        <v>1</v>
      </c>
      <c r="C21" s="329" t="s">
        <v>168</v>
      </c>
      <c r="D21" s="330">
        <v>2.8</v>
      </c>
      <c r="E21" s="330">
        <v>0.55000000000000004</v>
      </c>
      <c r="F21" s="329" t="s">
        <v>169</v>
      </c>
      <c r="G21" s="331">
        <f>Q21</f>
        <v>109218.56</v>
      </c>
      <c r="H21" s="331">
        <f>G21*B21</f>
        <v>109218.56</v>
      </c>
      <c r="I21" s="319"/>
      <c r="J21" s="265"/>
      <c r="K21" s="47"/>
      <c r="L21" s="47">
        <f>B21</f>
        <v>1</v>
      </c>
      <c r="M21" s="39">
        <f>D21+M$19</f>
        <v>2.88</v>
      </c>
      <c r="N21" s="39">
        <f>E21+$N$19</f>
        <v>0.55000000000000004</v>
      </c>
      <c r="O21" s="261">
        <f t="shared" ref="O21" si="1">M21*N21</f>
        <v>1.5840000000000001</v>
      </c>
      <c r="P21" s="259">
        <f t="shared" ref="P21" si="2">O21*L21</f>
        <v>1.5840000000000001</v>
      </c>
      <c r="Q21" s="252">
        <f t="shared" ref="Q21" si="3">Q$20*O21</f>
        <v>109218.56</v>
      </c>
      <c r="R21" s="318">
        <f t="shared" ref="R21" si="4">Q21+R$20</f>
        <v>112218.56</v>
      </c>
      <c r="S21" s="297">
        <f>M21*L21</f>
        <v>2.88</v>
      </c>
      <c r="T21" s="46">
        <f>N21*2*L21*2</f>
        <v>2.2000000000000002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47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109218.56</v>
      </c>
      <c r="I24" s="321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2.2000000000000002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20751.526399999999</v>
      </c>
      <c r="I25" s="321"/>
      <c r="J25" s="265"/>
      <c r="K25" s="47"/>
      <c r="L25" s="47"/>
      <c r="M25" s="39">
        <f>SUM(M21:M21)</f>
        <v>2.88</v>
      </c>
      <c r="N25" s="12"/>
      <c r="O25" s="12"/>
      <c r="P25" s="253">
        <f>SUM(P21:P23)</f>
        <v>1.5840000000000001</v>
      </c>
      <c r="Q25" s="14"/>
      <c r="R25" s="12"/>
      <c r="S25" s="239">
        <f>SUM(S21:S24)</f>
        <v>2.88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129970.0864</v>
      </c>
      <c r="I26" s="321"/>
      <c r="J26" s="265"/>
      <c r="K26" s="47"/>
      <c r="L26" s="47"/>
      <c r="M26" s="39"/>
      <c r="N26" s="12"/>
      <c r="O26" s="12"/>
      <c r="P26" s="253">
        <f>P25</f>
        <v>1.5840000000000001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0.31680000000000003</v>
      </c>
      <c r="Q27" s="39" t="s">
        <v>129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1.9008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149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1.9008</v>
      </c>
      <c r="N30" s="12">
        <v>3500</v>
      </c>
      <c r="O30" s="12">
        <f t="shared" ref="O30:O35" si="5">M30*N30</f>
        <v>6652.8</v>
      </c>
      <c r="P30" s="14" t="s">
        <v>21</v>
      </c>
      <c r="Q30" s="14"/>
      <c r="R30" s="14"/>
      <c r="S30" s="241"/>
      <c r="T30" s="14"/>
      <c r="U30" s="302" t="s">
        <v>150</v>
      </c>
      <c r="V30" s="299">
        <v>3625</v>
      </c>
      <c r="W30" s="59" t="s">
        <v>151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0.5</v>
      </c>
      <c r="N31" s="12">
        <v>23500</v>
      </c>
      <c r="O31" s="12">
        <f t="shared" si="5"/>
        <v>11750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152</v>
      </c>
      <c r="X31" s="304"/>
    </row>
    <row r="32" spans="1:25" s="230" customFormat="1" ht="17.399999999999999" x14ac:dyDescent="0.35">
      <c r="B32" s="24" t="s">
        <v>148</v>
      </c>
      <c r="J32" s="262"/>
      <c r="K32" s="232"/>
      <c r="L32" s="250"/>
      <c r="M32" s="14"/>
      <c r="N32" s="250">
        <v>65000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153</v>
      </c>
      <c r="X32" s="59"/>
    </row>
    <row r="33" spans="2:24" s="230" customFormat="1" ht="17.399999999999999" x14ac:dyDescent="0.35">
      <c r="B33" s="24" t="s">
        <v>164</v>
      </c>
      <c r="C33"/>
      <c r="D33"/>
      <c r="E33"/>
      <c r="F33"/>
      <c r="J33" s="262"/>
      <c r="K33" s="232"/>
      <c r="L33" s="250"/>
      <c r="M33" s="14">
        <v>1</v>
      </c>
      <c r="N33" s="250">
        <v>26937</v>
      </c>
      <c r="O33" s="12">
        <f t="shared" si="5"/>
        <v>26937</v>
      </c>
      <c r="P33" s="14" t="s">
        <v>139</v>
      </c>
      <c r="Q33" s="17"/>
      <c r="S33" s="238"/>
      <c r="T33" s="256"/>
      <c r="U33" s="59"/>
      <c r="V33" s="59">
        <f>V31+V32</f>
        <v>1087.5</v>
      </c>
      <c r="W33" s="304" t="s">
        <v>154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2.87</v>
      </c>
      <c r="N35" s="12">
        <v>1500</v>
      </c>
      <c r="O35" s="12">
        <f t="shared" si="5"/>
        <v>4305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49644.800000000003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109218.56000000001</v>
      </c>
      <c r="P37" s="14" t="s">
        <v>138</v>
      </c>
      <c r="Q37" s="14"/>
      <c r="R37" s="40">
        <f>P28/R36</f>
        <v>0.51251078515962034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49120</v>
      </c>
      <c r="L38" s="250"/>
      <c r="M38" s="14"/>
      <c r="N38" s="12"/>
      <c r="O38" s="12">
        <f>O37/P26</f>
        <v>68951.111111111109</v>
      </c>
      <c r="P38" s="45" t="s">
        <v>24</v>
      </c>
      <c r="Q38" s="14"/>
      <c r="R38" s="14"/>
      <c r="S38"/>
      <c r="T38" s="238"/>
      <c r="U38" s="59" t="s">
        <v>155</v>
      </c>
      <c r="V38" s="299">
        <v>43650</v>
      </c>
    </row>
    <row r="39" spans="2:24" s="230" customFormat="1" ht="17.399999999999999" x14ac:dyDescent="0.35">
      <c r="G39"/>
      <c r="K39" s="230">
        <f>K38/1.19</f>
        <v>41277.310924369747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300" t="s">
        <v>156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158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45790</v>
      </c>
    </row>
    <row r="6" spans="2:31" ht="16.2" thickBot="1" x14ac:dyDescent="0.35">
      <c r="B6" s="140" t="s">
        <v>2</v>
      </c>
      <c r="C6" s="139" t="str">
        <f>'2229'!C10</f>
        <v>CRISTIAN ORTIZ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11430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-4937.9483667874401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109218.56</v>
      </c>
      <c r="E11" s="132">
        <f>D11*0.19</f>
        <v>20751.526399999999</v>
      </c>
      <c r="F11" s="131">
        <f>E11+D11</f>
        <v>129970.0864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101052.05163321256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48236.89078743961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83052.051633212555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60981.669212560388</v>
      </c>
      <c r="E13" s="221">
        <f>(D11/D12)-1</f>
        <v>1.2642122702576715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74052.051633212555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35052.051633212563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79590.869799275359</v>
      </c>
      <c r="F15" s="216">
        <f>E15-D12</f>
        <v>31353.979011835749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35052.051633212563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75052.051633212555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6652.8</v>
      </c>
      <c r="E20" s="121">
        <f>D20*0.19</f>
        <v>1264.0320000000002</v>
      </c>
      <c r="F20" s="120">
        <f>SUM(D20:E20)</f>
        <v>7916.8320000000003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18402.8</v>
      </c>
      <c r="E21" s="116">
        <f>SUM(E18:E20)</f>
        <v>3496.5320000000002</v>
      </c>
      <c r="F21" s="115">
        <f>SUM(F18:F20)</f>
        <v>21899.332000000002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17254.9944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109218.56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18402.8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60981.669212560388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60981.669212560388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2025-05-13T13:46:52Z</cp:lastPrinted>
  <dcterms:created xsi:type="dcterms:W3CDTF">2013-03-18T13:35:42Z</dcterms:created>
  <dcterms:modified xsi:type="dcterms:W3CDTF">2025-05-13T13:48:09Z</dcterms:modified>
</cp:coreProperties>
</file>