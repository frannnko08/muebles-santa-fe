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C245CD18-ED35-4BDE-BC57-F2E761739F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S22" i="1" s="1"/>
  <c r="N22" i="1"/>
  <c r="O22" i="1" l="1"/>
  <c r="P22" i="1" s="1"/>
  <c r="L21" i="1"/>
  <c r="M21" i="1"/>
  <c r="M24" i="1" s="1"/>
  <c r="N21" i="1"/>
  <c r="O21" i="1" l="1"/>
  <c r="P21" i="1" s="1"/>
  <c r="S21" i="1"/>
  <c r="T24" i="1"/>
  <c r="K39" i="1"/>
  <c r="P25" i="1" l="1"/>
  <c r="S26" i="1"/>
  <c r="S27" i="1" s="1"/>
  <c r="S28" i="1" s="1"/>
  <c r="S29" i="1" s="1"/>
  <c r="V32" i="1"/>
  <c r="V33" i="1" s="1"/>
  <c r="O31" i="1" l="1"/>
  <c r="P26" i="1" l="1"/>
  <c r="N20" i="1"/>
  <c r="L20" i="1"/>
  <c r="P27" i="1" l="1"/>
  <c r="P28" i="1" s="1"/>
  <c r="O32" i="1"/>
  <c r="D18" i="3" s="1"/>
  <c r="R36" i="1"/>
  <c r="M30" i="1" l="1"/>
  <c r="R37" i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E18" i="3" l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Q22" i="1" l="1"/>
  <c r="Q21" i="1"/>
  <c r="O39" i="1"/>
  <c r="E15" i="3"/>
  <c r="G21" i="1" l="1"/>
  <c r="H21" i="1" s="1"/>
  <c r="R22" i="1"/>
  <c r="G22" i="1"/>
  <c r="H22" i="1" s="1"/>
  <c r="R21" i="1"/>
  <c r="F15" i="3"/>
  <c r="H24" i="1" l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<sst xmlns="http://schemas.openxmlformats.org/spreadsheetml/2006/main" count="232" uniqueCount="174">
  <si>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</si>
  <si>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</si>
  <si>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</si>
  <si>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</si>
  <si>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</si>
  <si>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</si>
  <si>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</si>
  <si>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</si>
  <si>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</si>
  <si>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</si>
  <si>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</si>
  <si>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</si>
  <si>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</si>
  <si>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</si>
  <si>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</si>
  <si>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</si>
  <si>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</si>
  <si>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</si>
  <si>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</si>
  <si>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</si>
  <si>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</si>
  <si>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</si>
  <si>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</si>
  <si>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</si>
  <si>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</si>
  <si>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</si>
  <si>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</si>
  <si>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</si>
  <si>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</si>
  <si>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</si>
  <si>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</si>
  <si>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</si>
  <si>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</si>
  <si>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</si>
  <si>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</si>
  <si>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</si>
  <si>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</si>
  <si>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</si>
  <si>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</si>
  <si>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</si>
  <si>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</si>
  <si>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</si>
  <si>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</si>
  <si>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</si>
  <si>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</si>
  <si>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</si>
  <si>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</si>
  <si>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</si>
  <si>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</si>
  <si>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</si>
  <si>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</si>
  <si>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</si>
  <si>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</si>
  <si>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</si>
  <si>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</si>
  <si>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</si>
  <si>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</si>
  <si>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</si>
  <si>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</si>
  <si>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</si>
  <si>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</si>
  <si>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</si>
  <si>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</si>
  <si>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</si>
  <si>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</si>
  <si>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</si>
  <si>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</si>
  <si>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</si>
  <si>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</si>
  <si>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</si>
  <si>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</si>
  <si>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</si>
  <si>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</si>
  <si>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</si>
  <si>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</si>
  <si>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</si>
  <si>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</si>
  <si>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</si>
  <si>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</si>
  <si>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</si>
  <si>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</si>
  <si>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</si>
  <si>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</si>
  <si>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</si>
  <si>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</si>
  <si>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</si>
  <si>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</si>
  <si>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</si>
  <si>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</si>
  <si>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</si>
  <si>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</si>
  <si>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</si>
  <si>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</si>
  <si>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</si>
  <si>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</si>
  <si>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</si>
  <si>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</si>
  <si>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</si>
  <si>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</si>
  <si>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</si>
  <si>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</si>
  <si>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</si>
  <si>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</si>
  <si>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</si>
  <si>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</si>
  <si>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</si>
  <si>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</si>
  <si>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</si>
  <si>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</si>
  <si>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</si>
  <si>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</si>
  <si>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</si>
  <si>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</si>
  <si>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</si>
  <si>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</si>
  <si>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</si>
  <si>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</si>
  <si>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</si>
  <si>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</si>
  <si>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</si>
  <si>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</si>
  <si>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</si>
  <si>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</si>
  <si>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</si>
  <si>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</si>
  <si>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</si>
  <si>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</si>
  <si>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</si>
  <si>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</si>
  <si>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</si>
  <si>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</si>
  <si>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</si>
  <si>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</si>
  <si>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</si>
  <si>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</si>
  <si>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</si>
  <si>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</si>
  <si>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</si>
  <si>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</si>
  <si>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</si>
  <si>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</si>
  <si>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</si>
  <si>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</si>
  <si>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</si>
  <si>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</si>
  <si>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</si>
  <si>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</si>
  <si>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</si>
  <si>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</si>
  <si>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</si>
  <si>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</si>
  <si>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</si>
  <si>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</si>
  <si>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</si>
  <si>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</si>
  <si>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</si>
  <si>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</si>
  <si>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</si>
  <si>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</si>
  <si>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</si>
  <si>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</si>
  <si>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</si>
  <si>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</si>
  <si>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</si>
  <si>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</si>
  <si>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</si>
  <si>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</si>
  <si>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 xml:space="preserve">ORDEN DE COMPRA </t>
  </si>
  <si>
    <t>CLASSIC 3111 BR</t>
  </si>
  <si>
    <t>HECTOR NUÑEZ</t>
  </si>
  <si>
    <t>+56 9 5717 1269</t>
  </si>
  <si>
    <t>3 DIAS HABILES</t>
  </si>
  <si>
    <t>CUB CON RESPALDO FRENTE ESPAÑOL</t>
  </si>
  <si>
    <t>N° 11519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</si>
</sst>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0" fillId="20" borderId="0" xfId="0" applyNumberFormat="1" applyFill="1"/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166" fontId="32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27</xdr:row>
      <xdr:rowOff>9525</xdr:rowOff>
    </xdr:from>
    <xdr:to>
      <xdr:col>5</xdr:col>
      <xdr:colOff>1769808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/>
            <a:t>Importante:</a:t>
          </a:r>
          <a:r>
            <a:rPr lang="es-CL" sz="1400"/>
            <a:t> Verifique que toda la información esté correcta antes de aceptar. No nos hacemos responsables por diferencias posteriores si los datos no fueron revisados.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23</xdr:row>
      <xdr:rowOff>9525</xdr:rowOff>
    </xdr:from>
    <xdr:to>
      <xdr:col>5</xdr:col>
      <xdr:colOff>1753421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200" b="1">
              <a:latin typeface="+mn-lt"/>
            </a:rPr>
            <a:t>Observaciones: </a:t>
          </a:r>
          <a:r>
            <a:rPr lang="es-CL" sz="1200">
              <a:latin typeface="+mn-lt"/>
            </a:rPr>
            <a:t>Las cubiertas se entregan </a:t>
          </a:r>
          <a:r>
            <a:rPr lang="es-CL" sz="1200" b="1">
              <a:latin typeface="+mn-lt"/>
            </a:rPr>
            <a:t>sobremedidas en el largo</a:t>
          </a:r>
          <a:r>
            <a:rPr lang="es-CL" sz="1200">
              <a:latin typeface="+mn-lt"/>
            </a:rPr>
            <a:t>, lo que permite al instalador realizar ajustes precisos en terreno. Esto asegura una mejor adaptación a muros que puedan estar descuadrados.</a:t>
          </a:r>
          <a:r>
            <a:rPr lang="es-CL" sz="1200" baseline="0">
              <a:latin typeface="+mn-lt"/>
            </a:rPr>
            <a:t> Se fabrican con material </a:t>
          </a:r>
          <a:r>
            <a:rPr lang="es-CL" sz="1200" b="1" baseline="0">
              <a:latin typeface="+mn-lt"/>
            </a:rPr>
            <a:t>MDF 18mm.</a:t>
          </a:r>
          <a:endParaRPr lang="es-CL" sz="1200" b="1">
            <a:latin typeface="+mn-lt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7.3320312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8" t="s">
        <v>126</v>
      </c>
      <c r="C8" s="329"/>
      <c r="D8" s="330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162</v>
      </c>
      <c r="C10" s="278" t="s">
        <v>169</v>
      </c>
      <c r="D10" s="243"/>
      <c r="E10" s="243"/>
      <c r="F10" s="244" t="s">
        <v>0</v>
      </c>
      <c r="G10" s="276">
        <v>45849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4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F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139</v>
      </c>
      <c r="C14" s="312"/>
      <c r="D14" s="247"/>
      <c r="E14" s="247"/>
      <c r="F14" s="313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170</v>
      </c>
      <c r="D15" s="308"/>
      <c r="F15" t="s">
        <v>134</v>
      </c>
      <c r="G15" s="306" t="s">
        <v>135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129</v>
      </c>
      <c r="G16" s="316" t="s">
        <v>163</v>
      </c>
      <c r="H16" s="248"/>
    </row>
    <row r="17" spans="1:25" ht="15" thickBot="1" x14ac:dyDescent="0.35">
      <c r="B17" s="309" t="s">
        <v>13</v>
      </c>
      <c r="C17" s="310" t="s">
        <v>166</v>
      </c>
      <c r="D17" s="311"/>
      <c r="E17" s="119"/>
      <c r="F17" s="341" t="s">
        <v>165</v>
      </c>
      <c r="G17" s="341"/>
      <c r="H17" s="342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43" t="s">
        <v>95</v>
      </c>
      <c r="C19" s="344"/>
      <c r="D19" s="344"/>
      <c r="E19" s="344"/>
      <c r="F19" s="344"/>
      <c r="G19" s="344"/>
      <c r="H19" s="345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8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62012.391304347824</v>
      </c>
      <c r="R20" s="258">
        <v>2000</v>
      </c>
      <c r="S20" s="38"/>
      <c r="T20" s="14" t="s">
        <v>128</v>
      </c>
      <c r="U20" s="9"/>
      <c r="X20" s="4"/>
    </row>
    <row r="21" spans="1:25" ht="17.399999999999999" x14ac:dyDescent="0.3">
      <c r="B21" s="331">
        <v>1</v>
      </c>
      <c r="C21" s="332" t="s">
        <v>172</v>
      </c>
      <c r="D21" s="333">
        <v>2.5</v>
      </c>
      <c r="E21" s="333">
        <v>0.6</v>
      </c>
      <c r="F21" s="332" t="s">
        <v>168</v>
      </c>
      <c r="G21" s="334">
        <f>Q21</f>
        <v>95995.181739130436</v>
      </c>
      <c r="H21" s="335">
        <f>G21*B21</f>
        <v>95995.181739130436</v>
      </c>
      <c r="I21" s="318"/>
      <c r="J21" s="265"/>
      <c r="K21" s="47"/>
      <c r="L21" s="324">
        <f>B21</f>
        <v>1</v>
      </c>
      <c r="M21" s="39">
        <f t="shared" ref="M21" si="1">D21+M$19</f>
        <v>2.58</v>
      </c>
      <c r="N21" s="39">
        <f t="shared" ref="N21" si="2">E21+$N$19</f>
        <v>0.6</v>
      </c>
      <c r="O21" s="261">
        <f t="shared" ref="O21" si="3">M21*N21</f>
        <v>1.548</v>
      </c>
      <c r="P21" s="259">
        <f t="shared" ref="P21" si="4">O21*L21</f>
        <v>1.548</v>
      </c>
      <c r="Q21" s="252">
        <f t="shared" ref="Q21" si="5">Q$20*O21</f>
        <v>95995.181739130436</v>
      </c>
      <c r="R21" s="317">
        <f t="shared" ref="R21" si="6">Q21+R$20</f>
        <v>97995.181739130436</v>
      </c>
      <c r="S21" s="295">
        <f t="shared" ref="S21" si="7">M21*L21</f>
        <v>2.58</v>
      </c>
      <c r="T21" s="46"/>
      <c r="U21" s="9"/>
      <c r="X21" s="4"/>
    </row>
    <row r="22" spans="1:25" ht="18" thickBot="1" x14ac:dyDescent="0.35">
      <c r="B22" s="336">
        <v>1</v>
      </c>
      <c r="C22" s="337" t="s">
        <v>172</v>
      </c>
      <c r="D22" s="338">
        <v>2</v>
      </c>
      <c r="E22" s="338">
        <v>0.45</v>
      </c>
      <c r="F22" s="337" t="s">
        <v>168</v>
      </c>
      <c r="G22" s="339">
        <f>Q22</f>
        <v>58043.59826086957</v>
      </c>
      <c r="H22" s="340">
        <f>G22*B22</f>
        <v>58043.59826086957</v>
      </c>
      <c r="I22" s="318"/>
      <c r="J22" s="265"/>
      <c r="K22" s="47"/>
      <c r="L22" s="324">
        <f t="shared" ref="L22" si="8">B22</f>
        <v>1</v>
      </c>
      <c r="M22" s="39">
        <f t="shared" ref="M22" si="9">D22+M$19</f>
        <v>2.08</v>
      </c>
      <c r="N22" s="39">
        <f t="shared" ref="N22" si="10">E22+$N$19</f>
        <v>0.45</v>
      </c>
      <c r="O22" s="261">
        <f t="shared" ref="O22" si="11">M22*N22</f>
        <v>0.93600000000000005</v>
      </c>
      <c r="P22" s="259">
        <f t="shared" ref="P22" si="12">O22*L22</f>
        <v>0.93600000000000005</v>
      </c>
      <c r="Q22" s="252">
        <f t="shared" ref="Q22" si="13">Q$20*O22</f>
        <v>58043.59826086957</v>
      </c>
      <c r="R22" s="317">
        <f t="shared" ref="R22" si="14">Q22+R$20</f>
        <v>60043.59826086957</v>
      </c>
      <c r="S22" s="295">
        <f t="shared" ref="S22" si="15">M22*L22</f>
        <v>2.08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19"/>
      <c r="I23" s="321"/>
      <c r="J23" s="233"/>
      <c r="K23" s="47"/>
      <c r="L23" s="47"/>
      <c r="M23" s="39"/>
      <c r="N23" s="39"/>
      <c r="O23" s="261"/>
      <c r="P23" s="259"/>
      <c r="Q23" s="252"/>
      <c r="R23" s="258"/>
      <c r="S23" s="295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2" t="s">
        <v>28</v>
      </c>
      <c r="H24" s="323">
        <f>SUM(H21:H23)</f>
        <v>154038.78</v>
      </c>
      <c r="I24" s="320"/>
      <c r="J24" s="265"/>
      <c r="K24" s="47"/>
      <c r="L24" s="47"/>
      <c r="M24" s="39">
        <f>SUM(M21:M22)</f>
        <v>4.66</v>
      </c>
      <c r="N24" s="39"/>
      <c r="O24" s="261"/>
      <c r="P24" s="259"/>
      <c r="Q24" s="252"/>
      <c r="R24" s="258"/>
      <c r="S24" s="295"/>
      <c r="T24" s="46">
        <f>SUM(T21:T23)</f>
        <v>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4" t="s">
        <v>51</v>
      </c>
      <c r="H25" s="292">
        <f>H24*19%</f>
        <v>29267.368200000001</v>
      </c>
      <c r="I25" s="320"/>
      <c r="J25" s="265"/>
      <c r="K25" s="47"/>
      <c r="L25" s="47"/>
      <c r="N25" s="12"/>
      <c r="O25" s="12"/>
      <c r="P25" s="253">
        <f>SUM(P21:P23)</f>
        <v>2.484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3">
        <f>H24+H25</f>
        <v>183306.1482</v>
      </c>
      <c r="I26" s="320"/>
      <c r="J26" s="265"/>
      <c r="K26" s="47"/>
      <c r="L26" s="47"/>
      <c r="M26" s="39"/>
      <c r="N26" s="12"/>
      <c r="O26" s="12"/>
      <c r="P26" s="253">
        <f>P25</f>
        <v>2.484</v>
      </c>
      <c r="Q26" s="14"/>
      <c r="R26" s="12"/>
      <c r="S26" s="239">
        <f>SUM(S21:S25)</f>
        <v>4.66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0.49680000000000002</v>
      </c>
      <c r="Q27" s="39" t="s">
        <v>130</v>
      </c>
      <c r="R27" s="42"/>
      <c r="S27" s="240">
        <f>S26+T24</f>
        <v>4.66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2.9807999999999999</v>
      </c>
      <c r="Q28" s="14"/>
      <c r="R28" s="14"/>
      <c r="S28" s="238">
        <f>S27*20%</f>
        <v>0.93200000000000005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5.5920000000000005</v>
      </c>
      <c r="T29" s="14"/>
      <c r="U29" s="300" t="s">
        <v>21</v>
      </c>
      <c r="V29" s="297" t="s">
        <v>152</v>
      </c>
      <c r="W29" s="301">
        <v>44971</v>
      </c>
      <c r="X29" s="302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2.9807999999999999</v>
      </c>
      <c r="N30" s="12">
        <v>3500</v>
      </c>
      <c r="O30" s="12">
        <f t="shared" ref="O30:O35" si="16">M30*N30</f>
        <v>10432.799999999999</v>
      </c>
      <c r="P30" s="14" t="s">
        <v>21</v>
      </c>
      <c r="Q30" s="14"/>
      <c r="R30" s="14"/>
      <c r="S30" s="241"/>
      <c r="T30" s="14"/>
      <c r="U30" s="300" t="s">
        <v>153</v>
      </c>
      <c r="V30" s="297">
        <v>3625</v>
      </c>
      <c r="W30" s="59" t="s">
        <v>154</v>
      </c>
      <c r="X30" s="302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0.81</v>
      </c>
      <c r="N31" s="12">
        <v>23500</v>
      </c>
      <c r="O31" s="12">
        <f t="shared" si="16"/>
        <v>19035</v>
      </c>
      <c r="P31" s="39" t="s">
        <v>31</v>
      </c>
      <c r="Q31" s="42"/>
      <c r="R31" s="14"/>
      <c r="S31" s="240"/>
      <c r="T31" s="14"/>
      <c r="U31" s="300"/>
      <c r="V31" s="59">
        <v>906.25</v>
      </c>
      <c r="W31" s="59" t="s">
        <v>155</v>
      </c>
      <c r="X31" s="302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65000</v>
      </c>
      <c r="O32" s="12">
        <f t="shared" si="16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2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2</v>
      </c>
      <c r="N33" s="250">
        <v>19197</v>
      </c>
      <c r="O33" s="12">
        <f t="shared" si="16"/>
        <v>38394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2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16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1"/>
      <c r="K35" s="260"/>
      <c r="L35" s="250"/>
      <c r="M35" s="266">
        <v>3.66</v>
      </c>
      <c r="N35" s="12">
        <v>1500</v>
      </c>
      <c r="O35" s="12">
        <f t="shared" si="16"/>
        <v>5490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73351.8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154038.78</v>
      </c>
      <c r="P37" s="14" t="s">
        <v>140</v>
      </c>
      <c r="Q37" s="14"/>
      <c r="R37" s="40">
        <f>P28/R36</f>
        <v>0.80371009490940459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77240</v>
      </c>
      <c r="L38" s="250"/>
      <c r="M38" s="14"/>
      <c r="N38" s="12"/>
      <c r="O38" s="12">
        <f>O37/P26</f>
        <v>62012.391304347824</v>
      </c>
      <c r="P38" s="45" t="s">
        <v>24</v>
      </c>
      <c r="Q38" s="14"/>
      <c r="R38" s="14"/>
      <c r="S38"/>
      <c r="T38" s="238"/>
      <c r="U38" s="59" t="s">
        <v>158</v>
      </c>
      <c r="V38" s="297">
        <v>43650</v>
      </c>
    </row>
    <row r="39" spans="2:24" s="230" customFormat="1" ht="17.399999999999999" x14ac:dyDescent="0.35">
      <c r="G39"/>
      <c r="K39" s="230">
        <f>K38/1.19</f>
        <v>64907.563025210089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298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299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D12" sqref="D12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HECTOR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7" t="s">
        <v>98</v>
      </c>
      <c r="I7" s="348"/>
      <c r="J7" s="348"/>
      <c r="K7" s="349"/>
      <c r="N7" s="75"/>
      <c r="O7" s="346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11519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6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-9365.1100334541097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154038.78</v>
      </c>
      <c r="E11" s="132">
        <f>D11*0.19</f>
        <v>29267.368200000001</v>
      </c>
      <c r="F11" s="131">
        <f>E11+D11</f>
        <v>183306.1482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96624.889966545888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59301.89078743961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78624.889966545888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94736.889212560389</v>
      </c>
      <c r="E13" s="221">
        <f>(D11/D12)-1</f>
        <v>1.5975357270164152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69624.889966545888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30624.889966545888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97848.119799275344</v>
      </c>
      <c r="F15" s="216">
        <f>E15-D12</f>
        <v>38546.229011835734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30624.889966545888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70624.889966545888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19035</v>
      </c>
      <c r="E19" s="123">
        <f>D19*0.19</f>
        <v>3616.65</v>
      </c>
      <c r="F19" s="120">
        <f>SUM(D19:E19)</f>
        <v>22651.65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10432.799999999999</v>
      </c>
      <c r="E20" s="121">
        <f>D20*0.19</f>
        <v>1982.232</v>
      </c>
      <c r="F20" s="120">
        <f>SUM(D20:E20)</f>
        <v>12415.031999999999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29467.8</v>
      </c>
      <c r="E21" s="116">
        <f>SUM(E18:E20)</f>
        <v>5598.8819999999996</v>
      </c>
      <c r="F21" s="115">
        <f>SUM(F18:F20)</f>
        <v>35066.682000000001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23668.486199999999</v>
      </c>
    </row>
    <row r="41" spans="2:16" ht="15" thickBot="1" x14ac:dyDescent="0.35">
      <c r="H41" s="350" t="s">
        <v>60</v>
      </c>
      <c r="I41" s="351"/>
      <c r="J41" s="351"/>
      <c r="K41" s="351"/>
      <c r="L41" s="351"/>
      <c r="M41" s="352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154038.78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29467.8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94736.889212560389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94736.889212560389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2025-07-11T19:26:19Z</cp:lastPrinted>
  <dcterms:created xsi:type="dcterms:W3CDTF">2013-03-18T13:35:42Z</dcterms:created>
  <dcterms:modified xsi:type="dcterms:W3CDTF">2025-07-11T20:01:33Z</dcterms:modified>
</cp:coreProperties>
</file>