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2FB0B0A8-9378-446C-B25D-E891AA7ED1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22" i="1"/>
  <c r="L21" i="1"/>
  <c r="M21" i="1"/>
  <c r="O21" i="1" s="1"/>
  <c r="N21" i="1"/>
  <c r="L22" i="1"/>
  <c r="M22" i="1"/>
  <c r="N22" i="1"/>
  <c r="J15" i="1"/>
  <c r="J10" i="1"/>
  <c r="P21" i="1" l="1"/>
  <c r="O22" i="1"/>
  <c r="P22" i="1" s="1"/>
  <c r="S22" i="1"/>
  <c r="S21" i="1"/>
  <c r="S27" i="1" s="1"/>
  <c r="M26" i="1"/>
  <c r="T25" i="1"/>
  <c r="K40" i="1"/>
  <c r="P26" i="1" l="1"/>
  <c r="S28" i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2" i="1" l="1"/>
  <c r="R22" i="1" s="1"/>
  <c r="Q21" i="1"/>
  <c r="R21" i="1" s="1"/>
  <c r="O40" i="1"/>
  <c r="E15" i="3"/>
  <c r="F15" i="3" l="1"/>
  <c r="H25" i="1" l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<sst xmlns="http://schemas.openxmlformats.org/spreadsheetml/2006/main" count="232" uniqueCount="176">
  <si>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</si>
  <si>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</si>
  <si>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</si>
  <si>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</si>
  <si>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</si>
  <si>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</si>
  <si>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</si>
  <si>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</si>
  <si>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</si>
  <si>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</si>
  <si>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</si>
  <si>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</si>
  <si>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</si>
  <si>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</si>
  <si>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</si>
  <si>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</si>
  <si>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</si>
  <si>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</si>
  <si>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</si>
  <si>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</si>
  <si>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</si>
  <si>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</si>
  <si>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</si>
  <si>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</si>
  <si>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</si>
  <si>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</si>
  <si>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</si>
  <si>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</si>
  <si>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</si>
  <si>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</si>
  <si>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</si>
  <si>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</si>
  <si>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</si>
  <si>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</si>
  <si>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</si>
  <si>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</si>
  <si>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</si>
  <si>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</si>
  <si>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</si>
  <si>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</si>
  <si>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</si>
  <si>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</si>
  <si>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</si>
  <si>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</si>
  <si>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</si>
  <si>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</si>
  <si>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</si>
  <si>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</si>
  <si>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</si>
  <si>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</si>
  <si>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</si>
  <si>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</si>
  <si>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</si>
  <si>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</si>
  <si>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</si>
  <si>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</si>
  <si>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</si>
  <si>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</si>
  <si>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</si>
  <si>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</si>
  <si>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</si>
  <si>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</si>
  <si>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</si>
  <si>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</si>
  <si>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</si>
  <si>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</si>
  <si>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</si>
  <si>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</si>
  <si>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</si>
  <si>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</si>
  <si>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</si>
  <si>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</si>
  <si>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</si>
  <si>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</si>
  <si>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</si>
  <si>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</si>
  <si>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</si>
  <si>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</si>
  <si>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</si>
  <si>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</si>
  <si>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</si>
  <si>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</si>
  <si>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</si>
  <si>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</si>
  <si>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</si>
  <si>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</si>
  <si>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</si>
  <si>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</si>
  <si>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</si>
  <si>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</si>
  <si>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</si>
  <si>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</si>
  <si>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</si>
  <si>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</si>
  <si>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</si>
  <si>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</si>
  <si>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</si>
  <si>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</si>
  <si>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</si>
  <si>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</si>
  <si>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</si>
  <si>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</si>
  <si>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</si>
  <si>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</si>
  <si>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</si>
  <si>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</si>
  <si>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</si>
  <si>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</si>
  <si>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</si>
  <si>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</si>
  <si>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</si>
  <si>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</si>
  <si>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</si>
  <si>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</si>
  <si>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</si>
  <si>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</si>
  <si>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</si>
  <si>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</si>
  <si>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</si>
  <si>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</si>
  <si>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</si>
  <si>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</si>
  <si>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</si>
  <si>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</si>
  <si>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</si>
  <si>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</si>
  <si>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</si>
  <si>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</si>
  <si>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</si>
  <si>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</si>
  <si>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</si>
  <si>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</si>
  <si>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</si>
  <si>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</si>
  <si>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</si>
  <si>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</si>
  <si>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</si>
  <si>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</si>
  <si>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</si>
  <si>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</si>
  <si>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</si>
  <si>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</si>
  <si>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</si>
  <si>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</si>
  <si>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</si>
  <si>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</si>
  <si>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</si>
  <si>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</si>
  <si>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</si>
  <si>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</si>
  <si>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</si>
  <si>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</si>
  <si>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</si>
  <si>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</si>
  <si>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</si>
  <si>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</si>
  <si>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</si>
  <si>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</si>
  <si>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</si>
  <si>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</si>
  <si>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</si>
  <si>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</si>
  <si>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</si>
  <si>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</si>
  <si>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</si>
  <si>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</si>
  <si>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</si>
  <si>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</si>
  <si>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</si>
  <si>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</si>
  <si>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>no</t>
  </si>
  <si>
    <t>CUB CON RESPALDO FRENTE 90°</t>
  </si>
  <si>
    <t xml:space="preserve">ORDEN DE COMPRA </t>
  </si>
  <si>
    <t>VENETO 3173 MT</t>
  </si>
  <si>
    <t>N° 11506</t>
  </si>
  <si>
    <t>3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</si>
</sst>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5" zoomScale="93" zoomScaleNormal="93" workbookViewId="0">
      <selection activeCell="G15" sqref="G15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174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45845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175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170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C13" t="s">
        <v>168</v>
      </c>
      <c r="F13" t="s">
        <v>172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169</v>
      </c>
      <c r="H15" s="289"/>
      <c r="J15">
        <f>SUM(J12:J14)</f>
        <v>158</v>
      </c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83900.951008645556</v>
      </c>
      <c r="R20" s="258">
        <v>2000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171</v>
      </c>
      <c r="D21" s="333">
        <v>1.43</v>
      </c>
      <c r="E21" s="333">
        <v>0.6</v>
      </c>
      <c r="F21" s="330" t="s">
        <v>173</v>
      </c>
      <c r="G21" s="331">
        <v>78014</v>
      </c>
      <c r="H21" s="331">
        <f t="shared" ref="H21:H22" si="1">G21*B21</f>
        <v>78014</v>
      </c>
      <c r="I21" s="320"/>
      <c r="J21" s="265">
        <v>19</v>
      </c>
      <c r="K21" s="47"/>
      <c r="L21" s="332">
        <f t="shared" ref="L21:L22" si="2">B21</f>
        <v>1</v>
      </c>
      <c r="M21" s="39">
        <f t="shared" ref="M21:M22" si="3">D21+M$19</f>
        <v>1.51</v>
      </c>
      <c r="N21" s="39">
        <f t="shared" ref="N21:N22" si="4">E21+$N$19</f>
        <v>0.6</v>
      </c>
      <c r="O21" s="261">
        <f t="shared" ref="O21:O22" si="5">M21*N21</f>
        <v>0.90599999999999992</v>
      </c>
      <c r="P21" s="259">
        <f t="shared" ref="P21:P22" si="6">O21*L21</f>
        <v>0.90599999999999992</v>
      </c>
      <c r="Q21" s="252">
        <f t="shared" ref="Q21:Q22" si="7">Q$20*O21</f>
        <v>76014.261613832859</v>
      </c>
      <c r="R21" s="319">
        <f t="shared" ref="R21:R22" si="8">Q21+R$20</f>
        <v>78014.261613832859</v>
      </c>
      <c r="S21" s="297">
        <f t="shared" ref="S21:S22" si="9">M21*L21</f>
        <v>1.51</v>
      </c>
      <c r="T21" s="46"/>
      <c r="U21" s="9"/>
      <c r="X21" s="4"/>
    </row>
    <row r="22" spans="1:25" ht="17.399999999999999" x14ac:dyDescent="0.3">
      <c r="B22" s="330">
        <v>1</v>
      </c>
      <c r="C22" s="330" t="s">
        <v>171</v>
      </c>
      <c r="D22" s="333">
        <v>1.88</v>
      </c>
      <c r="E22" s="333">
        <v>0.6</v>
      </c>
      <c r="F22" s="330" t="s">
        <v>173</v>
      </c>
      <c r="G22" s="331">
        <v>100668</v>
      </c>
      <c r="H22" s="331">
        <f t="shared" si="1"/>
        <v>100668</v>
      </c>
      <c r="I22" s="320"/>
      <c r="J22" s="265"/>
      <c r="K22" s="47"/>
      <c r="L22" s="332">
        <f t="shared" si="2"/>
        <v>1</v>
      </c>
      <c r="M22" s="39">
        <f t="shared" si="3"/>
        <v>1.96</v>
      </c>
      <c r="N22" s="39">
        <f t="shared" si="4"/>
        <v>0.6</v>
      </c>
      <c r="O22" s="261">
        <f t="shared" si="5"/>
        <v>1.1759999999999999</v>
      </c>
      <c r="P22" s="259">
        <f t="shared" si="6"/>
        <v>1.1759999999999999</v>
      </c>
      <c r="Q22" s="252">
        <f t="shared" si="7"/>
        <v>98667.518386167169</v>
      </c>
      <c r="R22" s="319">
        <f t="shared" si="8"/>
        <v>100667.51838616717</v>
      </c>
      <c r="S22" s="297">
        <f t="shared" si="9"/>
        <v>1.96</v>
      </c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332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178682</v>
      </c>
      <c r="I25" s="322"/>
      <c r="J25" s="265"/>
      <c r="K25" s="47"/>
      <c r="L25" s="47"/>
      <c r="M25" s="39"/>
      <c r="N25" s="39"/>
      <c r="O25" s="261"/>
      <c r="P25" s="259"/>
      <c r="Q25" s="252"/>
      <c r="R25" s="258"/>
      <c r="S25" s="297"/>
      <c r="T25" s="46">
        <f>SUM(T21:T24)</f>
        <v>0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33949.58</v>
      </c>
      <c r="I26" s="322"/>
      <c r="J26" s="265"/>
      <c r="K26" s="47"/>
      <c r="L26" s="47"/>
      <c r="M26" s="39">
        <f>SUM(M21:M25)</f>
        <v>3.4699999999999998</v>
      </c>
      <c r="N26" s="12"/>
      <c r="O26" s="12"/>
      <c r="P26" s="253">
        <f>SUM(P21:P24)</f>
        <v>2.0819999999999999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212631.58000000002</v>
      </c>
      <c r="I27" s="322"/>
      <c r="J27" s="265"/>
      <c r="K27" s="47"/>
      <c r="L27" s="47"/>
      <c r="M27" s="39"/>
      <c r="N27" s="12"/>
      <c r="O27" s="12"/>
      <c r="P27" s="253">
        <f>P26</f>
        <v>2.0819999999999999</v>
      </c>
      <c r="Q27" s="14"/>
      <c r="R27" s="12"/>
      <c r="S27" s="239">
        <f>SUM(S21:S26)</f>
        <v>3.4699999999999998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0.41639999999999999</v>
      </c>
      <c r="Q28" s="39" t="s">
        <v>130</v>
      </c>
      <c r="R28" s="42"/>
      <c r="S28" s="240">
        <f>S27+T25</f>
        <v>3.4699999999999998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2.4983999999999997</v>
      </c>
      <c r="Q29" s="14"/>
      <c r="R29" s="14"/>
      <c r="S29" s="238">
        <f>S28*20%</f>
        <v>0.69399999999999995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4.1639999999999997</v>
      </c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2.4983999999999997</v>
      </c>
      <c r="N31" s="12">
        <v>2000</v>
      </c>
      <c r="O31" s="12">
        <f t="shared" ref="O31:O36" si="10">M31*N31</f>
        <v>4996.7999999999993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0.7</v>
      </c>
      <c r="N32" s="12">
        <v>23500</v>
      </c>
      <c r="O32" s="12">
        <f t="shared" si="10"/>
        <v>16450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67000</v>
      </c>
      <c r="O33" s="12">
        <f t="shared" si="10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/>
      <c r="L34" s="250"/>
      <c r="M34" s="14">
        <v>1</v>
      </c>
      <c r="N34" s="250">
        <v>60000</v>
      </c>
      <c r="O34" s="12">
        <f t="shared" si="10"/>
        <v>60000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10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>
        <v>3.47</v>
      </c>
      <c r="N36" s="12">
        <v>500</v>
      </c>
      <c r="O36" s="12">
        <f t="shared" si="10"/>
        <v>1735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83181.8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O37*2.1</f>
        <v>174681.78000000003</v>
      </c>
      <c r="P38" s="14" t="s">
        <v>140</v>
      </c>
      <c r="Q38" s="14"/>
      <c r="R38" s="40">
        <f>P29/R37</f>
        <v>0.67364106988783423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40000</v>
      </c>
      <c r="L39" s="250"/>
      <c r="M39" s="14"/>
      <c r="N39" s="12"/>
      <c r="O39" s="12">
        <f>O38/P27</f>
        <v>83900.951008645556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K40" s="230">
        <f>K39/1.19</f>
        <v>33613.445378151264</v>
      </c>
      <c r="L40" s="250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45845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11506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-15678.088366787442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178682</v>
      </c>
      <c r="E11" s="132">
        <f>D11*0.19</f>
        <v>33949.58</v>
      </c>
      <c r="F11" s="131">
        <f>E11+D11</f>
        <v>212631.58000000002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90311.911633212556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51280.89078743961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72311.911633212556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127401.10921256039</v>
      </c>
      <c r="E13" s="221">
        <f>(D11/D12)-1</f>
        <v>2.4843778502335443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63311.911633212556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24311.911633212556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84613.46979927535</v>
      </c>
      <c r="F15" s="216">
        <f>E15-D12</f>
        <v>33332.57901183574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24311.911633212556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64311.911633212556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16450</v>
      </c>
      <c r="E19" s="123">
        <f>D19*0.19</f>
        <v>3125.5</v>
      </c>
      <c r="F19" s="120">
        <f>SUM(D19:E19)</f>
        <v>19575.5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4996.7999999999993</v>
      </c>
      <c r="E20" s="121">
        <f>D20*0.19</f>
        <v>949.39199999999983</v>
      </c>
      <c r="F20" s="120">
        <f>SUM(D20:E20)</f>
        <v>5946.1919999999991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21446.799999999999</v>
      </c>
      <c r="E21" s="116">
        <f>SUM(E18:E20)</f>
        <v>4074.8919999999998</v>
      </c>
      <c r="F21" s="115">
        <f>SUM(F18:F20)</f>
        <v>25521.691999999999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29874.688000000002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178682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21446.799999999999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127401.10921256039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127401.10921256039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2025-05-20T16:58:08Z</cp:lastPrinted>
  <dcterms:created xsi:type="dcterms:W3CDTF">2013-03-18T13:35:42Z</dcterms:created>
  <dcterms:modified xsi:type="dcterms:W3CDTF">2025-07-07T20:02:02Z</dcterms:modified>
</cp:coreProperties>
</file>