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AC4F2088-31DD-48FB-BDE9-6C12DB174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L21" i="1"/>
  <c r="M21" i="1"/>
  <c r="N21" i="1"/>
  <c r="O22" i="1" l="1"/>
  <c r="P22" i="1" s="1"/>
  <c r="O21" i="1"/>
  <c r="P21" i="1" s="1"/>
  <c r="S21" i="1"/>
  <c r="M26" i="1"/>
  <c r="T25" i="1"/>
  <c r="K40" i="1"/>
  <c r="S27" i="1" l="1"/>
  <c r="S28" i="1" s="1"/>
  <c r="S29" i="1" s="1"/>
  <c r="S30" i="1" s="1"/>
  <c r="P26" i="1"/>
  <c r="V33" i="1"/>
  <c r="V34" i="1" s="1"/>
  <c r="O32" i="1" l="1"/>
  <c r="P27" i="1" l="1"/>
  <c r="N20" i="1"/>
  <c r="L20" i="1"/>
  <c r="P28" i="1" l="1"/>
  <c r="P29" i="1" s="1"/>
  <c r="M31" i="1" s="1"/>
  <c r="O33" i="1"/>
  <c r="D18" i="3" s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H22" i="1" l="1"/>
  <c r="R22" i="1"/>
  <c r="R21" i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<sst xmlns="http://schemas.openxmlformats.org/spreadsheetml/2006/main" count="233" uniqueCount="175">
  <si>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</si>
  <si>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</si>
  <si>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</si>
  <si>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</si>
  <si>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</si>
  <si>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</si>
  <si>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</si>
  <si>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</si>
  <si>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</si>
  <si>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</si>
  <si>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</si>
  <si>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</si>
  <si>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</si>
  <si>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</si>
  <si>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</si>
  <si>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</si>
  <si>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</si>
  <si>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</si>
  <si>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</si>
  <si>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</si>
  <si>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</si>
  <si>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</si>
  <si>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</si>
  <si>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</si>
  <si>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</si>
  <si>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</si>
  <si>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</si>
  <si>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</si>
  <si>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</si>
  <si>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</si>
  <si>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</si>
  <si>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</si>
  <si>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</si>
  <si>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</si>
  <si>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</si>
  <si>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</si>
  <si>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</si>
  <si>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</si>
  <si>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</si>
  <si>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</si>
  <si>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</si>
  <si>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</si>
  <si>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</si>
  <si>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</si>
  <si>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</si>
  <si>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</si>
  <si>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</si>
  <si>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</si>
  <si>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</si>
  <si>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</si>
  <si>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</si>
  <si>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</si>
  <si>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</si>
  <si>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</si>
  <si>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</si>
  <si>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</si>
  <si>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</si>
  <si>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</si>
  <si>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</si>
  <si>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</si>
  <si>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</si>
  <si>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</si>
  <si>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</si>
  <si>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</si>
  <si>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</si>
  <si>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</si>
  <si>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</si>
  <si>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</si>
  <si>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</si>
  <si>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</si>
  <si>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</si>
  <si>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</si>
  <si>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</si>
  <si>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</si>
  <si>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</si>
  <si>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</si>
  <si>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</si>
  <si>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</si>
  <si>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</si>
  <si>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</si>
  <si>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</si>
  <si>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</si>
  <si>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</si>
  <si>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</si>
  <si>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</si>
  <si>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</si>
  <si>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</si>
  <si>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</si>
  <si>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</si>
  <si>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</si>
  <si>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</si>
  <si>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</si>
  <si>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</si>
  <si>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</si>
  <si>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</si>
  <si>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</si>
  <si>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</si>
  <si>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</si>
  <si>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</si>
  <si>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</si>
  <si>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</si>
  <si>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</si>
  <si>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</si>
  <si>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</si>
  <si>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</si>
  <si>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</si>
  <si>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</si>
  <si>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</si>
  <si>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</si>
  <si>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</si>
  <si>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</si>
  <si>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</si>
  <si>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</si>
  <si>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</si>
  <si>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</si>
  <si>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</si>
  <si>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</si>
  <si>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</si>
  <si>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</si>
  <si>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</si>
  <si>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</si>
  <si>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</si>
  <si>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</si>
  <si>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</si>
  <si>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</si>
  <si>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</si>
  <si>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</si>
  <si>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</si>
  <si>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</si>
  <si>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</si>
  <si>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</si>
  <si>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</si>
  <si>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</si>
  <si>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</si>
  <si>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</si>
  <si>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</si>
  <si>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</si>
  <si>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</si>
  <si>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</si>
  <si>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</si>
  <si>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</si>
  <si>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</si>
  <si>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</si>
  <si>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</si>
  <si>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</si>
  <si>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</si>
  <si>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</si>
  <si>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</si>
  <si>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</si>
  <si>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</si>
  <si>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</si>
  <si>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</si>
  <si>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</si>
  <si>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</si>
  <si>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</si>
  <si>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</si>
  <si>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</si>
  <si>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</si>
  <si>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</si>
  <si>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</si>
  <si>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</si>
  <si>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</si>
  <si>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</si>
  <si>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</si>
  <si>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</si>
  <si>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</si>
  <si>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</si>
  <si>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</si>
  <si>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</si>
  <si>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GONZALO HENRIQUEZ</t>
  </si>
  <si>
    <t>+56 9 7659 4916</t>
  </si>
  <si>
    <t>ghenriquezandrade@gmail.com</t>
  </si>
  <si>
    <t>CUB CON RESPALDO FRENTE ESPAÑOL R6</t>
  </si>
  <si>
    <t>N° 11510</t>
  </si>
  <si>
    <t>WHITE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</si>
</sst>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28</xdr:row>
      <xdr:rowOff>9525</xdr:rowOff>
    </xdr:from>
    <xdr:to>
      <xdr:col>5</xdr:col>
      <xdr:colOff>1769808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24</xdr:row>
      <xdr:rowOff>9525</xdr:rowOff>
    </xdr:from>
    <xdr:to>
      <xdr:col>5</xdr:col>
      <xdr:colOff>1753421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henriquezandrade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441406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 t="s">
        <v>171</v>
      </c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64966.795096322247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2.65</v>
      </c>
      <c r="E21" s="333">
        <v>0.55000000000000004</v>
      </c>
      <c r="F21" s="330" t="s">
        <v>174</v>
      </c>
      <c r="G21" s="331">
        <v>99548</v>
      </c>
      <c r="H21" s="331">
        <f t="shared" ref="H21:H22" si="1">G21*B21</f>
        <v>99548</v>
      </c>
      <c r="I21" s="320"/>
      <c r="J21" s="265"/>
      <c r="K21" s="47"/>
      <c r="L21" s="332">
        <f t="shared" ref="L21" si="2">B21</f>
        <v>1</v>
      </c>
      <c r="M21" s="39">
        <f t="shared" ref="M21" si="3">D21+M$19</f>
        <v>2.73</v>
      </c>
      <c r="N21" s="39">
        <f t="shared" ref="N21" si="4">E21+$N$19</f>
        <v>0.55000000000000004</v>
      </c>
      <c r="O21" s="261">
        <f t="shared" ref="O21" si="5">M21*N21</f>
        <v>1.5015000000000001</v>
      </c>
      <c r="P21" s="259">
        <f t="shared" ref="P21" si="6">O21*L21</f>
        <v>1.5015000000000001</v>
      </c>
      <c r="Q21" s="252">
        <f t="shared" ref="Q21" si="7">Q$20*O21</f>
        <v>97547.64283712786</v>
      </c>
      <c r="R21" s="319">
        <f t="shared" ref="R21" si="8">Q21+R$20</f>
        <v>99547.64283712786</v>
      </c>
      <c r="S21" s="297">
        <f t="shared" ref="S21" si="9">M21*L21</f>
        <v>2.73</v>
      </c>
      <c r="T21" s="46"/>
      <c r="U21" s="9"/>
      <c r="X21" s="4"/>
    </row>
    <row r="22" spans="1:25" ht="17.399999999999999" x14ac:dyDescent="0.3">
      <c r="B22" s="330">
        <v>1</v>
      </c>
      <c r="C22" s="330" t="s">
        <v>172</v>
      </c>
      <c r="D22" s="333">
        <v>2.9</v>
      </c>
      <c r="E22" s="333">
        <v>0.55000000000000004</v>
      </c>
      <c r="F22" s="330" t="s">
        <v>174</v>
      </c>
      <c r="G22" s="331">
        <v>108481</v>
      </c>
      <c r="H22" s="331">
        <f t="shared" si="1"/>
        <v>108481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2.98</v>
      </c>
      <c r="N22" s="39">
        <f t="shared" ref="N22" si="12">E22+$N$19</f>
        <v>0.55000000000000004</v>
      </c>
      <c r="O22" s="261">
        <f t="shared" ref="O22" si="13">M22*N22</f>
        <v>1.639</v>
      </c>
      <c r="P22" s="259">
        <f t="shared" ref="P22" si="14">O22*L22</f>
        <v>1.639</v>
      </c>
      <c r="Q22" s="252">
        <f t="shared" ref="Q22" si="15">Q$20*O22</f>
        <v>106480.57716287216</v>
      </c>
      <c r="R22" s="319">
        <f t="shared" ref="R22" si="16">Q22+R$20</f>
        <v>108480.57716287216</v>
      </c>
      <c r="S22" s="297">
        <f t="shared" ref="S22" si="17">M22*L22</f>
        <v>2.98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208029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39525.51</v>
      </c>
      <c r="I26" s="322"/>
      <c r="J26" s="265"/>
      <c r="K26" s="47"/>
      <c r="L26" s="47"/>
      <c r="M26" s="39">
        <f>SUM(M21:M25)</f>
        <v>5.71</v>
      </c>
      <c r="N26" s="12"/>
      <c r="O26" s="12"/>
      <c r="P26" s="253">
        <f>SUM(P21:P24)</f>
        <v>3.1405000000000003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247554.51</v>
      </c>
      <c r="I27" s="322"/>
      <c r="J27" s="265"/>
      <c r="K27" s="47"/>
      <c r="L27" s="47"/>
      <c r="M27" s="39"/>
      <c r="N27" s="12"/>
      <c r="O27" s="12"/>
      <c r="P27" s="253">
        <f>P26</f>
        <v>3.1405000000000003</v>
      </c>
      <c r="Q27" s="14"/>
      <c r="R27" s="12"/>
      <c r="S27" s="239">
        <f>SUM(S21:S26)</f>
        <v>5.71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0.6281000000000001</v>
      </c>
      <c r="Q28" s="39" t="s">
        <v>130</v>
      </c>
      <c r="R28" s="42"/>
      <c r="S28" s="240">
        <f>S27+T25</f>
        <v>5.71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3.7686000000000002</v>
      </c>
      <c r="Q29" s="14"/>
      <c r="R29" s="14"/>
      <c r="S29" s="238">
        <f>S28*20%</f>
        <v>1.1420000000000001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6.8520000000000003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3.7686000000000002</v>
      </c>
      <c r="N31" s="12">
        <v>3500</v>
      </c>
      <c r="O31" s="12">
        <f t="shared" ref="O31:O36" si="18">M31*N31</f>
        <v>13190.1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8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67000</v>
      </c>
      <c r="O33" s="12">
        <f t="shared" si="18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23000</v>
      </c>
      <c r="O34" s="12">
        <f t="shared" si="18"/>
        <v>46000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8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5.7</v>
      </c>
      <c r="N36" s="12">
        <v>1500</v>
      </c>
      <c r="O36" s="12">
        <f t="shared" si="18"/>
        <v>8550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92740.1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204028.22000000003</v>
      </c>
      <c r="P38" s="14" t="s">
        <v>140</v>
      </c>
      <c r="Q38" s="14"/>
      <c r="R38" s="40">
        <f>P29/R37</f>
        <v>1.0161238136324418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64966.795096322247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261FA49A-61D0-4BAC-8FAE-DEC51D37EC61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GONZALO HENRIQUEZ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-15964.847533454107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208029</v>
      </c>
      <c r="E11" s="132">
        <f>D11*0.19</f>
        <v>39525.51</v>
      </c>
      <c r="F11" s="131">
        <f>E11+D11</f>
        <v>247554.51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90025.1524665459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68024.190787439613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72025.1524665459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140004.80921256039</v>
      </c>
      <c r="E13" s="221">
        <f>(D11/D12)-1</f>
        <v>2.0581620684036377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63025.152466545893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24025.152466545893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112239.91479927536</v>
      </c>
      <c r="F15" s="216">
        <f>E15-D12</f>
        <v>44215.724011835744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24025.152466545893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64025.152466545893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13190.1</v>
      </c>
      <c r="E20" s="121">
        <f>D20*0.19</f>
        <v>2506.1190000000001</v>
      </c>
      <c r="F20" s="120">
        <f>SUM(D20:E20)</f>
        <v>15696.219000000001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38190.1</v>
      </c>
      <c r="E21" s="116">
        <f>SUM(E18:E20)</f>
        <v>7256.1190000000006</v>
      </c>
      <c r="F21" s="115">
        <f>SUM(F18:F20)</f>
        <v>45446.218999999997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32269.391000000003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208029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38190.1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140004.80921256039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140004.80921256039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2025-07-08T18:53:50Z</cp:lastPrinted>
  <dcterms:created xsi:type="dcterms:W3CDTF">2013-03-18T13:35:42Z</dcterms:created>
  <dcterms:modified xsi:type="dcterms:W3CDTF">2025-07-09T14:57:36Z</dcterms:modified>
</cp:coreProperties>
</file>