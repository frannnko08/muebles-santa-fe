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D3D0B41E-2AC5-46A0-B49F-91B051C46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/>
  <c r="R26" i="1"/>
  <c r="H24" i="1" l="1"/>
  <c r="H25" i="1" l="1"/>
  <c r="H26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<sst xmlns="http://schemas.openxmlformats.org/spreadsheetml/2006/main" count="218" uniqueCount="165">
  <si>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</si>
  <si>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</si>
  <si>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</si>
  <si>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</si>
  <si>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</si>
  <si>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</si>
  <si>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</si>
  <si>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</si>
  <si>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</si>
  <si>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</si>
  <si>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</si>
  <si>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</si>
  <si>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</si>
  <si>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</si>
  <si>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</si>
  <si>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</si>
  <si>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</si>
  <si>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</si>
  <si>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</si>
  <si>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</si>
  <si>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</si>
  <si>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</si>
  <si>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</si>
  <si>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</si>
  <si>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</si>
  <si>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</si>
  <si>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</si>
  <si>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</si>
  <si>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</si>
  <si>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</si>
  <si>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</si>
  <si>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</si>
  <si>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</si>
  <si>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</si>
  <si>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</si>
  <si>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</si>
  <si>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</si>
  <si>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</si>
  <si>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</si>
  <si>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</si>
  <si>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</si>
  <si>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</si>
  <si>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</si>
  <si>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</si>
  <si>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</si>
  <si>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</si>
  <si>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</si>
  <si>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</si>
  <si>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</si>
  <si>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</si>
  <si>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</si>
  <si>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</si>
  <si>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</si>
  <si>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</si>
  <si>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</si>
  <si>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</si>
  <si>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</si>
  <si>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</si>
  <si>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</si>
  <si>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</si>
  <si>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</si>
  <si>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</si>
  <si>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</si>
  <si>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</si>
  <si>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</si>
  <si>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</si>
  <si>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</si>
  <si>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</si>
  <si>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</si>
  <si>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</si>
  <si>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</si>
  <si>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</si>
  <si>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</si>
  <si>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</si>
  <si>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</si>
  <si>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</si>
  <si>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</si>
  <si>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</si>
  <si>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</si>
  <si>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</si>
  <si>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</si>
  <si>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</si>
  <si>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</si>
  <si>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</si>
  <si>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</si>
  <si>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</si>
  <si>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</si>
  <si>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</si>
  <si>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</si>
  <si>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</si>
  <si>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</si>
  <si>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</si>
  <si>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</si>
  <si>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</si>
  <si>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</si>
  <si>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</si>
  <si>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</si>
  <si>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</si>
  <si>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</si>
  <si>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</si>
  <si>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</si>
  <si>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</si>
  <si>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</si>
  <si>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</si>
  <si>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</si>
  <si>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</si>
  <si>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</si>
  <si>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</si>
  <si>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</si>
  <si>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</si>
  <si>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</si>
  <si>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</si>
  <si>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</si>
  <si>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</si>
  <si>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</si>
  <si>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</si>
  <si>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</si>
  <si>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</si>
  <si>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</si>
  <si>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</si>
  <si>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</si>
  <si>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</si>
  <si>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</si>
  <si>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</si>
  <si>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</si>
  <si>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</si>
  <si>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</si>
  <si>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</si>
  <si>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</si>
  <si>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</si>
  <si>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</si>
  <si>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</si>
  <si>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</si>
  <si>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</si>
  <si>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</si>
  <si>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</si>
  <si>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</si>
  <si>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</si>
  <si>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</si>
  <si>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</si>
  <si>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</si>
  <si>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</si>
  <si>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</si>
  <si>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</si>
  <si>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</si>
  <si>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</si>
  <si>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</si>
  <si>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</si>
  <si>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</si>
  <si>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</si>
  <si>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</si>
  <si>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</si>
  <si>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</si>
  <si>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</si>
  <si>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</si>
  <si>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</si>
  <si>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</si>
  <si>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</si>
  <si>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</si>
  <si>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HECTOR TORRES</t>
  </si>
  <si>
    <t>+56986411139</t>
  </si>
  <si>
    <t>5 DIAS HABILES</t>
  </si>
  <si>
    <t>CUB C/R R6</t>
  </si>
  <si>
    <t>N° 11506</t>
  </si>
  <si>
    <t>EBANO 2109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</si>
</sst>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CORTADA</a:t>
          </a:r>
          <a:r>
            <a:rPr lang="es-CL" sz="1200" b="1" baseline="0"/>
            <a:t> A LA MEDIDA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B17" zoomScale="98" zoomScaleNormal="98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28.6640625" customWidth="1"/>
    <col min="4" max="4" width="11.109375" customWidth="1"/>
    <col min="5" max="5" width="10.5546875" customWidth="1"/>
    <col min="6" max="6" width="27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2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45845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161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5" t="s">
        <v>155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7" t="s">
        <v>149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3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76385.44262295081</v>
      </c>
      <c r="Q20" s="258">
        <v>7500</v>
      </c>
      <c r="R20" s="38"/>
      <c r="S20" s="14" t="s">
        <v>130</v>
      </c>
      <c r="T20" s="9"/>
      <c r="W20" s="4"/>
    </row>
    <row r="21" spans="2:24" ht="17.399999999999999" x14ac:dyDescent="0.3">
      <c r="B21" s="324">
        <v>1</v>
      </c>
      <c r="C21" s="313" t="s">
        <v>162</v>
      </c>
      <c r="D21" s="314">
        <v>2.97</v>
      </c>
      <c r="E21" s="314">
        <v>0.5</v>
      </c>
      <c r="F21" s="313" t="s">
        <v>164</v>
      </c>
      <c r="G21" s="315">
        <v>116488</v>
      </c>
      <c r="H21" s="316">
        <f t="shared" ref="H21" si="1">G21*B21</f>
        <v>116488</v>
      </c>
      <c r="I21" s="265"/>
      <c r="J21" s="47"/>
      <c r="K21" s="47">
        <f>B21</f>
        <v>1</v>
      </c>
      <c r="L21" s="39">
        <f t="shared" ref="L21:M21" si="2">D21+L$19</f>
        <v>3.0500000000000003</v>
      </c>
      <c r="M21" s="39">
        <f t="shared" si="2"/>
        <v>0.5</v>
      </c>
      <c r="N21" s="261">
        <f>L21*M21</f>
        <v>1.5250000000000001</v>
      </c>
      <c r="O21" s="259">
        <f>N21*K21</f>
        <v>1.5250000000000001</v>
      </c>
      <c r="P21" s="252">
        <f>P$20*N21</f>
        <v>116487.79999999999</v>
      </c>
      <c r="Q21" s="258">
        <f>P21+Q$20</f>
        <v>123987.79999999999</v>
      </c>
      <c r="R21" s="308">
        <f>K21*L21</f>
        <v>3.0500000000000003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9"/>
      <c r="H22" s="319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30</v>
      </c>
      <c r="H24" s="311">
        <f>SUM(H21:H23)</f>
        <v>116488</v>
      </c>
      <c r="I24" s="265"/>
      <c r="J24" s="47"/>
      <c r="K24" s="47"/>
      <c r="L24" s="39">
        <f>SUM(L21:L23)</f>
        <v>3.0500000000000003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H24*19%</f>
        <v>22132.720000000001</v>
      </c>
      <c r="I25" s="265"/>
      <c r="J25" s="47"/>
      <c r="K25" s="47"/>
      <c r="L25" s="39"/>
      <c r="M25" s="12"/>
      <c r="N25" s="12"/>
      <c r="O25" s="253">
        <f>SUM(O21:O21)</f>
        <v>1.5250000000000001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138620.72</v>
      </c>
      <c r="I26" s="265"/>
      <c r="J26" s="47"/>
      <c r="K26" s="47"/>
      <c r="L26" s="39"/>
      <c r="M26" s="12"/>
      <c r="N26" s="12"/>
      <c r="O26" s="253">
        <f>O25</f>
        <v>1.5250000000000001</v>
      </c>
      <c r="P26" s="14"/>
      <c r="Q26" s="12"/>
      <c r="R26" s="238">
        <f>SUM(R21:R25)</f>
        <v>3.0500000000000003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0.30500000000000005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1"/>
      <c r="K28" s="47"/>
      <c r="L28" s="14"/>
      <c r="M28" s="12"/>
      <c r="N28" s="12"/>
      <c r="O28" s="46">
        <f>O26+O27</f>
        <v>1.83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1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1.83</v>
      </c>
      <c r="M30" s="12">
        <v>3500</v>
      </c>
      <c r="N30" s="12">
        <f t="shared" ref="N30:N35" si="3">L30*M30</f>
        <v>6405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0.45</v>
      </c>
      <c r="M31" s="12">
        <v>25000</v>
      </c>
      <c r="N31" s="12">
        <f t="shared" si="3"/>
        <v>11250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20"/>
      <c r="K33" s="250"/>
      <c r="L33" s="14">
        <v>1</v>
      </c>
      <c r="M33" s="250">
        <v>30719</v>
      </c>
      <c r="N33" s="12">
        <f t="shared" si="3"/>
        <v>30719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20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>
        <v>3.05</v>
      </c>
      <c r="M35" s="12">
        <v>1500</v>
      </c>
      <c r="N35" s="12">
        <f t="shared" si="3"/>
        <v>4575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52949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43180</v>
      </c>
      <c r="K37" s="250"/>
      <c r="L37" s="254" t="s">
        <v>35</v>
      </c>
      <c r="M37" s="12"/>
      <c r="N37" s="255">
        <f>N36*2.2</f>
        <v>116487.8</v>
      </c>
      <c r="O37" s="14" t="s">
        <v>142</v>
      </c>
      <c r="P37" s="14"/>
      <c r="Q37" s="46">
        <f>O26/Q36</f>
        <v>0.41118421052631582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36285.71428571429</v>
      </c>
      <c r="K38" s="250"/>
      <c r="L38" s="14"/>
      <c r="M38" s="12"/>
      <c r="N38" s="12">
        <f>N37/O26</f>
        <v>76385.44262295081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0.4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45845</v>
      </c>
    </row>
    <row r="6" spans="2:31" ht="16.2" thickBot="1" x14ac:dyDescent="0.35">
      <c r="B6" s="140" t="s">
        <v>2</v>
      </c>
      <c r="C6" s="139" t="str">
        <f>'2229'!C10</f>
        <v>HECTOR TORRES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11506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-6355.1667001207725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116488</v>
      </c>
      <c r="E11" s="132">
        <f>D11*0.19</f>
        <v>22132.720000000001</v>
      </c>
      <c r="F11" s="131">
        <f>E11+D11</f>
        <v>138620.72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99634.833299879232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47489.090787439614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81634.833299879232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68998.909212560393</v>
      </c>
      <c r="E13" s="221">
        <f>(D11/D12)-1</f>
        <v>1.4529423088220064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72634.833299879232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33634.833299879225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78356.999799275363</v>
      </c>
      <c r="F15" s="216">
        <f>E15-D12</f>
        <v>30867.909011835749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33634.833299879225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73634.833299879232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11250</v>
      </c>
      <c r="E19" s="123">
        <f>D19*0.19</f>
        <v>2137.5</v>
      </c>
      <c r="F19" s="120">
        <f>SUM(D19:E19)</f>
        <v>13387.5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6405</v>
      </c>
      <c r="E20" s="121">
        <f>D20*0.19</f>
        <v>1216.95</v>
      </c>
      <c r="F20" s="120">
        <f>SUM(D20:E20)</f>
        <v>7621.95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17655</v>
      </c>
      <c r="E21" s="116">
        <f>SUM(E18:E20)</f>
        <v>3354.45</v>
      </c>
      <c r="F21" s="115">
        <f>SUM(F18:F20)</f>
        <v>21009.45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18778.27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116488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17655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68998.909212560393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68998.909212560393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2025-07-07T19:25:00Z</cp:lastPrinted>
  <dcterms:created xsi:type="dcterms:W3CDTF">2013-03-18T13:35:42Z</dcterms:created>
  <dcterms:modified xsi:type="dcterms:W3CDTF">2025-07-07T19:28:14Z</dcterms:modified>
</cp:coreProperties>
</file>