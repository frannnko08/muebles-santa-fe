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8F8E6736-7946-44A5-9B0F-606D3B0B1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M34" i="1"/>
  <c r="M21" i="1"/>
  <c r="M24" i="1" s="1"/>
  <c r="L21" i="1" l="1"/>
  <c r="N21" i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l="1"/>
  <c r="O37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<sst xmlns="http://schemas.openxmlformats.org/spreadsheetml/2006/main" count="230" uniqueCount="175">
  <si>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</si>
  <si>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</si>
  <si>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</si>
  <si>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</si>
  <si>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</si>
  <si>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</si>
  <si>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</si>
  <si>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</si>
  <si>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</si>
  <si>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</si>
  <si>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</si>
  <si>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</si>
  <si>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</si>
  <si>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</si>
  <si>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</si>
  <si>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</si>
  <si>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</si>
  <si>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</si>
  <si>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</si>
  <si>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</si>
  <si>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</si>
  <si>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</si>
  <si>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</si>
  <si>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</si>
  <si>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</si>
  <si>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</si>
  <si>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</si>
  <si>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</si>
  <si>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</si>
  <si>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</si>
  <si>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</si>
  <si>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</si>
  <si>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</si>
  <si>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</si>
  <si>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</si>
  <si>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</si>
  <si>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</si>
  <si>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</si>
  <si>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</si>
  <si>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</si>
  <si>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</si>
  <si>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</si>
  <si>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</si>
  <si>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</si>
  <si>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</si>
  <si>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</si>
  <si>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</si>
  <si>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</si>
  <si>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</si>
  <si>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</si>
  <si>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</si>
  <si>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</si>
  <si>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</si>
  <si>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</si>
  <si>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</si>
  <si>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</si>
  <si>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</si>
  <si>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</si>
  <si>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</si>
  <si>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</si>
  <si>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</si>
  <si>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</si>
  <si>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</si>
  <si>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</si>
  <si>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</si>
  <si>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</si>
  <si>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</si>
  <si>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</si>
  <si>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</si>
  <si>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</si>
  <si>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</si>
  <si>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</si>
  <si>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</si>
  <si>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</si>
  <si>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</si>
  <si>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</si>
  <si>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</si>
  <si>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</si>
  <si>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</si>
  <si>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</si>
  <si>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</si>
  <si>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</si>
  <si>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</si>
  <si>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</si>
  <si>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</si>
  <si>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</si>
  <si>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</si>
  <si>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</si>
  <si>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</si>
  <si>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</si>
  <si>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</si>
  <si>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</si>
  <si>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</si>
  <si>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</si>
  <si>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</si>
  <si>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</si>
  <si>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</si>
  <si>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</si>
  <si>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</si>
  <si>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</si>
  <si>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</si>
  <si>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</si>
  <si>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</si>
  <si>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</si>
  <si>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</si>
  <si>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</si>
  <si>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</si>
  <si>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</si>
  <si>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</si>
  <si>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</si>
  <si>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</si>
  <si>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</si>
  <si>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</si>
  <si>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</si>
  <si>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</si>
  <si>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</si>
  <si>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</si>
  <si>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</si>
  <si>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</si>
  <si>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</si>
  <si>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</si>
  <si>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</si>
  <si>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</si>
  <si>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</si>
  <si>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</si>
  <si>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</si>
  <si>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</si>
  <si>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</si>
  <si>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</si>
  <si>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</si>
  <si>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</si>
  <si>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</si>
  <si>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</si>
  <si>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</si>
  <si>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</si>
  <si>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</si>
  <si>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</si>
  <si>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</si>
  <si>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</si>
  <si>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</si>
  <si>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</si>
  <si>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</si>
  <si>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</si>
  <si>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</si>
  <si>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</si>
  <si>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</si>
  <si>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</si>
  <si>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</si>
  <si>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</si>
  <si>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</si>
  <si>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</si>
  <si>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</si>
  <si>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</si>
  <si>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</si>
  <si>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</si>
  <si>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</si>
  <si>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</si>
  <si>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</si>
  <si>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</si>
  <si>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</si>
  <si>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</si>
  <si>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</si>
  <si>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</si>
  <si>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</si>
  <si>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</si>
  <si>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</si>
  <si>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</si>
  <si>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</si>
  <si>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</si>
  <si>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</si>
  <si>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</si>
  <si>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>CUB CON RESPALDO FRENTE 90°</t>
  </si>
  <si>
    <t>FRANCISCO SALVO</t>
  </si>
  <si>
    <t>N° 11534</t>
  </si>
  <si>
    <t>BELARIUS CHERRY 10277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</si>
</sst>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21" fillId="0" borderId="0" xfId="0" applyNumberFormat="1" applyFont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 SE ENTREGA CORTADA A LA MEDIDA Y ENCHAPADA.</a:t>
          </a:r>
          <a:endParaRPr lang="es-CL" sz="1200" b="1" baseline="0"/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D14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1" t="s">
        <v>125</v>
      </c>
      <c r="C8" s="322"/>
      <c r="D8" s="323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239" t="s">
        <v>172</v>
      </c>
      <c r="D10" s="239"/>
      <c r="E10" s="239"/>
      <c r="F10" s="240" t="s">
        <v>167</v>
      </c>
      <c r="G10" s="271">
        <v>45860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5"/>
      <c r="F11" t="s">
        <v>166</v>
      </c>
      <c r="G11" s="306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7"/>
      <c r="D12" s="308"/>
      <c r="E12" s="308"/>
      <c r="F12" s="308" t="s">
        <v>126</v>
      </c>
      <c r="G12" s="309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0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1"/>
      <c r="D14" s="308"/>
      <c r="E14" s="308"/>
      <c r="F14" s="308" t="s">
        <v>134</v>
      </c>
      <c r="G14" s="312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3"/>
      <c r="D15" s="314"/>
      <c r="F15" t="s">
        <v>168</v>
      </c>
      <c r="G15" s="315" t="s">
        <v>133</v>
      </c>
      <c r="H15" s="281"/>
    </row>
    <row r="16" spans="2:24" ht="16.8" x14ac:dyDescent="0.4">
      <c r="B16" s="297" t="s">
        <v>3</v>
      </c>
      <c r="C16" s="316"/>
      <c r="D16" s="308"/>
      <c r="E16" s="308"/>
      <c r="F16" s="317" t="s">
        <v>128</v>
      </c>
      <c r="G16" s="318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4" t="s">
        <v>7</v>
      </c>
      <c r="C20" s="325" t="s">
        <v>1</v>
      </c>
      <c r="D20" s="325" t="s">
        <v>130</v>
      </c>
      <c r="E20" s="325" t="s">
        <v>11</v>
      </c>
      <c r="F20" s="325" t="s">
        <v>8</v>
      </c>
      <c r="G20" s="325" t="s">
        <v>5</v>
      </c>
      <c r="H20" s="326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62710.541692026782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9">
        <v>25</v>
      </c>
      <c r="C21" s="330" t="s">
        <v>171</v>
      </c>
      <c r="D21" s="331">
        <v>0.85</v>
      </c>
      <c r="E21" s="331">
        <v>0.53</v>
      </c>
      <c r="F21" s="330" t="s">
        <v>174</v>
      </c>
      <c r="G21" s="332">
        <f>38000/1.19</f>
        <v>31932.773109243699</v>
      </c>
      <c r="H21" s="333">
        <f>G21*B21</f>
        <v>798319.32773109246</v>
      </c>
      <c r="I21" s="299"/>
      <c r="J21" s="260"/>
      <c r="K21" s="44"/>
      <c r="L21" s="44">
        <f>B21</f>
        <v>25</v>
      </c>
      <c r="M21" s="36">
        <f>D21+M$19</f>
        <v>0.92999999999999994</v>
      </c>
      <c r="N21" s="36">
        <f>E21+$N$19</f>
        <v>0.53</v>
      </c>
      <c r="O21" s="256">
        <f t="shared" ref="O21" si="1">M21*N21</f>
        <v>0.4929</v>
      </c>
      <c r="P21" s="254">
        <f t="shared" ref="P21" si="2">O21*L21</f>
        <v>12.3225</v>
      </c>
      <c r="Q21" s="247">
        <f t="shared" ref="Q21" si="3">Q$20*O21</f>
        <v>30910.026000000002</v>
      </c>
      <c r="R21" s="298">
        <f t="shared" ref="R21" si="4">Q21+R$20</f>
        <v>33910.025999999998</v>
      </c>
      <c r="S21" s="286">
        <f>M21*L21</f>
        <v>23.25</v>
      </c>
      <c r="T21" s="43">
        <f>N21*2*L21*2</f>
        <v>53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798319.32773109246</v>
      </c>
      <c r="I23" s="301"/>
      <c r="J23" s="260"/>
      <c r="K23" s="319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53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151680.67226890757</v>
      </c>
      <c r="I24" s="301"/>
      <c r="J24" s="260"/>
      <c r="K24" s="319"/>
      <c r="L24" s="44"/>
      <c r="M24" s="36">
        <f>SUM(M21:M21)</f>
        <v>0.92999999999999994</v>
      </c>
      <c r="N24" s="12"/>
      <c r="O24" s="12"/>
      <c r="P24" s="248">
        <f>SUM(P21:P22)</f>
        <v>12.3225</v>
      </c>
      <c r="Q24" s="14"/>
      <c r="R24" s="12"/>
      <c r="S24" s="235">
        <f>SUM(S21:S23)</f>
        <v>23.25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950000</v>
      </c>
      <c r="I25" s="301"/>
      <c r="J25" s="260"/>
      <c r="K25" s="319"/>
      <c r="L25" s="44"/>
      <c r="M25" s="36"/>
      <c r="N25" s="12"/>
      <c r="O25" s="12"/>
      <c r="P25" s="248">
        <f>P24</f>
        <v>12.3225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19"/>
      <c r="L26" s="44"/>
      <c r="M26" s="14"/>
      <c r="N26" s="12"/>
      <c r="O26" s="12"/>
      <c r="P26" s="36">
        <f>P25*20%</f>
        <v>2.4645000000000001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346"/>
      <c r="K27" s="44"/>
      <c r="L27" s="44"/>
      <c r="M27" s="14"/>
      <c r="N27" s="12"/>
      <c r="O27" s="12"/>
      <c r="P27" s="43">
        <f>P25+P26</f>
        <v>14.786999999999999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14.786999999999999</v>
      </c>
      <c r="N29" s="12">
        <v>3500</v>
      </c>
      <c r="O29" s="12">
        <f t="shared" ref="O29:O34" si="5">M29*N29</f>
        <v>51754.5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4</v>
      </c>
      <c r="N30" s="12">
        <v>23500</v>
      </c>
      <c r="O30" s="12">
        <f t="shared" si="5"/>
        <v>94000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9</v>
      </c>
      <c r="N32" s="245">
        <v>22108</v>
      </c>
      <c r="O32" s="12">
        <f t="shared" si="5"/>
        <v>198972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f>0.93*25</f>
        <v>23.25</v>
      </c>
      <c r="N34" s="12">
        <v>1000</v>
      </c>
      <c r="O34" s="12">
        <f t="shared" si="5"/>
        <v>23250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367976.5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772750.65</v>
      </c>
      <c r="P36" s="14" t="s">
        <v>138</v>
      </c>
      <c r="Q36" s="14"/>
      <c r="R36" s="37">
        <f>P27/R35</f>
        <v>3.9870038826574627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62710.541692026782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0"/>
      <c r="H39" s="327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8"/>
      <c r="D40" s="279"/>
      <c r="E40" s="279"/>
      <c r="F40" s="278"/>
      <c r="G40" s="320"/>
      <c r="H40" s="327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0"/>
      <c r="H41" s="327"/>
      <c r="L41" s="12"/>
      <c r="U41" s="56"/>
      <c r="V41" s="56"/>
    </row>
    <row r="42" spans="2:24" ht="17.399999999999999" x14ac:dyDescent="0.35">
      <c r="D42" s="279"/>
      <c r="E42" s="279"/>
      <c r="F42" s="278"/>
      <c r="G42" s="320"/>
      <c r="H42" s="327"/>
      <c r="L42" s="245"/>
    </row>
    <row r="43" spans="2:24" ht="17.399999999999999" x14ac:dyDescent="0.35">
      <c r="D43" s="279"/>
      <c r="E43" s="279"/>
      <c r="F43" s="278"/>
      <c r="G43" s="320"/>
      <c r="H43" s="327"/>
      <c r="L43" s="245"/>
      <c r="T43" s="265"/>
    </row>
    <row r="44" spans="2:24" ht="17.399999999999999" x14ac:dyDescent="0.35">
      <c r="D44" s="279"/>
      <c r="E44" s="279"/>
      <c r="F44" s="278"/>
      <c r="G44" s="320"/>
      <c r="H44" s="327"/>
      <c r="L44" s="245"/>
    </row>
    <row r="45" spans="2:24" ht="15" customHeight="1" x14ac:dyDescent="0.35">
      <c r="D45" s="279"/>
      <c r="E45" s="279"/>
      <c r="F45" s="278"/>
      <c r="G45" s="320"/>
      <c r="H45" s="327"/>
    </row>
    <row r="46" spans="2:24" ht="17.399999999999999" x14ac:dyDescent="0.35">
      <c r="D46" s="279"/>
      <c r="E46" s="279"/>
      <c r="F46" s="278"/>
      <c r="G46" s="320"/>
      <c r="H46" s="327"/>
    </row>
    <row r="47" spans="2:24" ht="17.399999999999999" x14ac:dyDescent="0.35">
      <c r="D47" s="279"/>
      <c r="E47" s="279"/>
      <c r="F47" s="278"/>
      <c r="G47" s="320"/>
      <c r="H47" s="327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0"/>
      <c r="H48" s="327"/>
    </row>
    <row r="49" spans="4:20" ht="17.399999999999999" x14ac:dyDescent="0.35">
      <c r="D49" s="279"/>
      <c r="E49" s="279"/>
      <c r="F49" s="278"/>
      <c r="G49" s="320"/>
      <c r="H49" s="327"/>
      <c r="O49" s="51"/>
      <c r="P49" s="51"/>
    </row>
    <row r="50" spans="4:20" ht="17.399999999999999" x14ac:dyDescent="0.35">
      <c r="D50" s="279"/>
      <c r="E50" s="279"/>
      <c r="F50" s="278"/>
      <c r="G50" s="320"/>
      <c r="H50" s="327"/>
      <c r="S50" s="18"/>
      <c r="T50" s="18"/>
    </row>
    <row r="51" spans="4:20" ht="17.399999999999999" x14ac:dyDescent="0.35">
      <c r="D51" s="279"/>
      <c r="E51" s="279"/>
      <c r="F51" s="278"/>
      <c r="G51" s="320"/>
      <c r="H51" s="327"/>
      <c r="S51" s="18"/>
      <c r="T51" s="18"/>
    </row>
    <row r="52" spans="4:20" ht="17.399999999999999" x14ac:dyDescent="0.35">
      <c r="D52" s="279"/>
      <c r="E52" s="279"/>
      <c r="F52" s="278"/>
      <c r="G52" s="320"/>
      <c r="H52" s="327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45860</v>
      </c>
    </row>
    <row r="6" spans="1:31" ht="16.2" thickBot="1" x14ac:dyDescent="0.35">
      <c r="B6" s="137" t="s">
        <v>2</v>
      </c>
      <c r="C6" s="136" t="str">
        <f>'2229'!C10</f>
        <v>FRANCISCO SALVO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11534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-88857.64521508546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798319.32773109246</v>
      </c>
      <c r="E11" s="129">
        <f>D11*0.19</f>
        <v>151680.67226890757</v>
      </c>
      <c r="F11" s="128">
        <f>E11+D11</f>
        <v>950000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17132.35478491454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165733.41027536232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-867.64521508546022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632585.91745573014</v>
      </c>
      <c r="E13" s="218">
        <f>(D11/D12)-1</f>
        <v>3.8168883172361143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-9867.6452150854602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-48867.64521508546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315556.41316428984</v>
      </c>
      <c r="C15" s="210" t="s">
        <v>121</v>
      </c>
      <c r="D15" s="211">
        <v>0.6</v>
      </c>
      <c r="E15" s="212">
        <f>(100%+D15)*D12</f>
        <v>265173.45644057973</v>
      </c>
      <c r="F15" s="213">
        <f>E15-D12</f>
        <v>99440.046165217413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-48867.64521508546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-8867.6452150854602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94000</v>
      </c>
      <c r="E19" s="120">
        <f>D19*0.19</f>
        <v>17860</v>
      </c>
      <c r="F19" s="117">
        <f>SUM(D19:E19)</f>
        <v>111860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51754.5</v>
      </c>
      <c r="E20" s="118">
        <f>D20*0.19</f>
        <v>9833.3549999999996</v>
      </c>
      <c r="F20" s="117">
        <f>SUM(D20:E20)</f>
        <v>61587.854999999996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145754.5</v>
      </c>
      <c r="E21" s="113">
        <f>SUM(E18:E20)</f>
        <v>27693.355</v>
      </c>
      <c r="F21" s="112">
        <f>SUM(F18:F20)</f>
        <v>173447.85499999998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123987.31726890757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798319.32773109246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145754.5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632585.91745573014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632585.91745573014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2025-07-22T13:08:33Z</cp:lastPrinted>
  <dcterms:created xsi:type="dcterms:W3CDTF">2013-03-18T13:35:42Z</dcterms:created>
  <dcterms:modified xsi:type="dcterms:W3CDTF">2025-07-22T13:17:53Z</dcterms:modified>
</cp:coreProperties>
</file>