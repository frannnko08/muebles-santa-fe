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A99EC271-046B-47F1-927B-DAF5F97162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H28" i="1"/>
  <c r="H25" i="1"/>
  <c r="N25" i="1"/>
  <c r="M25" i="1"/>
  <c r="N28" i="1"/>
  <c r="M28" i="1"/>
  <c r="H31" i="1"/>
  <c r="H30" i="1"/>
  <c r="H29" i="1"/>
  <c r="N29" i="1"/>
  <c r="M29" i="1"/>
  <c r="N26" i="1"/>
  <c r="M26" i="1"/>
  <c r="H27" i="1"/>
  <c r="H33" i="1"/>
  <c r="O25" i="1" l="1"/>
  <c r="O28" i="1"/>
  <c r="O26" i="1"/>
  <c r="O29" i="1"/>
  <c r="N27" i="1"/>
  <c r="M27" i="1"/>
  <c r="M24" i="1"/>
  <c r="S24" i="1" s="1"/>
  <c r="N24" i="1"/>
  <c r="M22" i="1"/>
  <c r="S22" i="1" s="1"/>
  <c r="N22" i="1"/>
  <c r="M23" i="1"/>
  <c r="N23" i="1"/>
  <c r="N21" i="1"/>
  <c r="O27" i="1" l="1"/>
  <c r="O23" i="1"/>
  <c r="P23" i="1" s="1"/>
  <c r="O24" i="1"/>
  <c r="P24" i="1" s="1"/>
  <c r="S23" i="1"/>
  <c r="O22" i="1"/>
  <c r="P22" i="1" s="1"/>
  <c r="M21" i="1"/>
  <c r="M36" i="1" s="1"/>
  <c r="S21" i="1" l="1"/>
  <c r="S36" i="1" s="1"/>
  <c r="T21" i="1"/>
  <c r="T35" i="1" s="1"/>
  <c r="O21" i="1"/>
  <c r="P21" i="1" s="1"/>
  <c r="P36" i="1" s="1"/>
  <c r="V43" i="1" l="1"/>
  <c r="V44" i="1" s="1"/>
  <c r="O42" i="1" l="1"/>
  <c r="P37" i="1" l="1"/>
  <c r="N20" i="1"/>
  <c r="L20" i="1"/>
  <c r="P38" i="1" l="1"/>
  <c r="P39" i="1" s="1"/>
  <c r="M41" i="1" s="1"/>
  <c r="O43" i="1"/>
  <c r="R47" i="1"/>
  <c r="R48" i="1" l="1"/>
  <c r="O4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6" i="1"/>
  <c r="O45" i="1"/>
  <c r="F18" i="3" l="1"/>
  <c r="O41" i="1" l="1"/>
  <c r="O47" i="1" s="1"/>
  <c r="O48" i="1" s="1"/>
  <c r="O49" i="1" l="1"/>
  <c r="D20" i="3"/>
  <c r="E20" i="3" s="1"/>
  <c r="E21" i="3" s="1"/>
  <c r="Q20" i="1" l="1"/>
  <c r="Q25" i="1" s="1"/>
  <c r="R25" i="1" s="1"/>
  <c r="D21" i="3"/>
  <c r="M43" i="3" s="1"/>
  <c r="D12" i="3" s="1"/>
  <c r="E15" i="3" s="1"/>
  <c r="A15" i="3" s="1"/>
  <c r="F20" i="3"/>
  <c r="F21" i="3" s="1"/>
  <c r="Q29" i="1" l="1"/>
  <c r="R29" i="1" s="1"/>
  <c r="Q28" i="1"/>
  <c r="R28" i="1" s="1"/>
  <c r="Q27" i="1"/>
  <c r="R27" i="1" s="1"/>
  <c r="Q26" i="1"/>
  <c r="Q24" i="1"/>
  <c r="Q23" i="1"/>
  <c r="Q22" i="1"/>
  <c r="O50" i="1"/>
  <c r="R26" i="1" l="1"/>
  <c r="H26" i="1"/>
  <c r="R22" i="1"/>
  <c r="H22" i="1"/>
  <c r="R24" i="1"/>
  <c r="H24" i="1"/>
  <c r="R23" i="1"/>
  <c r="H23" i="1"/>
  <c r="Q21" i="1"/>
  <c r="F15" i="3"/>
  <c r="R21" i="1" l="1"/>
  <c r="H21" i="1" l="1"/>
  <c r="H35" i="1" s="1"/>
  <c r="H36" i="1" l="1"/>
  <c r="H37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<sst xmlns="http://schemas.openxmlformats.org/spreadsheetml/2006/main" count="254" uniqueCount="189">
  <si>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</si>
  <si>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</si>
  <si>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</si>
  <si>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</si>
  <si>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</si>
  <si>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</si>
  <si>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</si>
  <si>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</si>
  <si>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</si>
  <si>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</si>
  <si>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</si>
  <si>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</si>
  <si>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</si>
  <si>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</si>
  <si>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</si>
  <si>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</si>
  <si>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</si>
  <si>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</si>
  <si>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</si>
  <si>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</si>
  <si>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</si>
  <si>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</si>
  <si>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</si>
  <si>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</si>
  <si>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</si>
  <si>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</si>
  <si>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</si>
  <si>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</si>
  <si>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</si>
  <si>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</si>
  <si>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</si>
  <si>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</si>
  <si>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</si>
  <si>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</si>
  <si>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</si>
  <si>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</si>
  <si>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</si>
  <si>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</si>
  <si>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</si>
  <si>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</si>
  <si>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</si>
  <si>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</si>
  <si>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</si>
  <si>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</si>
  <si>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</si>
  <si>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</si>
  <si>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</si>
  <si>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</si>
  <si>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</si>
  <si>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</si>
  <si>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</si>
  <si>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</si>
  <si>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</si>
  <si>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</si>
  <si>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</si>
  <si>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</si>
  <si>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</si>
  <si>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</si>
  <si>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</si>
  <si>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</si>
  <si>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</si>
  <si>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</si>
  <si>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</si>
  <si>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</si>
  <si>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</si>
  <si>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</si>
  <si>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</si>
  <si>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</si>
  <si>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</si>
  <si>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</si>
  <si>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</si>
  <si>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</si>
  <si>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</si>
  <si>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</si>
  <si>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</si>
  <si>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</si>
  <si>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</si>
  <si>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</si>
  <si>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</si>
  <si>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</si>
  <si>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</si>
  <si>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</si>
  <si>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</si>
  <si>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</si>
  <si>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</si>
  <si>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</si>
  <si>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</si>
  <si>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</si>
  <si>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</si>
  <si>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</si>
  <si>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</si>
  <si>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</si>
  <si>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</si>
  <si>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</si>
  <si>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</si>
  <si>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</si>
  <si>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</si>
  <si>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</si>
  <si>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</si>
  <si>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</si>
  <si>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</si>
  <si>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</si>
  <si>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</si>
  <si>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</si>
  <si>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</si>
  <si>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</si>
  <si>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</si>
  <si>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</si>
  <si>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</si>
  <si>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</si>
  <si>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</si>
  <si>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</si>
  <si>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</si>
  <si>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</si>
  <si>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</si>
  <si>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</si>
  <si>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</si>
  <si>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</si>
  <si>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</si>
  <si>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</si>
  <si>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</si>
  <si>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</si>
  <si>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</si>
  <si>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</si>
  <si>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</si>
  <si>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</si>
  <si>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</si>
  <si>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</si>
  <si>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</si>
  <si>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</si>
  <si>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</si>
  <si>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</si>
  <si>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</si>
  <si>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</si>
  <si>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</si>
  <si>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</si>
  <si>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</si>
  <si>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</si>
  <si>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</si>
  <si>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</si>
  <si>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</si>
  <si>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</si>
  <si>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</si>
  <si>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</si>
  <si>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</si>
  <si>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</si>
  <si>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</si>
  <si>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</si>
  <si>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</si>
  <si>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</si>
  <si>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</si>
  <si>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</si>
  <si>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</si>
  <si>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</si>
  <si>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</si>
  <si>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</si>
  <si>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</si>
  <si>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</si>
  <si>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</si>
  <si>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</si>
  <si>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</si>
  <si>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</si>
  <si>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</si>
  <si>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</si>
  <si>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</si>
  <si>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</si>
  <si>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</si>
  <si>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</si>
  <si>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</si>
  <si>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</si>
  <si>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N° 11538</t>
  </si>
  <si>
    <t>VALERIA LLORENTE</t>
  </si>
  <si>
    <t>569 9817 0227</t>
  </si>
  <si>
    <t>CUB CON RESPALDO Y FRENTE 90° R6</t>
  </si>
  <si>
    <t>SERVICIO DESPACHO MAS INSTALACION</t>
  </si>
  <si>
    <t>CLOUD TERRAZO 4001  GLT</t>
  </si>
  <si>
    <t>CUB SIN RESPALDO Y FRENTE 90° R6</t>
  </si>
  <si>
    <t>ENCHAPE BAJO CUBIERTA</t>
  </si>
  <si>
    <t>MELAMINA BLANCA 18MM</t>
  </si>
  <si>
    <t>TAPA MUEBLE LAVAPLATOS</t>
  </si>
  <si>
    <t>ZOCALO (LAMINA)</t>
  </si>
  <si>
    <t>GRAFITO MT</t>
  </si>
  <si>
    <t>7 DIAS HABILES</t>
  </si>
  <si>
    <t>SI</t>
  </si>
  <si>
    <t>SAN SEBASTIAN 2960 D/121</t>
  </si>
  <si>
    <t>ZOCALO MAS REPISA</t>
  </si>
  <si>
    <t>ENCHAPE RECTO 1 CARA MDF 6MM</t>
  </si>
  <si>
    <t>ZOCALO MAS REPISAS BAJO ENCIMERA</t>
  </si>
  <si>
    <t>MARCO PARA ESPEJO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</si>
</sst>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166" fontId="32" fillId="7" borderId="1" xfId="0" applyNumberFormat="1" applyFont="1" applyFill="1" applyBorder="1" applyAlignment="1">
      <alignment horizontal="center" vertical="center"/>
    </xf>
    <xf numFmtId="166" fontId="32" fillId="20" borderId="1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38</xdr:row>
      <xdr:rowOff>8194</xdr:rowOff>
    </xdr:from>
    <xdr:to>
      <xdr:col>8</xdr:col>
      <xdr:colOff>8193</xdr:colOff>
      <xdr:row>41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40</xdr:row>
      <xdr:rowOff>154305</xdr:rowOff>
    </xdr:from>
    <xdr:to>
      <xdr:col>7</xdr:col>
      <xdr:colOff>853440</xdr:colOff>
      <xdr:row>40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38</xdr:row>
      <xdr:rowOff>9525</xdr:rowOff>
    </xdr:from>
    <xdr:to>
      <xdr:col>5</xdr:col>
      <xdr:colOff>1745226</xdr:colOff>
      <xdr:row>41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34</xdr:row>
      <xdr:rowOff>9525</xdr:rowOff>
    </xdr:from>
    <xdr:to>
      <xdr:col>5</xdr:col>
      <xdr:colOff>1728839</xdr:colOff>
      <xdr:row>37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TODOS</a:t>
          </a:r>
          <a:r>
            <a:rPr lang="es-CL" sz="1200" b="1" baseline="0"/>
            <a:t> LOS CORTES NECESARIOS COMO DESFONDADOS, CORTES 45°,TERMINACIONES VAN INCLUIDOS EN EL SERVICIO DE INSTALACIÓN. NO INCLUYE SERVICIOS DE GASFITERIA.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2"/>
  <sheetViews>
    <sheetView tabSelected="1" topLeftCell="A7" zoomScale="93" zoomScaleNormal="93" workbookViewId="0">
      <selection activeCell="I19" sqref="I19:I24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5" t="s">
        <v>125</v>
      </c>
      <c r="C8" s="326"/>
      <c r="D8" s="327" t="s">
        <v>170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159</v>
      </c>
      <c r="C10" s="308" t="s">
        <v>171</v>
      </c>
      <c r="D10" s="239"/>
      <c r="E10" s="239"/>
      <c r="F10" s="240" t="s">
        <v>167</v>
      </c>
      <c r="G10" s="271">
        <v>45866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9"/>
      <c r="F11" t="s">
        <v>166</v>
      </c>
      <c r="G11" s="310" t="s">
        <v>182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11"/>
      <c r="D12" s="312"/>
      <c r="E12" s="312"/>
      <c r="F12" s="312" t="s">
        <v>126</v>
      </c>
      <c r="G12" s="313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14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5"/>
      <c r="D14" s="312"/>
      <c r="E14" s="312"/>
      <c r="F14" s="312" t="s">
        <v>134</v>
      </c>
      <c r="G14" s="316" t="s">
        <v>183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7" t="s">
        <v>172</v>
      </c>
      <c r="D15" s="318"/>
      <c r="F15" t="s">
        <v>168</v>
      </c>
      <c r="G15" s="319" t="s">
        <v>183</v>
      </c>
      <c r="H15" s="281"/>
    </row>
    <row r="16" spans="2:24" ht="16.8" x14ac:dyDescent="0.4">
      <c r="B16" s="297" t="s">
        <v>3</v>
      </c>
      <c r="C16" s="320" t="s">
        <v>184</v>
      </c>
      <c r="D16" s="312"/>
      <c r="E16" s="312"/>
      <c r="F16" s="321" t="s">
        <v>128</v>
      </c>
      <c r="G16" s="322" t="s">
        <v>160</v>
      </c>
      <c r="H16" s="243"/>
    </row>
    <row r="17" spans="2:25" ht="15" thickBot="1" x14ac:dyDescent="0.35">
      <c r="B17" s="294" t="s">
        <v>13</v>
      </c>
      <c r="C17" s="295" t="s">
        <v>163</v>
      </c>
      <c r="D17" s="296"/>
      <c r="E17" s="116"/>
      <c r="F17" s="336" t="s">
        <v>162</v>
      </c>
      <c r="G17" s="336"/>
      <c r="H17" s="337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8" t="s">
        <v>95</v>
      </c>
      <c r="C19" s="339"/>
      <c r="D19" s="339"/>
      <c r="E19" s="339"/>
      <c r="F19" s="339"/>
      <c r="G19" s="339"/>
      <c r="H19" s="340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28" t="s">
        <v>7</v>
      </c>
      <c r="C20" s="329" t="s">
        <v>1</v>
      </c>
      <c r="D20" s="329" t="s">
        <v>130</v>
      </c>
      <c r="E20" s="329" t="s">
        <v>11</v>
      </c>
      <c r="F20" s="329" t="s">
        <v>8</v>
      </c>
      <c r="G20" s="329" t="s">
        <v>5</v>
      </c>
      <c r="H20" s="330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O49</f>
        <v>90308.727374731636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05">
        <v>1</v>
      </c>
      <c r="C21" s="305" t="s">
        <v>176</v>
      </c>
      <c r="D21" s="306">
        <v>3.0550000000000002</v>
      </c>
      <c r="E21" s="306">
        <v>0.6</v>
      </c>
      <c r="F21" s="305" t="s">
        <v>175</v>
      </c>
      <c r="G21" s="307">
        <v>120715</v>
      </c>
      <c r="H21" s="307">
        <f>G21*B21</f>
        <v>120715</v>
      </c>
      <c r="I21" s="299"/>
      <c r="J21" s="260"/>
      <c r="K21" s="44"/>
      <c r="L21" s="44">
        <v>1</v>
      </c>
      <c r="M21" s="36">
        <f>D21+M$19</f>
        <v>3.1350000000000002</v>
      </c>
      <c r="N21" s="36">
        <f>E21+$N$19</f>
        <v>0.6</v>
      </c>
      <c r="O21" s="256">
        <f t="shared" ref="O21" si="1">M21*N21</f>
        <v>1.881</v>
      </c>
      <c r="P21" s="254">
        <f t="shared" ref="P21" si="2">O21*L21</f>
        <v>1.881</v>
      </c>
      <c r="Q21" s="247">
        <f t="shared" ref="Q21" si="3">Q$20*O21</f>
        <v>169870.71619187022</v>
      </c>
      <c r="R21" s="298">
        <f t="shared" ref="R21" si="4">Q21+R$20</f>
        <v>172870.71619187022</v>
      </c>
      <c r="S21" s="286">
        <f>M21*L21</f>
        <v>3.1350000000000002</v>
      </c>
      <c r="T21" s="43">
        <f>N21*2*L21*2</f>
        <v>2.4</v>
      </c>
      <c r="U21" s="9"/>
      <c r="X21" s="4"/>
    </row>
    <row r="22" spans="2:25" ht="17.399999999999999" x14ac:dyDescent="0.3">
      <c r="B22" s="333">
        <v>1</v>
      </c>
      <c r="C22" s="333" t="s">
        <v>173</v>
      </c>
      <c r="D22" s="334">
        <v>2.7</v>
      </c>
      <c r="E22" s="334">
        <v>0.6</v>
      </c>
      <c r="F22" s="333" t="s">
        <v>175</v>
      </c>
      <c r="G22" s="307">
        <v>107046</v>
      </c>
      <c r="H22" s="307">
        <f t="shared" ref="H22:H26" si="5">G22*B22</f>
        <v>107046</v>
      </c>
      <c r="I22" s="299"/>
      <c r="J22" s="260"/>
      <c r="K22" s="44"/>
      <c r="L22" s="44">
        <v>1</v>
      </c>
      <c r="M22" s="36">
        <f t="shared" ref="M22:M23" si="6">D22+M$19</f>
        <v>2.7800000000000002</v>
      </c>
      <c r="N22" s="36">
        <f t="shared" ref="N22:N23" si="7">E22+$N$19</f>
        <v>0.6</v>
      </c>
      <c r="O22" s="256">
        <f t="shared" ref="O22:O23" si="8">M22*N22</f>
        <v>1.6680000000000001</v>
      </c>
      <c r="P22" s="254">
        <f t="shared" ref="P22:P23" si="9">O22*L22</f>
        <v>1.6680000000000001</v>
      </c>
      <c r="Q22" s="247">
        <f t="shared" ref="Q22:Q23" si="10">Q$20*O22</f>
        <v>150634.95726105239</v>
      </c>
      <c r="R22" s="298">
        <f t="shared" ref="R22:R23" si="11">Q22+R$20</f>
        <v>153634.95726105239</v>
      </c>
      <c r="S22" s="286">
        <f t="shared" ref="S22:S23" si="12">M22*L22</f>
        <v>2.7800000000000002</v>
      </c>
      <c r="T22" s="43"/>
      <c r="U22" s="9"/>
      <c r="X22" s="4"/>
    </row>
    <row r="23" spans="2:25" ht="17.399999999999999" x14ac:dyDescent="0.3">
      <c r="B23" s="305">
        <v>1</v>
      </c>
      <c r="C23" s="305" t="s">
        <v>176</v>
      </c>
      <c r="D23" s="306">
        <v>2.2400000000000002</v>
      </c>
      <c r="E23" s="306">
        <v>0.64</v>
      </c>
      <c r="F23" s="305" t="s">
        <v>175</v>
      </c>
      <c r="G23" s="307">
        <v>95289</v>
      </c>
      <c r="H23" s="307">
        <f t="shared" si="5"/>
        <v>95289</v>
      </c>
      <c r="I23" s="299"/>
      <c r="J23" s="260"/>
      <c r="K23" s="44"/>
      <c r="L23" s="44">
        <v>1</v>
      </c>
      <c r="M23" s="36">
        <f t="shared" si="6"/>
        <v>2.3200000000000003</v>
      </c>
      <c r="N23" s="36">
        <f t="shared" si="7"/>
        <v>0.64</v>
      </c>
      <c r="O23" s="256">
        <f t="shared" si="8"/>
        <v>1.4848000000000001</v>
      </c>
      <c r="P23" s="254">
        <f t="shared" si="9"/>
        <v>1.4848000000000001</v>
      </c>
      <c r="Q23" s="247">
        <f t="shared" si="10"/>
        <v>134090.39840600154</v>
      </c>
      <c r="R23" s="298">
        <f t="shared" si="11"/>
        <v>137090.39840600154</v>
      </c>
      <c r="S23" s="286">
        <f t="shared" si="12"/>
        <v>2.3200000000000003</v>
      </c>
      <c r="T23" s="43"/>
      <c r="U23" s="9"/>
      <c r="X23" s="4"/>
    </row>
    <row r="24" spans="2:25" ht="17.399999999999999" x14ac:dyDescent="0.3">
      <c r="B24" s="305">
        <v>1</v>
      </c>
      <c r="C24" s="305" t="s">
        <v>186</v>
      </c>
      <c r="D24" s="335">
        <v>0.81399999999999995</v>
      </c>
      <c r="E24" s="335">
        <v>0.59</v>
      </c>
      <c r="F24" s="305" t="s">
        <v>175</v>
      </c>
      <c r="G24" s="307">
        <v>28449</v>
      </c>
      <c r="H24" s="307">
        <f t="shared" si="5"/>
        <v>28449</v>
      </c>
      <c r="I24" s="299"/>
      <c r="J24" s="260"/>
      <c r="K24" s="44"/>
      <c r="L24" s="44">
        <v>1</v>
      </c>
      <c r="M24" s="36">
        <f t="shared" ref="M24:M29" si="13">D24+M$19</f>
        <v>0.89399999999999991</v>
      </c>
      <c r="N24" s="36">
        <f t="shared" ref="N24:N29" si="14">E24+$N$19</f>
        <v>0.59</v>
      </c>
      <c r="O24" s="256">
        <f t="shared" ref="O24:O29" si="15">M24*N24</f>
        <v>0.52745999999999993</v>
      </c>
      <c r="P24" s="254">
        <f t="shared" ref="P24" si="16">O24*L24</f>
        <v>0.52745999999999993</v>
      </c>
      <c r="Q24" s="247">
        <f t="shared" ref="Q24:Q29" si="17">Q$20*O24</f>
        <v>47634.24134107594</v>
      </c>
      <c r="R24" s="298">
        <f t="shared" ref="R24:R29" si="18">Q24+R$20</f>
        <v>50634.24134107594</v>
      </c>
      <c r="S24" s="286">
        <f t="shared" ref="S24" si="19">M24*L24</f>
        <v>0.89399999999999991</v>
      </c>
      <c r="T24" s="43"/>
      <c r="U24" s="9"/>
      <c r="X24" s="4"/>
    </row>
    <row r="25" spans="2:25" ht="17.399999999999999" x14ac:dyDescent="0.3">
      <c r="B25" s="305">
        <v>1</v>
      </c>
      <c r="C25" s="305" t="s">
        <v>186</v>
      </c>
      <c r="D25" s="335">
        <v>1.6259999999999999</v>
      </c>
      <c r="E25" s="335">
        <v>0.59</v>
      </c>
      <c r="F25" s="305" t="s">
        <v>175</v>
      </c>
      <c r="G25" s="307">
        <v>56897</v>
      </c>
      <c r="H25" s="307">
        <f t="shared" si="5"/>
        <v>56897</v>
      </c>
      <c r="I25" s="299"/>
      <c r="J25" s="260"/>
      <c r="K25" s="44"/>
      <c r="L25" s="44"/>
      <c r="M25" s="36">
        <f t="shared" si="13"/>
        <v>1.706</v>
      </c>
      <c r="N25" s="36">
        <f t="shared" si="14"/>
        <v>0.59</v>
      </c>
      <c r="O25" s="256">
        <f t="shared" si="15"/>
        <v>1.00654</v>
      </c>
      <c r="P25" s="254"/>
      <c r="Q25" s="247">
        <f t="shared" si="17"/>
        <v>90899.34645176238</v>
      </c>
      <c r="R25" s="298">
        <f t="shared" si="18"/>
        <v>93899.34645176238</v>
      </c>
      <c r="S25" s="286"/>
      <c r="T25" s="43"/>
      <c r="U25" s="9"/>
      <c r="X25" s="4"/>
    </row>
    <row r="26" spans="2:25" ht="17.399999999999999" x14ac:dyDescent="0.3">
      <c r="B26" s="305">
        <v>2</v>
      </c>
      <c r="C26" s="305" t="s">
        <v>32</v>
      </c>
      <c r="D26" s="335">
        <v>3</v>
      </c>
      <c r="E26" s="335">
        <v>0.06</v>
      </c>
      <c r="F26" s="305" t="s">
        <v>175</v>
      </c>
      <c r="G26" s="307">
        <v>7500</v>
      </c>
      <c r="H26" s="307">
        <f t="shared" si="5"/>
        <v>15000</v>
      </c>
      <c r="I26" s="299"/>
      <c r="J26" s="260"/>
      <c r="K26" s="44"/>
      <c r="L26" s="44"/>
      <c r="M26" s="36">
        <f t="shared" si="13"/>
        <v>3.08</v>
      </c>
      <c r="N26" s="36">
        <f t="shared" si="14"/>
        <v>0.06</v>
      </c>
      <c r="O26" s="256">
        <f t="shared" si="15"/>
        <v>0.18479999999999999</v>
      </c>
      <c r="P26" s="254"/>
      <c r="Q26" s="247">
        <f t="shared" si="17"/>
        <v>16689.052818850407</v>
      </c>
      <c r="R26" s="298">
        <f t="shared" si="18"/>
        <v>19689.052818850407</v>
      </c>
      <c r="S26" s="286"/>
      <c r="T26" s="43"/>
      <c r="U26" s="9"/>
      <c r="X26" s="4"/>
    </row>
    <row r="27" spans="2:25" ht="17.399999999999999" x14ac:dyDescent="0.3">
      <c r="B27" s="305">
        <v>3</v>
      </c>
      <c r="C27" s="305" t="s">
        <v>177</v>
      </c>
      <c r="D27" s="306">
        <v>3</v>
      </c>
      <c r="E27" s="306">
        <v>0.08</v>
      </c>
      <c r="F27" s="305" t="s">
        <v>175</v>
      </c>
      <c r="G27" s="307">
        <v>3500</v>
      </c>
      <c r="H27" s="307">
        <f t="shared" ref="H27:H32" si="20">G27*B27</f>
        <v>10500</v>
      </c>
      <c r="I27" s="299"/>
      <c r="J27" s="260"/>
      <c r="K27" s="44"/>
      <c r="L27" s="44"/>
      <c r="M27" s="36">
        <f t="shared" si="13"/>
        <v>3.08</v>
      </c>
      <c r="N27" s="36">
        <f t="shared" si="14"/>
        <v>0.08</v>
      </c>
      <c r="O27" s="256">
        <f t="shared" si="15"/>
        <v>0.24640000000000001</v>
      </c>
      <c r="P27" s="254"/>
      <c r="Q27" s="247">
        <f t="shared" si="17"/>
        <v>22252.070425133876</v>
      </c>
      <c r="R27" s="298">
        <f t="shared" si="18"/>
        <v>25252.070425133876</v>
      </c>
      <c r="S27" s="286"/>
      <c r="T27" s="43"/>
      <c r="U27" s="9"/>
      <c r="X27" s="4"/>
    </row>
    <row r="28" spans="2:25" ht="17.399999999999999" x14ac:dyDescent="0.3">
      <c r="B28" s="305">
        <v>1</v>
      </c>
      <c r="C28" s="305" t="s">
        <v>188</v>
      </c>
      <c r="D28" s="306"/>
      <c r="E28" s="306"/>
      <c r="F28" s="305"/>
      <c r="G28" s="307">
        <v>15000</v>
      </c>
      <c r="H28" s="307">
        <f t="shared" si="20"/>
        <v>15000</v>
      </c>
      <c r="I28" s="299"/>
      <c r="J28" s="260"/>
      <c r="K28" s="44"/>
      <c r="L28" s="44"/>
      <c r="M28" s="36">
        <f t="shared" si="13"/>
        <v>0.08</v>
      </c>
      <c r="N28" s="36">
        <f t="shared" si="14"/>
        <v>0</v>
      </c>
      <c r="O28" s="256">
        <f t="shared" si="15"/>
        <v>0</v>
      </c>
      <c r="P28" s="254"/>
      <c r="Q28" s="247">
        <f t="shared" si="17"/>
        <v>0</v>
      </c>
      <c r="R28" s="298">
        <f t="shared" si="18"/>
        <v>3000</v>
      </c>
      <c r="S28" s="286"/>
      <c r="T28" s="43"/>
      <c r="U28" s="9"/>
      <c r="X28" s="4"/>
    </row>
    <row r="29" spans="2:25" ht="17.399999999999999" x14ac:dyDescent="0.3">
      <c r="B29" s="305">
        <v>1</v>
      </c>
      <c r="C29" s="305" t="s">
        <v>185</v>
      </c>
      <c r="D29" s="335">
        <v>0.72</v>
      </c>
      <c r="E29" s="335">
        <v>0.56000000000000005</v>
      </c>
      <c r="F29" s="305" t="s">
        <v>178</v>
      </c>
      <c r="G29" s="307">
        <v>29500</v>
      </c>
      <c r="H29" s="307">
        <f t="shared" si="20"/>
        <v>29500</v>
      </c>
      <c r="I29" s="299"/>
      <c r="J29" s="260"/>
      <c r="K29" s="44"/>
      <c r="L29" s="44"/>
      <c r="M29" s="36">
        <f t="shared" si="13"/>
        <v>0.79999999999999993</v>
      </c>
      <c r="N29" s="36">
        <f t="shared" si="14"/>
        <v>0.56000000000000005</v>
      </c>
      <c r="O29" s="256">
        <f t="shared" si="15"/>
        <v>0.44800000000000001</v>
      </c>
      <c r="P29" s="254"/>
      <c r="Q29" s="247">
        <f t="shared" si="17"/>
        <v>40458.309863879775</v>
      </c>
      <c r="R29" s="298">
        <f t="shared" si="18"/>
        <v>43458.309863879775</v>
      </c>
      <c r="S29" s="286"/>
      <c r="T29" s="43"/>
      <c r="U29" s="9"/>
      <c r="X29" s="4"/>
    </row>
    <row r="30" spans="2:25" ht="17.399999999999999" x14ac:dyDescent="0.3">
      <c r="B30" s="305">
        <v>1</v>
      </c>
      <c r="C30" s="305" t="s">
        <v>179</v>
      </c>
      <c r="D30" s="335">
        <v>0.76500000000000001</v>
      </c>
      <c r="E30" s="335">
        <v>0.54500000000000004</v>
      </c>
      <c r="F30" s="305" t="s">
        <v>178</v>
      </c>
      <c r="G30" s="307">
        <v>6500</v>
      </c>
      <c r="H30" s="307">
        <f t="shared" si="20"/>
        <v>6500</v>
      </c>
      <c r="I30" s="299"/>
      <c r="J30" s="260"/>
      <c r="K30" s="44"/>
      <c r="L30" s="44"/>
      <c r="M30" s="36"/>
      <c r="N30" s="36"/>
      <c r="O30" s="256"/>
      <c r="P30" s="254"/>
      <c r="Q30" s="247"/>
      <c r="R30" s="298"/>
      <c r="S30" s="286"/>
      <c r="T30" s="43"/>
      <c r="U30" s="9"/>
      <c r="X30" s="4"/>
    </row>
    <row r="31" spans="2:25" ht="17.399999999999999" x14ac:dyDescent="0.3">
      <c r="B31" s="305">
        <v>4</v>
      </c>
      <c r="C31" s="305" t="s">
        <v>180</v>
      </c>
      <c r="D31" s="335">
        <v>3</v>
      </c>
      <c r="E31" s="335">
        <v>0.16</v>
      </c>
      <c r="F31" s="305" t="s">
        <v>181</v>
      </c>
      <c r="G31" s="307">
        <v>5500</v>
      </c>
      <c r="H31" s="307">
        <f t="shared" si="20"/>
        <v>22000</v>
      </c>
      <c r="I31" s="299"/>
      <c r="J31" s="260"/>
      <c r="K31" s="44"/>
      <c r="L31" s="44"/>
      <c r="M31" s="36"/>
      <c r="N31" s="36"/>
      <c r="O31" s="256"/>
      <c r="P31" s="254"/>
      <c r="Q31" s="247"/>
      <c r="R31" s="298"/>
      <c r="S31" s="286"/>
      <c r="T31" s="43"/>
      <c r="U31" s="9"/>
      <c r="X31" s="4"/>
    </row>
    <row r="32" spans="2:25" ht="17.399999999999999" x14ac:dyDescent="0.3">
      <c r="B32" s="305">
        <v>1</v>
      </c>
      <c r="C32" s="305" t="s">
        <v>187</v>
      </c>
      <c r="D32" s="335">
        <v>0.59</v>
      </c>
      <c r="E32" s="335">
        <v>0.48</v>
      </c>
      <c r="F32" s="305" t="s">
        <v>178</v>
      </c>
      <c r="G32" s="307">
        <v>19500</v>
      </c>
      <c r="H32" s="307">
        <f t="shared" si="20"/>
        <v>19500</v>
      </c>
      <c r="I32" s="299"/>
      <c r="J32" s="260"/>
      <c r="K32" s="44"/>
      <c r="L32" s="44"/>
      <c r="M32" s="36"/>
      <c r="N32" s="36"/>
      <c r="O32" s="256"/>
      <c r="P32" s="254"/>
      <c r="Q32" s="247"/>
      <c r="R32" s="298"/>
      <c r="S32" s="286"/>
      <c r="T32" s="43"/>
      <c r="U32" s="9"/>
      <c r="X32" s="4"/>
    </row>
    <row r="33" spans="1:24" ht="17.399999999999999" x14ac:dyDescent="0.3">
      <c r="B33" s="305">
        <v>1</v>
      </c>
      <c r="C33" s="305" t="s">
        <v>174</v>
      </c>
      <c r="D33" s="306"/>
      <c r="E33" s="306"/>
      <c r="F33" s="305"/>
      <c r="G33" s="307">
        <v>180000</v>
      </c>
      <c r="H33" s="307">
        <f>G33</f>
        <v>180000</v>
      </c>
      <c r="I33" s="299"/>
      <c r="J33" s="260"/>
      <c r="K33" s="44"/>
      <c r="L33" s="44"/>
      <c r="M33" s="36"/>
      <c r="N33" s="36"/>
      <c r="O33" s="256"/>
      <c r="P33" s="254"/>
      <c r="Q33" s="247"/>
      <c r="R33" s="298"/>
      <c r="S33" s="286"/>
      <c r="T33" s="43"/>
      <c r="U33" s="9"/>
      <c r="X33" s="4"/>
    </row>
    <row r="34" spans="1:24" ht="18" thickBot="1" x14ac:dyDescent="0.35">
      <c r="B34" s="278"/>
      <c r="C34" s="278"/>
      <c r="D34" s="279"/>
      <c r="E34" s="279"/>
      <c r="F34" s="278"/>
      <c r="G34" s="260"/>
      <c r="H34" s="300"/>
      <c r="I34" s="302"/>
      <c r="J34" s="229"/>
      <c r="K34" s="44"/>
      <c r="L34" s="44"/>
      <c r="M34" s="36"/>
      <c r="N34" s="36"/>
      <c r="O34" s="256"/>
      <c r="P34" s="254"/>
      <c r="Q34" s="247"/>
      <c r="R34" s="253"/>
      <c r="S34" s="286"/>
      <c r="T34" s="14"/>
      <c r="U34" s="9"/>
      <c r="X34" s="4"/>
    </row>
    <row r="35" spans="1:24" ht="17.399999999999999" x14ac:dyDescent="0.3">
      <c r="B35" s="278"/>
      <c r="C35" s="278"/>
      <c r="D35" s="279"/>
      <c r="E35" s="279"/>
      <c r="F35" s="278"/>
      <c r="G35" s="303" t="s">
        <v>28</v>
      </c>
      <c r="H35" s="304">
        <f>SUM(H21:H34)</f>
        <v>706396</v>
      </c>
      <c r="I35" s="301"/>
      <c r="J35" s="260"/>
      <c r="K35" s="323"/>
      <c r="L35" s="44"/>
      <c r="M35" s="36"/>
      <c r="N35" s="36"/>
      <c r="O35" s="256"/>
      <c r="P35" s="254"/>
      <c r="Q35" s="247"/>
      <c r="R35" s="253"/>
      <c r="S35" s="286"/>
      <c r="T35" s="43">
        <f>SUM(T21:T34)</f>
        <v>2.4</v>
      </c>
      <c r="U35" s="9"/>
      <c r="X35" s="4"/>
    </row>
    <row r="36" spans="1:24" ht="17.399999999999999" x14ac:dyDescent="0.3">
      <c r="B36" s="272"/>
      <c r="C36" s="275"/>
      <c r="D36" s="276"/>
      <c r="E36" s="276"/>
      <c r="F36" s="277"/>
      <c r="G36" s="285" t="s">
        <v>51</v>
      </c>
      <c r="H36" s="283">
        <f>H35*19%</f>
        <v>134215.24</v>
      </c>
      <c r="I36" s="301"/>
      <c r="J36" s="260"/>
      <c r="K36" s="323"/>
      <c r="L36" s="44"/>
      <c r="M36" s="36">
        <f>SUM(M21:M21)</f>
        <v>3.1350000000000002</v>
      </c>
      <c r="N36" s="12"/>
      <c r="O36" s="12"/>
      <c r="P36" s="248">
        <f>SUM(P21:P34)</f>
        <v>5.5612599999999999</v>
      </c>
      <c r="Q36" s="14"/>
      <c r="R36" s="12"/>
      <c r="S36" s="235">
        <f>SUM(S21:S35)</f>
        <v>9.1290000000000013</v>
      </c>
      <c r="T36" s="43"/>
      <c r="U36" s="9"/>
      <c r="X36" s="4"/>
    </row>
    <row r="37" spans="1:24" ht="18" thickBot="1" x14ac:dyDescent="0.35">
      <c r="B37" s="270"/>
      <c r="C37" s="274"/>
      <c r="D37" s="267"/>
      <c r="E37" s="267"/>
      <c r="F37" s="268"/>
      <c r="G37" s="273" t="s">
        <v>6</v>
      </c>
      <c r="H37" s="284">
        <f>H35+H36</f>
        <v>840611.24</v>
      </c>
      <c r="I37" s="301"/>
      <c r="J37" s="260"/>
      <c r="K37" s="323"/>
      <c r="L37" s="44"/>
      <c r="M37" s="36"/>
      <c r="N37" s="12"/>
      <c r="O37" s="12"/>
      <c r="P37" s="248">
        <f>P36</f>
        <v>5.5612599999999999</v>
      </c>
      <c r="Q37" s="14"/>
      <c r="R37" s="12"/>
      <c r="S37" s="235"/>
      <c r="T37" s="43"/>
      <c r="U37" s="9"/>
      <c r="X37" s="4"/>
    </row>
    <row r="38" spans="1:24" ht="17.399999999999999" x14ac:dyDescent="0.3">
      <c r="B38" s="270"/>
      <c r="C38" s="266"/>
      <c r="D38" s="267"/>
      <c r="E38" s="267"/>
      <c r="F38" s="268"/>
      <c r="J38" s="260"/>
      <c r="K38" s="323"/>
      <c r="L38" s="44"/>
      <c r="M38" s="14"/>
      <c r="N38" s="12"/>
      <c r="O38" s="12"/>
      <c r="P38" s="36">
        <f>P37*20%</f>
        <v>1.112252</v>
      </c>
      <c r="Q38" s="36" t="s">
        <v>129</v>
      </c>
      <c r="R38" s="39"/>
      <c r="S38" s="236"/>
      <c r="T38" s="14"/>
      <c r="U38" s="9"/>
      <c r="X38" s="4"/>
    </row>
    <row r="39" spans="1:24" ht="17.399999999999999" x14ac:dyDescent="0.35">
      <c r="B39" s="264"/>
      <c r="C39" s="226"/>
      <c r="D39" s="226"/>
      <c r="E39" s="229"/>
      <c r="F39" s="230"/>
      <c r="G39" s="226"/>
      <c r="H39" s="269"/>
      <c r="I39" s="269"/>
      <c r="J39" s="260"/>
      <c r="K39" s="44"/>
      <c r="L39" s="44"/>
      <c r="M39" s="14"/>
      <c r="N39" s="12"/>
      <c r="O39" s="12"/>
      <c r="P39" s="43">
        <f>P37+P38</f>
        <v>6.6735119999999997</v>
      </c>
      <c r="Q39" s="14"/>
      <c r="R39" s="14"/>
      <c r="S39" s="234"/>
      <c r="T39" s="14"/>
      <c r="U39" s="9"/>
      <c r="X39" s="4"/>
    </row>
    <row r="40" spans="1:24" ht="17.399999999999999" x14ac:dyDescent="0.35">
      <c r="B40" s="231"/>
      <c r="C40" s="232"/>
      <c r="D40" s="233"/>
      <c r="E40" s="231"/>
      <c r="F40" s="226"/>
      <c r="G40" s="226"/>
      <c r="I40" s="269"/>
      <c r="J40" s="260"/>
      <c r="K40" s="44"/>
      <c r="L40" s="44"/>
      <c r="M40" s="14"/>
      <c r="N40" s="14"/>
      <c r="O40" s="14"/>
      <c r="P40" s="14"/>
      <c r="Q40" s="14"/>
      <c r="R40" s="14"/>
      <c r="S40" s="236"/>
      <c r="T40" s="14"/>
      <c r="U40" s="290" t="s">
        <v>21</v>
      </c>
      <c r="V40" s="287" t="s">
        <v>149</v>
      </c>
      <c r="W40" s="291">
        <v>44971</v>
      </c>
      <c r="X40" s="292"/>
    </row>
    <row r="41" spans="1:24" ht="17.399999999999999" x14ac:dyDescent="0.35">
      <c r="B41" s="226"/>
      <c r="C41" s="226"/>
      <c r="D41" s="226"/>
      <c r="E41" s="226"/>
      <c r="F41" s="226"/>
      <c r="G41" s="226"/>
      <c r="J41" s="260"/>
      <c r="K41" s="44"/>
      <c r="L41" s="44"/>
      <c r="M41" s="36">
        <f>P39</f>
        <v>6.6735119999999997</v>
      </c>
      <c r="N41" s="12">
        <v>3500</v>
      </c>
      <c r="O41" s="12">
        <f t="shared" ref="O41:O46" si="21">M41*N41</f>
        <v>23357.291999999998</v>
      </c>
      <c r="P41" s="14" t="s">
        <v>21</v>
      </c>
      <c r="Q41" s="14"/>
      <c r="R41" s="14"/>
      <c r="S41" s="237"/>
      <c r="T41" s="14"/>
      <c r="U41" s="290" t="s">
        <v>150</v>
      </c>
      <c r="V41" s="287">
        <v>3625</v>
      </c>
      <c r="W41" s="56" t="s">
        <v>151</v>
      </c>
      <c r="X41" s="292"/>
    </row>
    <row r="42" spans="1:24" ht="17.399999999999999" x14ac:dyDescent="0.35">
      <c r="A42" s="226"/>
      <c r="B42" s="226"/>
      <c r="C42" s="226"/>
      <c r="D42" s="226"/>
      <c r="E42" s="226"/>
      <c r="F42" s="226"/>
      <c r="G42" s="226"/>
      <c r="H42" s="226"/>
      <c r="J42" s="260"/>
      <c r="K42" s="44"/>
      <c r="L42" s="44"/>
      <c r="M42" s="244">
        <v>2.8</v>
      </c>
      <c r="N42" s="12">
        <v>23500</v>
      </c>
      <c r="O42" s="12">
        <f t="shared" si="21"/>
        <v>65800</v>
      </c>
      <c r="P42" s="36" t="s">
        <v>169</v>
      </c>
      <c r="Q42" s="39"/>
      <c r="R42" s="14"/>
      <c r="S42" s="236"/>
      <c r="T42" s="14"/>
      <c r="U42" s="290"/>
      <c r="V42" s="56">
        <v>906.25</v>
      </c>
      <c r="W42" s="56" t="s">
        <v>152</v>
      </c>
      <c r="X42" s="292"/>
    </row>
    <row r="43" spans="1:24" s="226" customFormat="1" ht="17.399999999999999" x14ac:dyDescent="0.35">
      <c r="B43" s="21" t="s">
        <v>148</v>
      </c>
      <c r="J43" s="257"/>
      <c r="K43" s="228"/>
      <c r="L43" s="245"/>
      <c r="M43" s="14"/>
      <c r="N43" s="245">
        <v>80000</v>
      </c>
      <c r="O43" s="12">
        <f t="shared" si="21"/>
        <v>0</v>
      </c>
      <c r="P43" s="36" t="s">
        <v>30</v>
      </c>
      <c r="Q43" s="39"/>
      <c r="S43" s="236"/>
      <c r="T43" s="251"/>
      <c r="U43" s="56"/>
      <c r="V43" s="56">
        <f>V42*20%</f>
        <v>181.25</v>
      </c>
      <c r="W43" s="292" t="s">
        <v>153</v>
      </c>
      <c r="X43" s="56"/>
    </row>
    <row r="44" spans="1:24" s="226" customFormat="1" ht="17.399999999999999" x14ac:dyDescent="0.35">
      <c r="B44" s="21" t="s">
        <v>164</v>
      </c>
      <c r="C44"/>
      <c r="D44"/>
      <c r="E44"/>
      <c r="F44"/>
      <c r="J44" s="257"/>
      <c r="K44" s="228"/>
      <c r="L44" s="245"/>
      <c r="M44" s="14">
        <v>3</v>
      </c>
      <c r="N44" s="245">
        <v>50000</v>
      </c>
      <c r="O44" s="12">
        <f t="shared" si="21"/>
        <v>150000</v>
      </c>
      <c r="P44" s="14" t="s">
        <v>139</v>
      </c>
      <c r="Q44" s="17"/>
      <c r="S44" s="234"/>
      <c r="T44" s="251"/>
      <c r="U44" s="56"/>
      <c r="V44" s="56">
        <f>V42+V43</f>
        <v>1087.5</v>
      </c>
      <c r="W44" s="292" t="s">
        <v>154</v>
      </c>
      <c r="X44" s="56"/>
    </row>
    <row r="45" spans="1:24" s="226" customFormat="1" ht="17.399999999999999" x14ac:dyDescent="0.35">
      <c r="B45" s="26" t="s">
        <v>124</v>
      </c>
      <c r="C45"/>
      <c r="D45"/>
      <c r="E45"/>
      <c r="F45" s="225" t="s">
        <v>15</v>
      </c>
      <c r="J45" s="257"/>
      <c r="K45" s="255"/>
      <c r="L45" s="245"/>
      <c r="M45" s="244"/>
      <c r="N45" s="245">
        <v>900</v>
      </c>
      <c r="O45" s="12">
        <f t="shared" si="21"/>
        <v>0</v>
      </c>
      <c r="P45" s="14" t="s">
        <v>32</v>
      </c>
      <c r="Q45" s="14"/>
      <c r="R45" s="226">
        <v>1.52</v>
      </c>
      <c r="S45" s="234"/>
      <c r="T45" s="234"/>
    </row>
    <row r="46" spans="1:24" s="226" customFormat="1" ht="17.399999999999999" x14ac:dyDescent="0.35">
      <c r="J46" s="282"/>
      <c r="K46" s="255"/>
      <c r="L46" s="245"/>
      <c r="M46" s="261"/>
      <c r="N46" s="12">
        <v>1500</v>
      </c>
      <c r="O46" s="12">
        <f t="shared" si="21"/>
        <v>0</v>
      </c>
      <c r="P46" s="14" t="s">
        <v>22</v>
      </c>
      <c r="Q46" s="14"/>
      <c r="R46">
        <v>2.44</v>
      </c>
      <c r="S46"/>
      <c r="T46" s="234"/>
      <c r="X46" s="227"/>
    </row>
    <row r="47" spans="1:24" s="226" customFormat="1" ht="17.399999999999999" x14ac:dyDescent="0.35">
      <c r="K47" s="255"/>
      <c r="L47" s="245"/>
      <c r="M47" s="14"/>
      <c r="N47" s="12"/>
      <c r="O47" s="12">
        <f>SUM(O41:O46)</f>
        <v>239157.29200000002</v>
      </c>
      <c r="P47" s="36" t="s">
        <v>23</v>
      </c>
      <c r="Q47" s="14"/>
      <c r="R47">
        <f>R45*R46</f>
        <v>3.7088000000000001</v>
      </c>
      <c r="S47"/>
      <c r="T47" s="234"/>
      <c r="X47" s="227"/>
    </row>
    <row r="48" spans="1:24" s="226" customFormat="1" ht="17.399999999999999" x14ac:dyDescent="0.35">
      <c r="L48" s="245"/>
      <c r="M48" s="249" t="s">
        <v>33</v>
      </c>
      <c r="N48" s="12"/>
      <c r="O48" s="250">
        <f>O47*2.1</f>
        <v>502230.31320000003</v>
      </c>
      <c r="P48" s="14" t="s">
        <v>138</v>
      </c>
      <c r="Q48" s="14"/>
      <c r="R48" s="37">
        <f>P39/R47</f>
        <v>1.7993723037100948</v>
      </c>
      <c r="S48"/>
      <c r="T48" s="252"/>
    </row>
    <row r="49" spans="2:23" s="226" customFormat="1" ht="17.399999999999999" x14ac:dyDescent="0.35">
      <c r="G49"/>
      <c r="H49" s="255"/>
      <c r="I49" s="255"/>
      <c r="J49" s="255"/>
      <c r="L49" s="245"/>
      <c r="M49" s="14"/>
      <c r="N49" s="12"/>
      <c r="O49" s="12">
        <f>O48/P37</f>
        <v>90308.727374731636</v>
      </c>
      <c r="P49" s="42" t="s">
        <v>24</v>
      </c>
      <c r="Q49" s="14"/>
      <c r="R49" s="14"/>
      <c r="S49"/>
      <c r="T49" s="234"/>
      <c r="U49" s="56" t="s">
        <v>155</v>
      </c>
      <c r="V49" s="287">
        <v>43650</v>
      </c>
    </row>
    <row r="50" spans="2:23" s="226" customFormat="1" ht="17.399999999999999" x14ac:dyDescent="0.35">
      <c r="G50"/>
      <c r="L50" s="245"/>
      <c r="M50" s="13"/>
      <c r="N50" s="14"/>
      <c r="O50" s="17">
        <f>O48/O47</f>
        <v>2.1</v>
      </c>
      <c r="P50" s="15"/>
      <c r="Q50"/>
      <c r="R50"/>
      <c r="S50"/>
      <c r="T50" s="234"/>
      <c r="U50" s="56" t="s">
        <v>157</v>
      </c>
      <c r="V50" s="288" t="s">
        <v>156</v>
      </c>
      <c r="W50" s="56">
        <v>2.4</v>
      </c>
    </row>
    <row r="51" spans="2:23" s="226" customFormat="1" ht="17.399999999999999" x14ac:dyDescent="0.35">
      <c r="D51" s="279"/>
      <c r="E51" s="279"/>
      <c r="F51" s="278"/>
      <c r="G51" s="324"/>
      <c r="H51" s="331"/>
      <c r="L51" s="12"/>
      <c r="T51" s="234"/>
      <c r="U51" s="56" t="s">
        <v>158</v>
      </c>
      <c r="V51" s="289">
        <v>395.37</v>
      </c>
    </row>
    <row r="52" spans="2:23" s="226" customFormat="1" ht="17.399999999999999" x14ac:dyDescent="0.35">
      <c r="B52"/>
      <c r="C52" s="332"/>
      <c r="D52" s="279"/>
      <c r="E52" s="279"/>
      <c r="F52" s="278"/>
      <c r="G52" s="324"/>
      <c r="H52" s="331"/>
      <c r="L52" s="12"/>
      <c r="T52" s="234"/>
      <c r="U52" s="56" t="s">
        <v>153</v>
      </c>
      <c r="V52" s="56">
        <v>474.45</v>
      </c>
    </row>
    <row r="53" spans="2:23" ht="14.4" customHeight="1" x14ac:dyDescent="0.35">
      <c r="D53" s="279"/>
      <c r="E53" s="279"/>
      <c r="F53" s="278"/>
      <c r="G53" s="324"/>
      <c r="H53" s="331"/>
      <c r="L53" s="12"/>
      <c r="U53" s="56"/>
      <c r="V53" s="56"/>
    </row>
    <row r="54" spans="2:23" ht="17.399999999999999" x14ac:dyDescent="0.35">
      <c r="D54" s="279"/>
      <c r="E54" s="279"/>
      <c r="F54" s="278"/>
      <c r="G54" s="324"/>
      <c r="H54" s="331"/>
      <c r="L54" s="245"/>
    </row>
    <row r="55" spans="2:23" ht="17.399999999999999" x14ac:dyDescent="0.35">
      <c r="D55" s="279"/>
      <c r="E55" s="279"/>
      <c r="F55" s="278"/>
      <c r="G55" s="324"/>
      <c r="H55" s="331"/>
      <c r="L55" s="245"/>
      <c r="T55" s="265"/>
    </row>
    <row r="56" spans="2:23" ht="17.399999999999999" x14ac:dyDescent="0.35">
      <c r="D56" s="279"/>
      <c r="E56" s="279"/>
      <c r="F56" s="278"/>
      <c r="G56" s="324"/>
      <c r="H56" s="331"/>
      <c r="L56" s="245"/>
    </row>
    <row r="57" spans="2:23" ht="15" customHeight="1" x14ac:dyDescent="0.35">
      <c r="D57" s="279"/>
      <c r="E57" s="279"/>
      <c r="F57" s="278"/>
      <c r="G57" s="324"/>
      <c r="H57" s="331"/>
    </row>
    <row r="58" spans="2:23" ht="17.399999999999999" x14ac:dyDescent="0.35">
      <c r="D58" s="279"/>
      <c r="E58" s="279"/>
      <c r="F58" s="278"/>
      <c r="G58" s="324"/>
      <c r="H58" s="331"/>
    </row>
    <row r="59" spans="2:23" ht="17.399999999999999" x14ac:dyDescent="0.35">
      <c r="D59" s="279"/>
      <c r="E59" s="279"/>
      <c r="F59" s="278"/>
      <c r="G59" s="324"/>
      <c r="H59" s="331"/>
      <c r="O59">
        <v>40935</v>
      </c>
      <c r="P59" t="s">
        <v>16</v>
      </c>
      <c r="Q59" t="s">
        <v>26</v>
      </c>
    </row>
    <row r="60" spans="2:23" ht="17.399999999999999" x14ac:dyDescent="0.35">
      <c r="D60" s="279"/>
      <c r="E60" s="279"/>
      <c r="F60" s="278"/>
      <c r="G60" s="324"/>
      <c r="H60" s="331"/>
    </row>
    <row r="61" spans="2:23" ht="17.399999999999999" x14ac:dyDescent="0.35">
      <c r="D61" s="279"/>
      <c r="E61" s="279"/>
      <c r="F61" s="278"/>
      <c r="G61" s="324"/>
      <c r="H61" s="331"/>
      <c r="O61" s="51"/>
      <c r="P61" s="51"/>
    </row>
    <row r="62" spans="2:23" ht="17.399999999999999" x14ac:dyDescent="0.35">
      <c r="D62" s="279"/>
      <c r="E62" s="279"/>
      <c r="F62" s="278"/>
      <c r="G62" s="324"/>
      <c r="H62" s="331"/>
      <c r="S62" s="18"/>
      <c r="T62" s="18"/>
    </row>
    <row r="63" spans="2:23" ht="17.399999999999999" x14ac:dyDescent="0.35">
      <c r="D63" s="279"/>
      <c r="E63" s="279"/>
      <c r="F63" s="278"/>
      <c r="G63" s="324"/>
      <c r="H63" s="331"/>
      <c r="S63" s="18"/>
      <c r="T63" s="18"/>
    </row>
    <row r="64" spans="2:23" ht="17.399999999999999" x14ac:dyDescent="0.35">
      <c r="D64" s="279"/>
      <c r="E64" s="279"/>
      <c r="F64" s="278"/>
      <c r="G64" s="324"/>
      <c r="H64" s="331"/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0" spans="15:20" x14ac:dyDescent="0.3">
      <c r="S70" s="18"/>
      <c r="T70" s="18"/>
    </row>
    <row r="73" spans="15:20" x14ac:dyDescent="0.3">
      <c r="O73" s="40"/>
    </row>
    <row r="74" spans="15:20" x14ac:dyDescent="0.3">
      <c r="O74" s="40"/>
    </row>
    <row r="75" spans="15:20" x14ac:dyDescent="0.3">
      <c r="O75" s="6"/>
    </row>
    <row r="76" spans="15:20" x14ac:dyDescent="0.3">
      <c r="O76" s="6"/>
    </row>
    <row r="84" spans="3:3" x14ac:dyDescent="0.3">
      <c r="C84" t="s">
        <v>145</v>
      </c>
    </row>
    <row r="85" spans="3:3" x14ac:dyDescent="0.3">
      <c r="C85" t="s">
        <v>144</v>
      </c>
    </row>
    <row r="88" spans="3:3" x14ac:dyDescent="0.3">
      <c r="C88" t="s">
        <v>144</v>
      </c>
    </row>
    <row r="165" spans="3:3" x14ac:dyDescent="0.3">
      <c r="C165" t="s">
        <v>144</v>
      </c>
    </row>
    <row r="166" spans="3:3" x14ac:dyDescent="0.3">
      <c r="C166" t="s">
        <v>146</v>
      </c>
    </row>
    <row r="167" spans="3:3" x14ac:dyDescent="0.3">
      <c r="C167" t="s">
        <v>147</v>
      </c>
    </row>
    <row r="592" spans="3:3" x14ac:dyDescent="0.3">
      <c r="C592" t="s">
        <v>144</v>
      </c>
    </row>
  </sheetData>
  <mergeCells count="2">
    <mergeCell ref="F17:H17"/>
    <mergeCell ref="B19:H19"/>
  </mergeCells>
  <phoneticPr fontId="34" type="noConversion"/>
  <hyperlinks>
    <hyperlink ref="F4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45866</v>
      </c>
    </row>
    <row r="6" spans="1:31" ht="16.2" thickBot="1" x14ac:dyDescent="0.35">
      <c r="B6" s="137" t="s">
        <v>2</v>
      </c>
      <c r="C6" s="136" t="str">
        <f>'2229'!C10</f>
        <v>VALERIA LLORENTE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2" t="s">
        <v>98</v>
      </c>
      <c r="I7" s="343"/>
      <c r="J7" s="343"/>
      <c r="K7" s="344"/>
      <c r="N7" s="72"/>
      <c r="O7" s="341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11538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1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-88629.679393236715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'2229'!H35</f>
        <v>706396</v>
      </c>
      <c r="E11" s="129">
        <f>D11*0.19</f>
        <v>134215.24</v>
      </c>
      <c r="F11" s="128">
        <f>E11+D11</f>
        <v>840611.24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17360.320606763285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109136.20227536232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-639.67939323671453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597259.79772463767</v>
      </c>
      <c r="E13" s="218">
        <f>(D11/D12)-1</f>
        <v>5.4726093200282646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-9639.6793932367145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-48639.679393236715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207795.32913228986</v>
      </c>
      <c r="C15" s="210" t="s">
        <v>121</v>
      </c>
      <c r="D15" s="211">
        <v>0.6</v>
      </c>
      <c r="E15" s="212">
        <f>(100%+D15)*D12</f>
        <v>174617.92364057971</v>
      </c>
      <c r="F15" s="213">
        <f>E15-D12</f>
        <v>65481.721365217396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-48639.679393236715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-8639.6793932367145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'2229'!O43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'2229'!O42</f>
        <v>65800</v>
      </c>
      <c r="E19" s="120">
        <f>D19*0.19</f>
        <v>12502</v>
      </c>
      <c r="F19" s="117">
        <f>SUM(D19:E19)</f>
        <v>78302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'2229'!O41</f>
        <v>23357.291999999998</v>
      </c>
      <c r="E20" s="118">
        <f>D20*0.19</f>
        <v>4437.8854799999999</v>
      </c>
      <c r="F20" s="117">
        <f>SUM(D20:E20)</f>
        <v>27795.177479999998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89157.292000000001</v>
      </c>
      <c r="E21" s="113">
        <f>SUM(E18:E20)</f>
        <v>16939.885480000001</v>
      </c>
      <c r="F21" s="112">
        <f>SUM(F18:F20)</f>
        <v>106097.17748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117275.35451999999</v>
      </c>
    </row>
    <row r="41" spans="2:16" ht="15" thickBot="1" x14ac:dyDescent="0.35">
      <c r="H41" s="345" t="s">
        <v>60</v>
      </c>
      <c r="I41" s="346"/>
      <c r="J41" s="346"/>
      <c r="K41" s="346"/>
      <c r="L41" s="346"/>
      <c r="M41" s="347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706396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89157.292000000001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597259.79772463767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597259.79772463767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2025-08-05T22:01:16Z</cp:lastPrinted>
  <dcterms:created xsi:type="dcterms:W3CDTF">2013-03-18T13:35:42Z</dcterms:created>
  <dcterms:modified xsi:type="dcterms:W3CDTF">2025-10-19T12:09:01Z</dcterms:modified>
</cp:coreProperties>
</file>