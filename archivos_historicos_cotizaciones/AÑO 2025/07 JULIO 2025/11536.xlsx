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A55E9D61-F9FE-43D7-A9DD-E4864146E38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G21" i="1"/>
  <c r="L22" i="1"/>
  <c r="M22" i="1"/>
  <c r="N22" i="1"/>
  <c r="O22" i="1"/>
  <c r="P22" i="1"/>
  <c r="M21" i="1" l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l="1"/>
  <c r="O38" i="1" s="1"/>
  <c r="D20" i="3"/>
  <c r="E20" i="3" s="1"/>
  <c r="E21" i="3" s="1"/>
  <c r="Q20" i="1" l="1"/>
  <c r="Q22" i="1" s="1"/>
  <c r="R22" i="1" s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<sst xmlns="http://schemas.openxmlformats.org/spreadsheetml/2006/main" count="231" uniqueCount="174">
  <si>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</si>
  <si>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</si>
  <si>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</si>
  <si>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</si>
  <si>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</si>
  <si>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</si>
  <si>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</si>
  <si>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</si>
  <si>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</si>
  <si>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</si>
  <si>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</si>
  <si>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</si>
  <si>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</si>
  <si>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</si>
  <si>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</si>
  <si>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</si>
  <si>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</si>
  <si>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</si>
  <si>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</si>
  <si>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</si>
  <si>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</si>
  <si>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</si>
  <si>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</si>
  <si>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</si>
  <si>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</si>
  <si>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</si>
  <si>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</si>
  <si>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</si>
  <si>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</si>
  <si>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</si>
  <si>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</si>
  <si>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</si>
  <si>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</si>
  <si>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</si>
  <si>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</si>
  <si>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</si>
  <si>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</si>
  <si>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</si>
  <si>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</si>
  <si>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</si>
  <si>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</si>
  <si>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</si>
  <si>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</si>
  <si>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</si>
  <si>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</si>
  <si>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</si>
  <si>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</si>
  <si>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</si>
  <si>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</si>
  <si>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</si>
  <si>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</si>
  <si>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</si>
  <si>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</si>
  <si>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</si>
  <si>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</si>
  <si>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</si>
  <si>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</si>
  <si>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</si>
  <si>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</si>
  <si>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</si>
  <si>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</si>
  <si>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</si>
  <si>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</si>
  <si>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</si>
  <si>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</si>
  <si>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</si>
  <si>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</si>
  <si>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</si>
  <si>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</si>
  <si>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</si>
  <si>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</si>
  <si>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</si>
  <si>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</si>
  <si>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</si>
  <si>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</si>
  <si>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</si>
  <si>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</si>
  <si>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</si>
  <si>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</si>
  <si>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</si>
  <si>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</si>
  <si>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</si>
  <si>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</si>
  <si>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</si>
  <si>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</si>
  <si>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</si>
  <si>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</si>
  <si>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</si>
  <si>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</si>
  <si>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</si>
  <si>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</si>
  <si>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</si>
  <si>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</si>
  <si>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</si>
  <si>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</si>
  <si>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</si>
  <si>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</si>
  <si>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</si>
  <si>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</si>
  <si>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</si>
  <si>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</si>
  <si>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</si>
  <si>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</si>
  <si>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</si>
  <si>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</si>
  <si>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</si>
  <si>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</si>
  <si>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</si>
  <si>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</si>
  <si>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</si>
  <si>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</si>
  <si>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</si>
  <si>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</si>
  <si>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</si>
  <si>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</si>
  <si>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</si>
  <si>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</si>
  <si>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</si>
  <si>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</si>
  <si>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</si>
  <si>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</si>
  <si>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</si>
  <si>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</si>
  <si>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</si>
  <si>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</si>
  <si>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</si>
  <si>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</si>
  <si>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</si>
  <si>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</si>
  <si>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</si>
  <si>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</si>
  <si>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</si>
  <si>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</si>
  <si>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</si>
  <si>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</si>
  <si>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</si>
  <si>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</si>
  <si>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</si>
  <si>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</si>
  <si>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</si>
  <si>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</si>
  <si>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</si>
  <si>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</si>
  <si>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</si>
  <si>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</si>
  <si>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</si>
  <si>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</si>
  <si>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</si>
  <si>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</si>
  <si>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</si>
  <si>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</si>
  <si>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</si>
  <si>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</si>
  <si>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</si>
  <si>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</si>
  <si>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</si>
  <si>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</si>
  <si>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</si>
  <si>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</si>
  <si>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</si>
  <si>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</si>
  <si>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</si>
  <si>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</si>
  <si>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</si>
  <si>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</si>
  <si>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</si>
  <si>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</si>
  <si>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</si>
  <si>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</si>
  <si>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</si>
  <si>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</si>
  <si>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CUB CON RESPALDO FRENTE 90°</t>
  </si>
  <si>
    <t>N° 11536</t>
  </si>
  <si>
    <t>GRANITINO NEGRO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</si>
</sst>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/>
      <c r="D10" s="239"/>
      <c r="E10" s="239"/>
      <c r="F10" s="240" t="s">
        <v>167</v>
      </c>
      <c r="G10" s="271">
        <v>45861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/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64282.351387054157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2.15</v>
      </c>
      <c r="E21" s="331">
        <v>0.56000000000000005</v>
      </c>
      <c r="F21" s="330" t="s">
        <v>173</v>
      </c>
      <c r="G21" s="332">
        <f>Q21</f>
        <v>80275.800412153243</v>
      </c>
      <c r="H21" s="333">
        <f>G21*B21</f>
        <v>80275.800412153243</v>
      </c>
      <c r="I21" s="299"/>
      <c r="J21" s="260"/>
      <c r="K21" s="44"/>
      <c r="L21" s="44">
        <f>B21</f>
        <v>1</v>
      </c>
      <c r="M21" s="36">
        <f>D21+M$19</f>
        <v>2.23</v>
      </c>
      <c r="N21" s="36">
        <f>E21+$N$19</f>
        <v>0.56000000000000005</v>
      </c>
      <c r="O21" s="256">
        <f t="shared" ref="O21" si="1">M21*N21</f>
        <v>1.2488000000000001</v>
      </c>
      <c r="P21" s="254">
        <f t="shared" ref="P21" si="2">O21*L21</f>
        <v>1.2488000000000001</v>
      </c>
      <c r="Q21" s="247">
        <f t="shared" ref="Q21" si="3">Q$20*O21</f>
        <v>80275.800412153243</v>
      </c>
      <c r="R21" s="298">
        <f t="shared" ref="R21" si="4">Q21+R$20</f>
        <v>83275.800412153243</v>
      </c>
      <c r="S21" s="286">
        <f>M21*L21</f>
        <v>2.23</v>
      </c>
      <c r="T21" s="43">
        <f>N21*2*L21*2</f>
        <v>2.2400000000000002</v>
      </c>
      <c r="U21" s="9"/>
      <c r="X21" s="4"/>
    </row>
    <row r="22" spans="1:25" ht="18" thickBot="1" x14ac:dyDescent="0.35">
      <c r="B22" s="347">
        <v>1</v>
      </c>
      <c r="C22" s="348" t="s">
        <v>171</v>
      </c>
      <c r="D22" s="349">
        <v>1.4750000000000001</v>
      </c>
      <c r="E22" s="349">
        <v>0.56000000000000005</v>
      </c>
      <c r="F22" s="348" t="s">
        <v>173</v>
      </c>
      <c r="G22" s="350">
        <f>Q22</f>
        <v>55977.071587846767</v>
      </c>
      <c r="H22" s="351">
        <f>G22*B22</f>
        <v>55977.071587846767</v>
      </c>
      <c r="I22" s="299"/>
      <c r="J22" s="260"/>
      <c r="K22" s="44"/>
      <c r="L22" s="44">
        <f>B22</f>
        <v>1</v>
      </c>
      <c r="M22" s="36">
        <f>D22+M$19</f>
        <v>1.5550000000000002</v>
      </c>
      <c r="N22" s="36">
        <f>E22+$N$19</f>
        <v>0.56000000000000005</v>
      </c>
      <c r="O22" s="256">
        <f t="shared" ref="O22" si="5">M22*N22</f>
        <v>0.87080000000000013</v>
      </c>
      <c r="P22" s="254">
        <f t="shared" ref="P22" si="6">O22*L22</f>
        <v>0.87080000000000013</v>
      </c>
      <c r="Q22" s="247">
        <f t="shared" ref="Q22" si="7">Q$20*O22</f>
        <v>55977.071587846767</v>
      </c>
      <c r="R22" s="298">
        <f t="shared" ref="R22" si="8">Q22+R$20</f>
        <v>58977.071587846767</v>
      </c>
      <c r="S22" s="286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300"/>
      <c r="I23" s="302"/>
      <c r="J23" s="229"/>
      <c r="K23" s="44"/>
      <c r="L23" s="44"/>
      <c r="M23" s="36"/>
      <c r="N23" s="36"/>
      <c r="O23" s="256"/>
      <c r="P23" s="254"/>
      <c r="Q23" s="247"/>
      <c r="R23" s="253"/>
      <c r="S23" s="286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3" t="s">
        <v>28</v>
      </c>
      <c r="H24" s="304">
        <f>SUM(H21:H23)</f>
        <v>136252.872</v>
      </c>
      <c r="I24" s="301"/>
      <c r="J24" s="260"/>
      <c r="K24" s="319"/>
      <c r="L24" s="44"/>
      <c r="M24" s="36"/>
      <c r="N24" s="36"/>
      <c r="O24" s="256"/>
      <c r="P24" s="254"/>
      <c r="Q24" s="247"/>
      <c r="R24" s="253"/>
      <c r="S24" s="286"/>
      <c r="T24" s="43">
        <f>SUM(T21:T23)</f>
        <v>2.2400000000000002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5" t="s">
        <v>51</v>
      </c>
      <c r="H25" s="283">
        <f>H24*19%</f>
        <v>25888.045679999999</v>
      </c>
      <c r="I25" s="301"/>
      <c r="J25" s="260"/>
      <c r="K25" s="319"/>
      <c r="L25" s="44"/>
      <c r="M25" s="36">
        <f>SUM(M21:M21)</f>
        <v>2.23</v>
      </c>
      <c r="N25" s="12"/>
      <c r="O25" s="12"/>
      <c r="P25" s="248">
        <f>SUM(P21:P23)</f>
        <v>2.1196000000000002</v>
      </c>
      <c r="Q25" s="14"/>
      <c r="R25" s="12"/>
      <c r="S25" s="235">
        <f>SUM(S21:S24)</f>
        <v>2.23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284">
        <f>H24+H25</f>
        <v>162140.91768000001</v>
      </c>
      <c r="I26" s="301"/>
      <c r="J26" s="260"/>
      <c r="K26" s="319"/>
      <c r="L26" s="44"/>
      <c r="M26" s="36"/>
      <c r="N26" s="12"/>
      <c r="O26" s="12"/>
      <c r="P26" s="248">
        <f>P25</f>
        <v>2.1196000000000002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9"/>
      <c r="L27" s="44"/>
      <c r="M27" s="14"/>
      <c r="N27" s="12"/>
      <c r="O27" s="12"/>
      <c r="P27" s="36">
        <f>P26*20%</f>
        <v>0.42392000000000007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334"/>
      <c r="K28" s="44"/>
      <c r="L28" s="44"/>
      <c r="M28" s="14"/>
      <c r="N28" s="12"/>
      <c r="O28" s="12"/>
      <c r="P28" s="43">
        <f>P26+P27</f>
        <v>2.54352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90" t="s">
        <v>21</v>
      </c>
      <c r="V29" s="287" t="s">
        <v>149</v>
      </c>
      <c r="W29" s="291">
        <v>44971</v>
      </c>
      <c r="X29" s="292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2.54352</v>
      </c>
      <c r="N30" s="12">
        <v>3500</v>
      </c>
      <c r="O30" s="12">
        <f t="shared" ref="O30:O35" si="9">M30*N30</f>
        <v>8902.32</v>
      </c>
      <c r="P30" s="14" t="s">
        <v>21</v>
      </c>
      <c r="Q30" s="14"/>
      <c r="R30" s="14"/>
      <c r="S30" s="237"/>
      <c r="T30" s="14"/>
      <c r="U30" s="290" t="s">
        <v>150</v>
      </c>
      <c r="V30" s="287">
        <v>3625</v>
      </c>
      <c r="W30" s="56" t="s">
        <v>151</v>
      </c>
      <c r="X30" s="292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0.7</v>
      </c>
      <c r="N31" s="12">
        <v>23500</v>
      </c>
      <c r="O31" s="12">
        <f t="shared" si="9"/>
        <v>16450</v>
      </c>
      <c r="P31" s="36" t="s">
        <v>170</v>
      </c>
      <c r="Q31" s="39"/>
      <c r="R31" s="14"/>
      <c r="S31" s="236"/>
      <c r="T31" s="14"/>
      <c r="U31" s="290"/>
      <c r="V31" s="56">
        <v>906.25</v>
      </c>
      <c r="W31" s="56" t="s">
        <v>152</v>
      </c>
      <c r="X31" s="292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9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2" t="s">
        <v>153</v>
      </c>
      <c r="X32" s="56"/>
    </row>
    <row r="33" spans="2:24" s="226" customFormat="1" ht="17.399999999999999" x14ac:dyDescent="0.35">
      <c r="B33" s="21" t="s">
        <v>164</v>
      </c>
      <c r="C33"/>
      <c r="D33"/>
      <c r="E33"/>
      <c r="F33"/>
      <c r="J33" s="257"/>
      <c r="K33" s="228"/>
      <c r="L33" s="245"/>
      <c r="M33" s="14">
        <v>2</v>
      </c>
      <c r="N33" s="245">
        <v>18650</v>
      </c>
      <c r="O33" s="12">
        <f t="shared" si="9"/>
        <v>37300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2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/>
      <c r="K34" s="255"/>
      <c r="L34" s="245"/>
      <c r="M34" s="244"/>
      <c r="N34" s="245">
        <v>900</v>
      </c>
      <c r="O34" s="12">
        <f t="shared" si="9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2.23</v>
      </c>
      <c r="N35" s="12">
        <v>1000</v>
      </c>
      <c r="O35" s="12">
        <f t="shared" si="9"/>
        <v>2230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64882.32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136252.872</v>
      </c>
      <c r="P37" s="14" t="s">
        <v>138</v>
      </c>
      <c r="Q37" s="14"/>
      <c r="R37" s="37">
        <f>P28/R36</f>
        <v>0.68580672993960312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64282.351387054157</v>
      </c>
      <c r="P38" s="42" t="s">
        <v>24</v>
      </c>
      <c r="Q38" s="14"/>
      <c r="R38" s="14"/>
      <c r="S38"/>
      <c r="T38" s="234"/>
      <c r="U38" s="56" t="s">
        <v>155</v>
      </c>
      <c r="V38" s="287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8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20"/>
      <c r="H40" s="327"/>
      <c r="L40" s="12"/>
      <c r="T40" s="234"/>
      <c r="U40" s="56" t="s">
        <v>158</v>
      </c>
      <c r="V40" s="289">
        <v>395.37</v>
      </c>
    </row>
    <row r="41" spans="2:24" s="226" customFormat="1" ht="17.399999999999999" x14ac:dyDescent="0.35">
      <c r="B41"/>
      <c r="C41" s="328"/>
      <c r="D41" s="279"/>
      <c r="E41" s="279"/>
      <c r="F41" s="278"/>
      <c r="G41" s="320"/>
      <c r="H41" s="327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20"/>
      <c r="H42" s="327"/>
      <c r="L42" s="12"/>
      <c r="U42" s="56"/>
      <c r="V42" s="56"/>
    </row>
    <row r="43" spans="2:24" ht="17.399999999999999" x14ac:dyDescent="0.35">
      <c r="D43" s="279"/>
      <c r="E43" s="279"/>
      <c r="F43" s="278"/>
      <c r="G43" s="320"/>
      <c r="H43" s="327"/>
      <c r="L43" s="245"/>
    </row>
    <row r="44" spans="2:24" ht="17.399999999999999" x14ac:dyDescent="0.35">
      <c r="D44" s="279"/>
      <c r="E44" s="279"/>
      <c r="F44" s="278"/>
      <c r="G44" s="320"/>
      <c r="H44" s="327"/>
      <c r="L44" s="245"/>
      <c r="T44" s="265"/>
    </row>
    <row r="45" spans="2:24" ht="17.399999999999999" x14ac:dyDescent="0.35">
      <c r="D45" s="279"/>
      <c r="E45" s="279"/>
      <c r="F45" s="278"/>
      <c r="G45" s="320"/>
      <c r="H45" s="327"/>
      <c r="L45" s="245"/>
    </row>
    <row r="46" spans="2:24" ht="15" customHeight="1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</row>
    <row r="48" spans="2:24" ht="17.399999999999999" x14ac:dyDescent="0.35">
      <c r="D48" s="279"/>
      <c r="E48" s="279"/>
      <c r="F48" s="278"/>
      <c r="G48" s="320"/>
      <c r="H48" s="327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20"/>
      <c r="H49" s="327"/>
    </row>
    <row r="50" spans="4:20" ht="17.399999999999999" x14ac:dyDescent="0.35">
      <c r="D50" s="279"/>
      <c r="E50" s="279"/>
      <c r="F50" s="278"/>
      <c r="G50" s="320"/>
      <c r="H50" s="327"/>
      <c r="O50" s="51"/>
      <c r="P50" s="51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ht="17.399999999999999" x14ac:dyDescent="0.35">
      <c r="D53" s="279"/>
      <c r="E53" s="279"/>
      <c r="F53" s="278"/>
      <c r="G53" s="320"/>
      <c r="H53" s="327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45861</v>
      </c>
    </row>
    <row r="6" spans="1:31" ht="16.2" thickBot="1" x14ac:dyDescent="0.35">
      <c r="B6" s="137" t="s">
        <v>2</v>
      </c>
      <c r="C6" s="136">
        <f>'2229'!C10</f>
        <v>0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-10620.483926570048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136252.872</v>
      </c>
      <c r="E11" s="129">
        <f>D11*0.19</f>
        <v>25888.045679999999</v>
      </c>
      <c r="F11" s="128">
        <f>E11+D11</f>
        <v>162140.91768000001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95369.516073429957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45331.230275362323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77369.516073429957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90921.64172463768</v>
      </c>
      <c r="E13" s="218">
        <f>(D11/D12)-1</f>
        <v>2.0057174970178098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68369.516073429957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29369.51607342995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86310.662444289861</v>
      </c>
      <c r="C15" s="210" t="s">
        <v>121</v>
      </c>
      <c r="D15" s="211">
        <v>0.6</v>
      </c>
      <c r="E15" s="212">
        <f>(100%+D15)*D12</f>
        <v>72529.968440579716</v>
      </c>
      <c r="F15" s="213">
        <f>E15-D12</f>
        <v>27198.738165217394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29369.51607342995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69369.516073429957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16450</v>
      </c>
      <c r="E19" s="120">
        <f>D19*0.19</f>
        <v>3125.5</v>
      </c>
      <c r="F19" s="117">
        <f>SUM(D19:E19)</f>
        <v>19575.5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8902.32</v>
      </c>
      <c r="E20" s="118">
        <f>D20*0.19</f>
        <v>1691.4407999999999</v>
      </c>
      <c r="F20" s="117">
        <f>SUM(D20:E20)</f>
        <v>10593.7608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25352.32</v>
      </c>
      <c r="E21" s="113">
        <f>SUM(E18:E20)</f>
        <v>4816.9408000000003</v>
      </c>
      <c r="F21" s="112">
        <f>SUM(F18:F20)</f>
        <v>30169.2608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21071.104879999999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136252.872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25352.32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90921.64172463768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90921.64172463768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2025-07-23T15:37:24Z</cp:lastPrinted>
  <dcterms:created xsi:type="dcterms:W3CDTF">2013-03-18T13:35:42Z</dcterms:created>
  <dcterms:modified xsi:type="dcterms:W3CDTF">2025-07-23T16:40:18Z</dcterms:modified>
</cp:coreProperties>
</file>