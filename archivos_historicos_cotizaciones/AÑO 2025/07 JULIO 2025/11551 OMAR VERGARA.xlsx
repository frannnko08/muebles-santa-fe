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4B331BD-DC09-49DB-B85E-7382AA358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2" i="1" l="1"/>
  <c r="M22" i="1"/>
  <c r="S22" i="1" s="1"/>
  <c r="N22" i="1"/>
  <c r="L23" i="1"/>
  <c r="M23" i="1"/>
  <c r="N23" i="1"/>
  <c r="J36" i="1"/>
  <c r="M21" i="1"/>
  <c r="O23" i="1" l="1"/>
  <c r="O22" i="1"/>
  <c r="P22" i="1" s="1"/>
  <c r="S23" i="1"/>
  <c r="P23" i="1"/>
  <c r="L21" i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Q23" i="1"/>
  <c r="R23" i="1" s="1"/>
  <c r="G23" i="1" s="1"/>
  <c r="H23" i="1" s="1"/>
  <c r="O41" i="1"/>
  <c r="Q21" i="1" l="1"/>
  <c r="F15" i="3"/>
  <c r="R21" i="1" l="1"/>
  <c r="G21" i="1" s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<sst xmlns="http://schemas.openxmlformats.org/spreadsheetml/2006/main" count="235" uniqueCount="176">
  <si>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</si>
  <si>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</si>
  <si>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</si>
  <si>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</si>
  <si>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</si>
  <si>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</si>
  <si>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</si>
  <si>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</si>
  <si>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</si>
  <si>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</si>
  <si>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</si>
  <si>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</si>
  <si>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</si>
  <si>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</si>
  <si>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</si>
  <si>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</si>
  <si>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</si>
  <si>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</si>
  <si>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</si>
  <si>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</si>
  <si>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</si>
  <si>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</si>
  <si>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</si>
  <si>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</si>
  <si>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</si>
  <si>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</si>
  <si>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</si>
  <si>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</si>
  <si>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</si>
  <si>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</si>
  <si>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</si>
  <si>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</si>
  <si>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</si>
  <si>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</si>
  <si>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</si>
  <si>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</si>
  <si>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</si>
  <si>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</si>
  <si>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</si>
  <si>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</si>
  <si>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</si>
  <si>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</si>
  <si>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</si>
  <si>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</si>
  <si>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</si>
  <si>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</si>
  <si>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</si>
  <si>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</si>
  <si>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</si>
  <si>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</si>
  <si>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</si>
  <si>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</si>
  <si>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</si>
  <si>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</si>
  <si>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</si>
  <si>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</si>
  <si>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</si>
  <si>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</si>
  <si>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</si>
  <si>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</si>
  <si>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</si>
  <si>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</si>
  <si>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</si>
  <si>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</si>
  <si>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</si>
  <si>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</si>
  <si>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</si>
  <si>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</si>
  <si>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</si>
  <si>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</si>
  <si>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</si>
  <si>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</si>
  <si>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</si>
  <si>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</si>
  <si>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</si>
  <si>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</si>
  <si>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</si>
  <si>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</si>
  <si>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</si>
  <si>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</si>
  <si>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</si>
  <si>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</si>
  <si>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</si>
  <si>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</si>
  <si>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</si>
  <si>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</si>
  <si>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</si>
  <si>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</si>
  <si>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</si>
  <si>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</si>
  <si>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</si>
  <si>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</si>
  <si>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</si>
  <si>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</si>
  <si>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</si>
  <si>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</si>
  <si>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</si>
  <si>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</si>
  <si>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</si>
  <si>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</si>
  <si>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</si>
  <si>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</si>
  <si>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</si>
  <si>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</si>
  <si>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</si>
  <si>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</si>
  <si>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</si>
  <si>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</si>
  <si>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</si>
  <si>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</si>
  <si>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</si>
  <si>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</si>
  <si>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</si>
  <si>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</si>
  <si>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</si>
  <si>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</si>
  <si>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</si>
  <si>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</si>
  <si>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</si>
  <si>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</si>
  <si>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</si>
  <si>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</si>
  <si>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</si>
  <si>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</si>
  <si>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</si>
  <si>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</si>
  <si>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</si>
  <si>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</si>
  <si>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</si>
  <si>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</si>
  <si>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</si>
  <si>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</si>
  <si>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</si>
  <si>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</si>
  <si>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</si>
  <si>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</si>
  <si>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</si>
  <si>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</si>
  <si>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</si>
  <si>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</si>
  <si>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</si>
  <si>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</si>
  <si>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</si>
  <si>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</si>
  <si>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</si>
  <si>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</si>
  <si>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</si>
  <si>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</si>
  <si>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</si>
  <si>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</si>
  <si>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</si>
  <si>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</si>
  <si>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</si>
  <si>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</si>
  <si>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</si>
  <si>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</si>
  <si>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</si>
  <si>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</si>
  <si>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</si>
  <si>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</si>
  <si>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</si>
  <si>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</si>
  <si>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</si>
  <si>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</si>
  <si>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</si>
  <si>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</si>
  <si>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</si>
  <si>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</si>
  <si>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</si>
  <si>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</si>
  <si>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</si>
  <si>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11551</t>
  </si>
  <si>
    <t>OMAR VERGARA</t>
  </si>
  <si>
    <t>569 6841 2708</t>
  </si>
  <si>
    <t>CUB C/R FRENTE 90° R8</t>
  </si>
  <si>
    <t>GRANITO KOMBI 0670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</si>
</sst>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VAN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207178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4" zoomScale="93" zoomScaleNormal="93" workbookViewId="0">
      <selection activeCell="O39" sqref="O39"/>
    </sheetView>
  </sheetViews>
  <sheetFormatPr baseColWidth="10" defaultRowHeight="14.4" x14ac:dyDescent="0.3"/>
  <cols>
    <col min="1" max="1" width="6" customWidth="1"/>
    <col min="2" max="2" width="10.5546875" customWidth="1"/>
    <col min="3" max="3" width="25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45869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67795.464190981438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</v>
      </c>
      <c r="C21" s="326" t="s">
        <v>174</v>
      </c>
      <c r="D21" s="327">
        <v>3</v>
      </c>
      <c r="E21" s="327">
        <v>0.5</v>
      </c>
      <c r="F21" s="326" t="s">
        <v>175</v>
      </c>
      <c r="G21" s="328">
        <f>R21</f>
        <v>109465.99696551725</v>
      </c>
      <c r="H21" s="328">
        <f>G21*B21</f>
        <v>109465.99696551725</v>
      </c>
      <c r="I21" s="297"/>
      <c r="J21" s="260"/>
      <c r="K21" s="44"/>
      <c r="L21" s="44">
        <f>B21</f>
        <v>1</v>
      </c>
      <c r="M21" s="36">
        <f>D21+M$19</f>
        <v>3.02</v>
      </c>
      <c r="N21" s="36">
        <f>E21+$N$19</f>
        <v>0.52</v>
      </c>
      <c r="O21" s="256">
        <f t="shared" ref="O21" si="1">M21*N21</f>
        <v>1.5704</v>
      </c>
      <c r="P21" s="254">
        <f t="shared" ref="P21" si="2">O21*L21</f>
        <v>1.5704</v>
      </c>
      <c r="Q21" s="247">
        <f t="shared" ref="Q21" si="3">Q$20*O21</f>
        <v>106465.99696551725</v>
      </c>
      <c r="R21" s="296">
        <f t="shared" ref="R21" si="4">Q21+R$20</f>
        <v>109465.99696551725</v>
      </c>
      <c r="S21" s="284">
        <f>M21*L21</f>
        <v>3.02</v>
      </c>
      <c r="T21" s="43">
        <f>N21*2*L21*2</f>
        <v>2.08</v>
      </c>
      <c r="U21" s="9"/>
      <c r="X21" s="4"/>
    </row>
    <row r="22" spans="2:25" ht="17.399999999999999" x14ac:dyDescent="0.3">
      <c r="B22" s="326">
        <v>1</v>
      </c>
      <c r="C22" s="326" t="s">
        <v>174</v>
      </c>
      <c r="D22" s="327">
        <v>2.4</v>
      </c>
      <c r="E22" s="327">
        <v>0.5</v>
      </c>
      <c r="F22" s="326" t="s">
        <v>175</v>
      </c>
      <c r="G22" s="328">
        <f t="shared" ref="G22:G23" si="5">R22</f>
        <v>88313.812137931032</v>
      </c>
      <c r="H22" s="328">
        <f t="shared" ref="H22:H23" si="6">G22*B22</f>
        <v>88313.812137931032</v>
      </c>
      <c r="I22" s="297"/>
      <c r="J22" s="260"/>
      <c r="K22" s="44"/>
      <c r="L22" s="332">
        <f t="shared" ref="L22:L23" si="7">B22</f>
        <v>1</v>
      </c>
      <c r="M22" s="36">
        <f t="shared" ref="M22:M23" si="8">D22+M$19</f>
        <v>2.42</v>
      </c>
      <c r="N22" s="36">
        <f t="shared" ref="N22:N23" si="9">E22+$N$19</f>
        <v>0.52</v>
      </c>
      <c r="O22" s="256">
        <f t="shared" ref="O22:O23" si="10">M22*N22</f>
        <v>1.2584</v>
      </c>
      <c r="P22" s="254">
        <f t="shared" ref="P22:P23" si="11">O22*L22</f>
        <v>1.2584</v>
      </c>
      <c r="Q22" s="247">
        <f t="shared" ref="Q22:Q23" si="12">Q$20*O22</f>
        <v>85313.812137931032</v>
      </c>
      <c r="R22" s="296">
        <f t="shared" ref="R22:R23" si="13">Q22+R$20</f>
        <v>88313.812137931032</v>
      </c>
      <c r="S22" s="284">
        <f t="shared" ref="S22:S23" si="14">M22*L22</f>
        <v>2.42</v>
      </c>
      <c r="T22" s="43"/>
      <c r="U22" s="9"/>
      <c r="X22" s="4"/>
    </row>
    <row r="23" spans="2:25" ht="17.399999999999999" x14ac:dyDescent="0.3">
      <c r="B23" s="326">
        <v>1</v>
      </c>
      <c r="C23" s="326" t="s">
        <v>174</v>
      </c>
      <c r="D23" s="327">
        <v>1.5</v>
      </c>
      <c r="E23" s="327">
        <v>0.5</v>
      </c>
      <c r="F23" s="326" t="s">
        <v>175</v>
      </c>
      <c r="G23" s="328">
        <f t="shared" si="5"/>
        <v>56585.534896551726</v>
      </c>
      <c r="H23" s="328">
        <f t="shared" si="6"/>
        <v>56585.534896551726</v>
      </c>
      <c r="I23" s="297"/>
      <c r="J23" s="260"/>
      <c r="K23" s="44"/>
      <c r="L23" s="44">
        <f t="shared" si="7"/>
        <v>1</v>
      </c>
      <c r="M23" s="36">
        <f t="shared" si="8"/>
        <v>1.52</v>
      </c>
      <c r="N23" s="36">
        <f t="shared" si="9"/>
        <v>0.52</v>
      </c>
      <c r="O23" s="256">
        <f t="shared" si="10"/>
        <v>0.79039999999999999</v>
      </c>
      <c r="P23" s="254">
        <f t="shared" si="11"/>
        <v>0.79039999999999999</v>
      </c>
      <c r="Q23" s="247">
        <f t="shared" si="12"/>
        <v>53585.534896551726</v>
      </c>
      <c r="R23" s="296">
        <f t="shared" si="13"/>
        <v>56585.534896551726</v>
      </c>
      <c r="S23" s="284">
        <f t="shared" si="14"/>
        <v>1.52</v>
      </c>
      <c r="T23" s="43"/>
      <c r="U23" s="9"/>
      <c r="X23" s="4"/>
    </row>
    <row r="24" spans="2:25" ht="17.399999999999999" x14ac:dyDescent="0.3">
      <c r="B24" s="278"/>
      <c r="C24" s="278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9">
        <f>SUM(H21:H25)</f>
        <v>254365.34400000001</v>
      </c>
      <c r="I26" s="299"/>
      <c r="J26" s="260"/>
      <c r="K26" s="316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2.08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30">
        <f>H26*19%</f>
        <v>48329.415360000006</v>
      </c>
      <c r="I27" s="299"/>
      <c r="J27" s="260"/>
      <c r="K27" s="316"/>
      <c r="L27" s="44"/>
      <c r="M27" s="36">
        <f>SUM(M21:M23)</f>
        <v>6.9599999999999991</v>
      </c>
      <c r="N27" s="12"/>
      <c r="O27" s="12"/>
      <c r="P27" s="248">
        <f>SUM(P21:P25)</f>
        <v>3.6192000000000002</v>
      </c>
      <c r="Q27" s="14"/>
      <c r="R27" s="12"/>
      <c r="S27" s="235">
        <f>SUM(S21:S26)</f>
        <v>6.9599999999999991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31">
        <f>H26+H27</f>
        <v>302694.75936000003</v>
      </c>
      <c r="I28" s="299"/>
      <c r="J28" s="260"/>
      <c r="K28" s="316"/>
      <c r="L28" s="44"/>
      <c r="M28" s="36"/>
      <c r="N28" s="12"/>
      <c r="O28" s="12"/>
      <c r="P28" s="248">
        <f>P27</f>
        <v>3.6192000000000002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6"/>
      <c r="L29" s="44"/>
      <c r="M29" s="14"/>
      <c r="N29" s="12"/>
      <c r="O29" s="12"/>
      <c r="P29" s="36">
        <f>P28*20%</f>
        <v>0.72384000000000004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4.3430400000000002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4.3430400000000002</v>
      </c>
      <c r="N32" s="12">
        <v>3500</v>
      </c>
      <c r="O32" s="12">
        <f t="shared" ref="O32:O37" si="15">M32*N32</f>
        <v>15200.640000000001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1.2</v>
      </c>
      <c r="N33" s="12">
        <v>23500</v>
      </c>
      <c r="O33" s="12">
        <f t="shared" si="15"/>
        <v>28200</v>
      </c>
      <c r="P33" s="36" t="s">
        <v>169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5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164</v>
      </c>
      <c r="C35"/>
      <c r="D35"/>
      <c r="E35"/>
      <c r="F35"/>
      <c r="J35" s="257">
        <v>46000</v>
      </c>
      <c r="K35" s="228"/>
      <c r="L35" s="245"/>
      <c r="M35" s="14">
        <v>2</v>
      </c>
      <c r="N35" s="245">
        <v>31500</v>
      </c>
      <c r="O35" s="12">
        <f t="shared" si="15"/>
        <v>63000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5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>
        <v>6.96</v>
      </c>
      <c r="N37" s="12">
        <v>1500</v>
      </c>
      <c r="O37" s="12">
        <f t="shared" si="15"/>
        <v>10440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116840.64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O38*2.1</f>
        <v>245365.34400000001</v>
      </c>
      <c r="P39" s="14" t="s">
        <v>138</v>
      </c>
      <c r="Q39" s="14"/>
      <c r="R39" s="37">
        <f>P30/R38</f>
        <v>1.171009490940466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67795.464190981438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7"/>
      <c r="H42" s="324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5"/>
      <c r="D43" s="279"/>
      <c r="E43" s="279"/>
      <c r="F43" s="278"/>
      <c r="G43" s="317"/>
      <c r="H43" s="324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7"/>
      <c r="H44" s="324"/>
      <c r="L44" s="12"/>
      <c r="U44" s="56"/>
      <c r="V44" s="56"/>
    </row>
    <row r="45" spans="1:24" ht="17.399999999999999" x14ac:dyDescent="0.35">
      <c r="D45" s="279"/>
      <c r="E45" s="279"/>
      <c r="F45" s="278"/>
      <c r="G45" s="317"/>
      <c r="H45" s="324"/>
      <c r="L45" s="245"/>
    </row>
    <row r="46" spans="1:24" ht="17.399999999999999" x14ac:dyDescent="0.35">
      <c r="D46" s="279"/>
      <c r="E46" s="279"/>
      <c r="F46" s="278"/>
      <c r="G46" s="317"/>
      <c r="H46" s="324"/>
      <c r="L46" s="245"/>
      <c r="T46" s="265"/>
    </row>
    <row r="47" spans="1:24" ht="17.399999999999999" x14ac:dyDescent="0.35">
      <c r="D47" s="279"/>
      <c r="E47" s="279"/>
      <c r="F47" s="278"/>
      <c r="G47" s="317"/>
      <c r="H47" s="324"/>
      <c r="L47" s="245"/>
    </row>
    <row r="48" spans="1:24" ht="15" customHeight="1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  <c r="O52" s="51"/>
      <c r="P52" s="51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45869</v>
      </c>
    </row>
    <row r="6" spans="1:31" ht="16.2" thickBot="1" x14ac:dyDescent="0.35">
      <c r="B6" s="137" t="s">
        <v>2</v>
      </c>
      <c r="C6" s="136" t="str">
        <f>'2229'!C10</f>
        <v>OMAR VERGARA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-25493.010593236715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254365.34400000001</v>
      </c>
      <c r="E11" s="129">
        <f>D11*0.19</f>
        <v>48329.415360000006</v>
      </c>
      <c r="F11" s="128">
        <f>E11+D11</f>
        <v>302694.75936000003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80496.989406763285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63379.550275362315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62496.989406763285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190985.79372463771</v>
      </c>
      <c r="E13" s="218">
        <f>(D11/D12)-1</f>
        <v>3.0133661866464845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53496.989406763285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14496.989406763285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120674.66372428984</v>
      </c>
      <c r="C15" s="210" t="s">
        <v>121</v>
      </c>
      <c r="D15" s="211">
        <v>0.6</v>
      </c>
      <c r="E15" s="212">
        <f>(100%+D15)*D12</f>
        <v>101407.28044057971</v>
      </c>
      <c r="F15" s="213">
        <f>E15-D12</f>
        <v>38027.730165217392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14496.989406763285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54496.989406763285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28200</v>
      </c>
      <c r="E19" s="120">
        <f>D19*0.19</f>
        <v>5358</v>
      </c>
      <c r="F19" s="117">
        <f>SUM(D19:E19)</f>
        <v>33558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15200.640000000001</v>
      </c>
      <c r="E20" s="118">
        <f>D20*0.19</f>
        <v>2888.1216000000004</v>
      </c>
      <c r="F20" s="117">
        <f>SUM(D20:E20)</f>
        <v>18088.761600000002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43400.639999999999</v>
      </c>
      <c r="E21" s="113">
        <f>SUM(E18:E20)</f>
        <v>8246.1216000000004</v>
      </c>
      <c r="F21" s="112">
        <f>SUM(F18:F20)</f>
        <v>51646.761599999998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40083.293760000008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254365.34400000001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43400.639999999999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190985.79372463771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190985.79372463771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2025-07-30T20:51:00Z</cp:lastPrinted>
  <dcterms:created xsi:type="dcterms:W3CDTF">2013-03-18T13:35:42Z</dcterms:created>
  <dcterms:modified xsi:type="dcterms:W3CDTF">2025-07-31T16:12:13Z</dcterms:modified>
</cp:coreProperties>
</file>