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7 JULIO 2025\"/>
    </mc:Choice>
  </mc:AlternateContent>
  <xr:revisionPtr revIDLastSave="0" documentId="13_ncr:1_{F083B740-3032-4CBA-A0EC-0113CF9DF0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1" l="1"/>
  <c r="L21" i="1"/>
  <c r="N21" i="1"/>
  <c r="M21" i="1" l="1"/>
  <c r="M24" i="1" s="1"/>
  <c r="S21" i="1" l="1"/>
  <c r="S24" i="1" s="1"/>
  <c r="T21" i="1"/>
  <c r="T23" i="1" s="1"/>
  <c r="O21" i="1"/>
  <c r="P21" i="1" s="1"/>
  <c r="P24" i="1" s="1"/>
  <c r="V31" i="1" l="1"/>
  <c r="V32" i="1" s="1"/>
  <c r="O30" i="1" l="1"/>
  <c r="P25" i="1" l="1"/>
  <c r="N20" i="1"/>
  <c r="L20" i="1"/>
  <c r="P26" i="1" l="1"/>
  <c r="P27" i="1" s="1"/>
  <c r="M29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O37" i="1" l="1"/>
  <c r="D20" i="3"/>
  <c r="E20" i="3" s="1"/>
  <c r="E21" i="3" s="1"/>
  <c r="Q20" i="1" l="1"/>
  <c r="D21" i="3"/>
  <c r="M43" i="3" s="1"/>
  <c r="D12" i="3" s="1"/>
  <c r="F20" i="3"/>
  <c r="F21" i="3" s="1"/>
  <c r="O38" i="1" l="1"/>
  <c r="E15" i="3"/>
  <c r="Q21" i="1" l="1"/>
  <c r="F15" i="3"/>
  <c r="R21" i="1" l="1"/>
  <c r="H21" i="1" l="1"/>
  <c r="H23" i="1" s="1"/>
  <c r="D11" i="3" l="1"/>
  <c r="X9" i="3" s="1"/>
  <c r="X15" i="3" s="1"/>
  <c r="H25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<sst xmlns="http://schemas.openxmlformats.org/spreadsheetml/2006/main" count="231" uniqueCount="176">
  <si>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</si>
  <si>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</si>
  <si>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</si>
  <si>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</si>
  <si>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</si>
  <si>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</si>
  <si>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</si>
  <si>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</si>
  <si>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</si>
  <si>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</si>
  <si>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</si>
  <si>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</si>
  <si>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</si>
  <si>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</si>
  <si>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</si>
  <si>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</si>
  <si>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</si>
  <si>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</si>
  <si>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</si>
  <si>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</si>
  <si>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</si>
  <si>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</si>
  <si>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</si>
  <si>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</si>
  <si>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</si>
  <si>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</si>
  <si>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</si>
  <si>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</si>
  <si>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</si>
  <si>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</si>
  <si>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</si>
  <si>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</si>
  <si>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</si>
  <si>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</si>
  <si>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</si>
  <si>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</si>
  <si>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</si>
  <si>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</si>
  <si>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</si>
  <si>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</si>
  <si>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</si>
  <si>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</si>
  <si>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</si>
  <si>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</si>
  <si>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</si>
  <si>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</si>
  <si>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</si>
  <si>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</si>
  <si>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</si>
  <si>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</si>
  <si>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</si>
  <si>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</si>
  <si>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</si>
  <si>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</si>
  <si>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</si>
  <si>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</si>
  <si>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</si>
  <si>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</si>
  <si>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</si>
  <si>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</si>
  <si>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</si>
  <si>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</si>
  <si>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</si>
  <si>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</si>
  <si>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</si>
  <si>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</si>
  <si>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</si>
  <si>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</si>
  <si>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</si>
  <si>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</si>
  <si>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</si>
  <si>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</si>
  <si>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</si>
  <si>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</si>
  <si>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</si>
  <si>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</si>
  <si>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</si>
  <si>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</si>
  <si>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</si>
  <si>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</si>
  <si>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</si>
  <si>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</si>
  <si>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</si>
  <si>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</si>
  <si>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</si>
  <si>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</si>
  <si>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</si>
  <si>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</si>
  <si>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</si>
  <si>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</si>
  <si>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</si>
  <si>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</si>
  <si>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</si>
  <si>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</si>
  <si>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</si>
  <si>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</si>
  <si>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</si>
  <si>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</si>
  <si>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</si>
  <si>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</si>
  <si>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</si>
  <si>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</si>
  <si>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</si>
  <si>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</si>
  <si>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</si>
  <si>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</si>
  <si>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</si>
  <si>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</si>
  <si>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</si>
  <si>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</si>
  <si>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</si>
  <si>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</si>
  <si>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</si>
  <si>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</si>
  <si>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</si>
  <si>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</si>
  <si>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</si>
  <si>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</si>
  <si>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</si>
  <si>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</si>
  <si>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</si>
  <si>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</si>
  <si>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</si>
  <si>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</si>
  <si>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</si>
  <si>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</si>
  <si>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</si>
  <si>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</si>
  <si>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</si>
  <si>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</si>
  <si>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</si>
  <si>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</si>
  <si>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</si>
  <si>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</si>
  <si>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</si>
  <si>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</si>
  <si>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</si>
  <si>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</si>
  <si>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</si>
  <si>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</si>
  <si>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</si>
  <si>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</si>
  <si>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</si>
  <si>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</si>
  <si>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</si>
  <si>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</si>
  <si>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</si>
  <si>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</si>
  <si>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</si>
  <si>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</si>
  <si>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</si>
  <si>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</si>
  <si>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</si>
  <si>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</si>
  <si>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</si>
  <si>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</si>
  <si>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</si>
  <si>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</si>
  <si>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</si>
  <si>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</si>
  <si>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</si>
  <si>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</si>
  <si>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</si>
  <si>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</si>
  <si>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</si>
  <si>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</si>
  <si>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</si>
  <si>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</si>
  <si>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</si>
  <si>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SI</t>
  </si>
  <si>
    <t>FLORENTINO AZUL</t>
  </si>
  <si>
    <t>CUB C/R FRENTE 90°</t>
  </si>
  <si>
    <t>GUILLERMO LEON</t>
  </si>
  <si>
    <t xml:space="preserve">5 DIAS </t>
  </si>
  <si>
    <t>569 8693 7248</t>
  </si>
  <si>
    <t>N° 11499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</si>
</sst>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VAN CON SOBRE MEDIDA EN EL LARGO, UNION DE LAMINA LADO DERECHO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zoomScale="93" zoomScaleNormal="93" workbookViewId="0">
      <selection activeCell="M11" sqref="L10:M11"/>
    </sheetView>
  </sheetViews>
  <sheetFormatPr baseColWidth="10" defaultRowHeight="14.4" x14ac:dyDescent="0.3"/>
  <cols>
    <col min="1" max="1" width="6" customWidth="1"/>
    <col min="2" max="2" width="10.5546875" customWidth="1"/>
    <col min="3" max="3" width="39.664062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86" t="s">
        <v>125</v>
      </c>
      <c r="C8" s="287"/>
      <c r="D8" s="314" t="s">
        <v>175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9" t="s">
        <v>159</v>
      </c>
      <c r="C10" s="318" t="s">
        <v>172</v>
      </c>
      <c r="D10" s="243"/>
      <c r="E10" s="243"/>
      <c r="F10" s="244" t="s">
        <v>167</v>
      </c>
      <c r="G10" s="275">
        <v>45841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4" t="s">
        <v>12</v>
      </c>
      <c r="C11" s="319"/>
      <c r="F11" t="s">
        <v>166</v>
      </c>
      <c r="G11" s="320" t="s">
        <v>173</v>
      </c>
      <c r="H11" s="285"/>
      <c r="Q11" s="19"/>
      <c r="R11" s="25" t="s">
        <v>18</v>
      </c>
      <c r="S11" s="19"/>
    </row>
    <row r="12" spans="2:24" x14ac:dyDescent="0.3">
      <c r="B12" s="246" t="s">
        <v>142</v>
      </c>
      <c r="C12" s="321"/>
      <c r="D12" s="322"/>
      <c r="E12" s="322"/>
      <c r="F12" s="322" t="s">
        <v>126</v>
      </c>
      <c r="G12" s="323" t="s">
        <v>133</v>
      </c>
      <c r="H12" s="247"/>
      <c r="Q12" s="19"/>
      <c r="R12" s="25"/>
      <c r="S12" s="19"/>
    </row>
    <row r="13" spans="2:24" x14ac:dyDescent="0.3">
      <c r="B13" s="284" t="s">
        <v>143</v>
      </c>
      <c r="F13" t="s">
        <v>165</v>
      </c>
      <c r="G13" s="324" t="s">
        <v>133</v>
      </c>
      <c r="H13" s="285"/>
      <c r="Q13" s="19"/>
      <c r="R13" s="25"/>
      <c r="S13" s="19"/>
    </row>
    <row r="14" spans="2:24" x14ac:dyDescent="0.3">
      <c r="B14" s="246" t="s">
        <v>137</v>
      </c>
      <c r="C14" s="325"/>
      <c r="D14" s="322"/>
      <c r="E14" s="322"/>
      <c r="F14" s="322" t="s">
        <v>134</v>
      </c>
      <c r="G14" s="326" t="s">
        <v>169</v>
      </c>
      <c r="H14" s="247"/>
      <c r="K14" s="29"/>
      <c r="Q14" s="20"/>
      <c r="R14" s="26" t="s">
        <v>17</v>
      </c>
      <c r="S14" s="20"/>
    </row>
    <row r="15" spans="2:24" ht="15.6" x14ac:dyDescent="0.3">
      <c r="B15" s="284" t="s">
        <v>4</v>
      </c>
      <c r="C15" s="327" t="s">
        <v>174</v>
      </c>
      <c r="D15" s="328"/>
      <c r="F15" t="s">
        <v>168</v>
      </c>
      <c r="G15" s="329" t="s">
        <v>133</v>
      </c>
      <c r="H15" s="285"/>
    </row>
    <row r="16" spans="2:24" ht="16.8" x14ac:dyDescent="0.4">
      <c r="B16" s="303" t="s">
        <v>3</v>
      </c>
      <c r="C16" s="330"/>
      <c r="D16" s="322"/>
      <c r="E16" s="322"/>
      <c r="F16" s="331" t="s">
        <v>128</v>
      </c>
      <c r="G16" s="332" t="s">
        <v>160</v>
      </c>
      <c r="H16" s="247"/>
    </row>
    <row r="17" spans="1:25" ht="15" thickBot="1" x14ac:dyDescent="0.35">
      <c r="B17" s="300" t="s">
        <v>13</v>
      </c>
      <c r="C17" s="301" t="s">
        <v>163</v>
      </c>
      <c r="D17" s="302"/>
      <c r="E17" s="119"/>
      <c r="F17" s="333" t="s">
        <v>162</v>
      </c>
      <c r="G17" s="333"/>
      <c r="H17" s="334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11" t="s">
        <v>7</v>
      </c>
      <c r="C20" s="312" t="s">
        <v>1</v>
      </c>
      <c r="D20" s="312" t="s">
        <v>10</v>
      </c>
      <c r="E20" s="312" t="s">
        <v>11</v>
      </c>
      <c r="F20" s="312" t="s">
        <v>8</v>
      </c>
      <c r="G20" s="312" t="s">
        <v>5</v>
      </c>
      <c r="H20" s="313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 t="shared" ref="N20" si="0">E20</f>
        <v>ANCHO</v>
      </c>
      <c r="O20" s="260" t="s">
        <v>131</v>
      </c>
      <c r="P20" s="258" t="s">
        <v>16</v>
      </c>
      <c r="Q20" s="251">
        <f>O37</f>
        <v>66133.704185643015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5">
        <v>1</v>
      </c>
      <c r="C21" s="315" t="s">
        <v>171</v>
      </c>
      <c r="D21" s="316">
        <v>3.4</v>
      </c>
      <c r="E21" s="316">
        <v>0.53</v>
      </c>
      <c r="F21" s="315" t="s">
        <v>170</v>
      </c>
      <c r="G21" s="317">
        <v>120000</v>
      </c>
      <c r="H21" s="317">
        <f>G21*B21</f>
        <v>120000</v>
      </c>
      <c r="I21" s="305"/>
      <c r="J21" s="264"/>
      <c r="K21" s="47"/>
      <c r="L21" s="47">
        <f>B21</f>
        <v>1</v>
      </c>
      <c r="M21" s="39">
        <f>D21+M$19</f>
        <v>3.48</v>
      </c>
      <c r="N21" s="39">
        <f>E21+$N$19</f>
        <v>0.53</v>
      </c>
      <c r="O21" s="260">
        <f t="shared" ref="O21" si="1">M21*N21</f>
        <v>1.8444</v>
      </c>
      <c r="P21" s="258">
        <f t="shared" ref="P21" si="2">O21*L21</f>
        <v>1.8444</v>
      </c>
      <c r="Q21" s="251">
        <f t="shared" ref="Q21" si="3">Q$20*O21</f>
        <v>121977.00399999999</v>
      </c>
      <c r="R21" s="304">
        <f t="shared" ref="R21" si="4">Q21+R$20</f>
        <v>124977.00399999999</v>
      </c>
      <c r="S21" s="292">
        <f>M21*L21</f>
        <v>3.48</v>
      </c>
      <c r="T21" s="46">
        <f>N21*2*L21*2</f>
        <v>2.12</v>
      </c>
      <c r="U21" s="9"/>
      <c r="X21" s="4"/>
    </row>
    <row r="22" spans="1:25" ht="18" thickBot="1" x14ac:dyDescent="0.35">
      <c r="B22" s="282"/>
      <c r="C22" s="282"/>
      <c r="D22" s="283"/>
      <c r="E22" s="283"/>
      <c r="F22" s="282"/>
      <c r="G22" s="264"/>
      <c r="H22" s="306"/>
      <c r="I22" s="308"/>
      <c r="J22" s="233"/>
      <c r="K22" s="47"/>
      <c r="L22" s="47"/>
      <c r="M22" s="39"/>
      <c r="N22" s="39"/>
      <c r="O22" s="260"/>
      <c r="P22" s="258"/>
      <c r="Q22" s="251"/>
      <c r="R22" s="257"/>
      <c r="S22" s="292"/>
      <c r="T22" s="14"/>
      <c r="U22" s="9"/>
      <c r="X22" s="4"/>
    </row>
    <row r="23" spans="1:25" ht="17.399999999999999" x14ac:dyDescent="0.3">
      <c r="B23" s="282"/>
      <c r="C23" s="282"/>
      <c r="D23" s="283"/>
      <c r="E23" s="283"/>
      <c r="F23" s="282"/>
      <c r="G23" s="309" t="s">
        <v>28</v>
      </c>
      <c r="H23" s="310">
        <f>SUM(H21:H22)</f>
        <v>120000</v>
      </c>
      <c r="I23" s="307"/>
      <c r="J23" s="264"/>
      <c r="K23" s="47">
        <v>2600000</v>
      </c>
      <c r="L23" s="47"/>
      <c r="M23" s="39"/>
      <c r="N23" s="39"/>
      <c r="O23" s="260"/>
      <c r="P23" s="258"/>
      <c r="Q23" s="251"/>
      <c r="R23" s="257"/>
      <c r="S23" s="292"/>
      <c r="T23" s="46">
        <f>SUM(T21:T22)</f>
        <v>2.12</v>
      </c>
      <c r="U23" s="9"/>
      <c r="X23" s="4"/>
    </row>
    <row r="24" spans="1:25" ht="17.399999999999999" x14ac:dyDescent="0.3">
      <c r="B24" s="276"/>
      <c r="C24" s="279"/>
      <c r="D24" s="280"/>
      <c r="E24" s="280"/>
      <c r="F24" s="281"/>
      <c r="G24" s="291" t="s">
        <v>51</v>
      </c>
      <c r="H24" s="289"/>
      <c r="I24" s="307"/>
      <c r="J24" s="264"/>
      <c r="K24" s="47"/>
      <c r="L24" s="47"/>
      <c r="M24" s="39">
        <f>SUM(M21:M21)</f>
        <v>3.48</v>
      </c>
      <c r="N24" s="12"/>
      <c r="O24" s="12"/>
      <c r="P24" s="252">
        <f>SUM(P21:P22)</f>
        <v>1.8444</v>
      </c>
      <c r="Q24" s="14"/>
      <c r="R24" s="12"/>
      <c r="S24" s="239">
        <f>SUM(S21:S23)</f>
        <v>3.48</v>
      </c>
      <c r="T24" s="46"/>
      <c r="U24" s="9"/>
      <c r="X24" s="4"/>
    </row>
    <row r="25" spans="1:25" ht="18" thickBot="1" x14ac:dyDescent="0.35">
      <c r="B25" s="274"/>
      <c r="C25" s="278"/>
      <c r="D25" s="271"/>
      <c r="E25" s="271"/>
      <c r="F25" s="272"/>
      <c r="G25" s="277" t="s">
        <v>6</v>
      </c>
      <c r="H25" s="290">
        <f>H23+H24</f>
        <v>120000</v>
      </c>
      <c r="I25" s="307"/>
      <c r="J25" s="264"/>
      <c r="K25" s="47"/>
      <c r="L25" s="47"/>
      <c r="M25" s="39"/>
      <c r="N25" s="12"/>
      <c r="O25" s="12"/>
      <c r="P25" s="252">
        <f>P24</f>
        <v>1.8444</v>
      </c>
      <c r="Q25" s="14"/>
      <c r="R25" s="12"/>
      <c r="S25" s="239"/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0.36888000000000004</v>
      </c>
      <c r="Q26" s="39" t="s">
        <v>129</v>
      </c>
      <c r="R26" s="42"/>
      <c r="S26" s="240"/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2.2132800000000001</v>
      </c>
      <c r="Q27" s="14"/>
      <c r="R27" s="14"/>
      <c r="S27" s="238"/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/>
      <c r="T28" s="14"/>
      <c r="U28" s="296" t="s">
        <v>21</v>
      </c>
      <c r="V28" s="293" t="s">
        <v>149</v>
      </c>
      <c r="W28" s="297">
        <v>44971</v>
      </c>
      <c r="X28" s="298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2.2132800000000001</v>
      </c>
      <c r="N29" s="12">
        <v>3500</v>
      </c>
      <c r="O29" s="12">
        <f t="shared" ref="O29:O34" si="5">M29*N29</f>
        <v>7746.4800000000005</v>
      </c>
      <c r="P29" s="14" t="s">
        <v>21</v>
      </c>
      <c r="Q29" s="14"/>
      <c r="R29" s="14"/>
      <c r="S29" s="241"/>
      <c r="T29" s="14"/>
      <c r="U29" s="296" t="s">
        <v>150</v>
      </c>
      <c r="V29" s="293">
        <v>3625</v>
      </c>
      <c r="W29" s="59" t="s">
        <v>151</v>
      </c>
      <c r="X29" s="298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0.6</v>
      </c>
      <c r="N30" s="12">
        <v>25000</v>
      </c>
      <c r="O30" s="12">
        <f t="shared" si="5"/>
        <v>15000</v>
      </c>
      <c r="P30" s="39" t="s">
        <v>31</v>
      </c>
      <c r="Q30" s="42"/>
      <c r="R30" s="14"/>
      <c r="S30" s="240"/>
      <c r="T30" s="14"/>
      <c r="U30" s="296"/>
      <c r="V30" s="59">
        <v>906.25</v>
      </c>
      <c r="W30" s="59" t="s">
        <v>152</v>
      </c>
      <c r="X30" s="298"/>
    </row>
    <row r="31" spans="1:25" s="230" customFormat="1" ht="17.399999999999999" x14ac:dyDescent="0.35">
      <c r="B31" s="24" t="s">
        <v>148</v>
      </c>
      <c r="J31" s="261"/>
      <c r="K31" s="232"/>
      <c r="L31" s="249"/>
      <c r="M31" s="14"/>
      <c r="N31" s="249">
        <v>37000</v>
      </c>
      <c r="O31" s="12">
        <f t="shared" si="5"/>
        <v>0</v>
      </c>
      <c r="P31" s="39" t="s">
        <v>30</v>
      </c>
      <c r="Q31" s="42"/>
      <c r="S31" s="240"/>
      <c r="T31" s="255"/>
      <c r="U31" s="59"/>
      <c r="V31" s="59">
        <f>V30*20%</f>
        <v>181.25</v>
      </c>
      <c r="W31" s="298" t="s">
        <v>153</v>
      </c>
      <c r="X31" s="59"/>
    </row>
    <row r="32" spans="1:25" s="230" customFormat="1" ht="17.399999999999999" x14ac:dyDescent="0.35">
      <c r="B32" s="24" t="s">
        <v>164</v>
      </c>
      <c r="C32"/>
      <c r="D32"/>
      <c r="E32"/>
      <c r="F32"/>
      <c r="J32" s="261"/>
      <c r="K32" s="232"/>
      <c r="L32" s="249"/>
      <c r="M32" s="14">
        <v>1</v>
      </c>
      <c r="N32" s="249">
        <v>25067</v>
      </c>
      <c r="O32" s="12">
        <f t="shared" si="5"/>
        <v>25067</v>
      </c>
      <c r="P32" s="14" t="s">
        <v>139</v>
      </c>
      <c r="Q32" s="17"/>
      <c r="S32" s="238"/>
      <c r="T32" s="255"/>
      <c r="U32" s="59"/>
      <c r="V32" s="59">
        <f>V30+V31</f>
        <v>1087.5</v>
      </c>
      <c r="W32" s="298" t="s">
        <v>154</v>
      </c>
      <c r="X32" s="59"/>
    </row>
    <row r="33" spans="2:24" s="230" customFormat="1" ht="17.399999999999999" x14ac:dyDescent="0.35">
      <c r="B33" s="29" t="s">
        <v>124</v>
      </c>
      <c r="C33"/>
      <c r="D33"/>
      <c r="E33"/>
      <c r="F33" s="229" t="s">
        <v>15</v>
      </c>
      <c r="J33" s="261">
        <v>29830</v>
      </c>
      <c r="K33" s="259"/>
      <c r="L33" s="249"/>
      <c r="M33" s="248"/>
      <c r="N33" s="249">
        <v>900</v>
      </c>
      <c r="O33" s="12">
        <f t="shared" si="5"/>
        <v>0</v>
      </c>
      <c r="P33" s="14" t="s">
        <v>32</v>
      </c>
      <c r="Q33" s="14"/>
      <c r="R33" s="230">
        <v>1.52</v>
      </c>
      <c r="S33" s="238"/>
      <c r="T33" s="238"/>
    </row>
    <row r="34" spans="2:24" s="230" customFormat="1" ht="17.399999999999999" x14ac:dyDescent="0.35">
      <c r="J34" s="288">
        <f>J33/1.19</f>
        <v>25067.226890756305</v>
      </c>
      <c r="K34" s="259"/>
      <c r="L34" s="249"/>
      <c r="M34" s="265">
        <v>3.48</v>
      </c>
      <c r="N34" s="12">
        <v>1500</v>
      </c>
      <c r="O34" s="12">
        <f t="shared" si="5"/>
        <v>5220</v>
      </c>
      <c r="P34" s="14" t="s">
        <v>22</v>
      </c>
      <c r="Q34" s="14"/>
      <c r="R34">
        <v>2.44</v>
      </c>
      <c r="S34"/>
      <c r="T34" s="238"/>
      <c r="X34" s="231"/>
    </row>
    <row r="35" spans="2:24" s="230" customFormat="1" ht="17.399999999999999" x14ac:dyDescent="0.35">
      <c r="K35" s="259"/>
      <c r="L35" s="249"/>
      <c r="M35" s="14"/>
      <c r="N35" s="12"/>
      <c r="O35" s="12">
        <f>SUM(O29:O34)</f>
        <v>53033.479999999996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2:24" s="230" customFormat="1" ht="17.399999999999999" x14ac:dyDescent="0.35">
      <c r="L36" s="249"/>
      <c r="M36" s="253" t="s">
        <v>33</v>
      </c>
      <c r="N36" s="12"/>
      <c r="O36" s="254">
        <f>O35*2.3</f>
        <v>121977.00399999999</v>
      </c>
      <c r="P36" s="14" t="s">
        <v>138</v>
      </c>
      <c r="Q36" s="14"/>
      <c r="R36" s="40">
        <f>P27/R35</f>
        <v>0.59676445211389129</v>
      </c>
      <c r="S36"/>
      <c r="T36" s="256"/>
    </row>
    <row r="37" spans="2:24" s="230" customFormat="1" ht="17.399999999999999" x14ac:dyDescent="0.35">
      <c r="G37"/>
      <c r="H37" s="259"/>
      <c r="I37" s="259"/>
      <c r="J37" s="259"/>
      <c r="L37" s="249"/>
      <c r="M37" s="14"/>
      <c r="N37" s="12"/>
      <c r="O37" s="12">
        <f>O36/P25</f>
        <v>66133.704185643015</v>
      </c>
      <c r="P37" s="45" t="s">
        <v>24</v>
      </c>
      <c r="Q37" s="14"/>
      <c r="R37" s="14"/>
      <c r="S37"/>
      <c r="T37" s="238"/>
      <c r="U37" s="59" t="s">
        <v>155</v>
      </c>
      <c r="V37" s="293">
        <v>43650</v>
      </c>
    </row>
    <row r="38" spans="2:24" s="230" customFormat="1" ht="17.399999999999999" x14ac:dyDescent="0.35">
      <c r="G38"/>
      <c r="L38" s="249"/>
      <c r="M38" s="13"/>
      <c r="N38" s="14"/>
      <c r="O38" s="17">
        <f>O36/O35</f>
        <v>2.2999999999999998</v>
      </c>
      <c r="P38" s="15"/>
      <c r="Q38"/>
      <c r="R38"/>
      <c r="S38"/>
      <c r="T38" s="238"/>
      <c r="U38" s="59" t="s">
        <v>157</v>
      </c>
      <c r="V38" s="294" t="s">
        <v>156</v>
      </c>
      <c r="W38" s="59">
        <v>2.4</v>
      </c>
    </row>
    <row r="39" spans="2:24" s="230" customFormat="1" ht="17.399999999999999" x14ac:dyDescent="0.35">
      <c r="G39" s="23"/>
      <c r="L39" s="12"/>
      <c r="T39" s="238"/>
      <c r="U39" s="59" t="s">
        <v>158</v>
      </c>
      <c r="V39" s="295">
        <v>395.37</v>
      </c>
    </row>
    <row r="40" spans="2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153</v>
      </c>
      <c r="V40" s="59">
        <v>474.45</v>
      </c>
    </row>
    <row r="41" spans="2:24" ht="14.4" customHeight="1" x14ac:dyDescent="0.3">
      <c r="L41" s="12"/>
      <c r="U41" s="59"/>
      <c r="V41" s="59"/>
    </row>
    <row r="42" spans="2:24" x14ac:dyDescent="0.3">
      <c r="L42" s="249"/>
    </row>
    <row r="43" spans="2:24" x14ac:dyDescent="0.3">
      <c r="L43" s="249"/>
      <c r="T43" s="269"/>
    </row>
    <row r="44" spans="2:24" x14ac:dyDescent="0.3">
      <c r="L44" s="249"/>
    </row>
    <row r="45" spans="2:24" ht="15" customHeight="1" x14ac:dyDescent="0.3"/>
    <row r="47" spans="2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45841</v>
      </c>
    </row>
    <row r="6" spans="2:31" ht="16.2" thickBot="1" x14ac:dyDescent="0.35">
      <c r="B6" s="140" t="s">
        <v>2</v>
      </c>
      <c r="C6" s="139" t="str">
        <f>'2229'!C10</f>
        <v>GUILLERMO LEON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11499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-5540.3430334541072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120000</v>
      </c>
      <c r="E11" s="132">
        <f>D11*0.19</f>
        <v>22800</v>
      </c>
      <c r="F11" s="131">
        <f>E11+D11</f>
        <v>142800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100449.6569665459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52580.570787439618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82449.656966545896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67419.429212560382</v>
      </c>
      <c r="E13" s="221">
        <f>(D11/D12)-1</f>
        <v>1.2822118170817851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73449.656966545896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34449.656966545896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86757.941799275359</v>
      </c>
      <c r="F15" s="216">
        <f>E15-D12</f>
        <v>34177.371011835741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34449.656966545896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74449.656966545896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'2229'!O30</f>
        <v>15000</v>
      </c>
      <c r="E19" s="123">
        <f>D19*0.19</f>
        <v>2850</v>
      </c>
      <c r="F19" s="120">
        <f>SUM(D19:E19)</f>
        <v>17850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7746.4800000000005</v>
      </c>
      <c r="E20" s="121">
        <f>D20*0.19</f>
        <v>1471.8312000000001</v>
      </c>
      <c r="F20" s="120">
        <f>SUM(D20:E20)</f>
        <v>9218.3112000000001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22746.48</v>
      </c>
      <c r="E21" s="116">
        <f>SUM(E18:E20)</f>
        <v>4321.8312000000005</v>
      </c>
      <c r="F21" s="115">
        <f>SUM(F18:F20)</f>
        <v>27068.3112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18478.168799999999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120000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22746.48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67419.429212560382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67419.429212560382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2025-07-03T17:05:27Z</cp:lastPrinted>
  <dcterms:created xsi:type="dcterms:W3CDTF">2013-03-18T13:35:42Z</dcterms:created>
  <dcterms:modified xsi:type="dcterms:W3CDTF">2025-07-03T18:25:28Z</dcterms:modified>
</cp:coreProperties>
</file>