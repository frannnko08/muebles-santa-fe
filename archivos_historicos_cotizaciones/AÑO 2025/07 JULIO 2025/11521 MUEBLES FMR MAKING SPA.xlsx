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07 JULIO 2025\"/>
    </mc:Choice>
  </mc:AlternateContent>
  <xr:revisionPtr revIDLastSave="0" documentId="13_ncr:1_{59D8AB46-8632-442F-BF1C-0F3F32F6A4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2" i="1" l="1"/>
  <c r="G23" i="1"/>
  <c r="G24" i="1"/>
  <c r="G25" i="1"/>
  <c r="G26" i="1"/>
  <c r="G27" i="1"/>
  <c r="G28" i="1"/>
  <c r="G29" i="1"/>
  <c r="G30" i="1"/>
  <c r="G31" i="1"/>
  <c r="G32" i="1"/>
  <c r="G33" i="1"/>
  <c r="G34" i="1"/>
  <c r="G21" i="1"/>
  <c r="G53" i="1"/>
  <c r="H53" i="1"/>
  <c r="G54" i="1"/>
  <c r="H54" i="1"/>
  <c r="G55" i="1"/>
  <c r="H55" i="1"/>
  <c r="G56" i="1"/>
  <c r="H56" i="1"/>
  <c r="G57" i="1"/>
  <c r="H57" i="1"/>
  <c r="G58" i="1"/>
  <c r="H58" i="1"/>
  <c r="G59" i="1"/>
  <c r="H59" i="1"/>
  <c r="G60" i="1"/>
  <c r="H60" i="1"/>
  <c r="G61" i="1"/>
  <c r="H61" i="1"/>
  <c r="G62" i="1"/>
  <c r="H62" i="1"/>
  <c r="G63" i="1"/>
  <c r="H63" i="1"/>
  <c r="G64" i="1"/>
  <c r="H64" i="1"/>
  <c r="G65" i="1"/>
  <c r="H65" i="1"/>
  <c r="H52" i="1"/>
  <c r="G52" i="1"/>
  <c r="L27" i="1" l="1"/>
  <c r="M27" i="1"/>
  <c r="N27" i="1"/>
  <c r="O27" i="1"/>
  <c r="P27" i="1" s="1"/>
  <c r="S27" i="1"/>
  <c r="L28" i="1"/>
  <c r="M28" i="1"/>
  <c r="N28" i="1"/>
  <c r="O28" i="1"/>
  <c r="P28" i="1" s="1"/>
  <c r="S28" i="1"/>
  <c r="L29" i="1"/>
  <c r="M29" i="1"/>
  <c r="N29" i="1"/>
  <c r="O29" i="1"/>
  <c r="P29" i="1" s="1"/>
  <c r="S29" i="1"/>
  <c r="L30" i="1"/>
  <c r="M30" i="1"/>
  <c r="N30" i="1"/>
  <c r="O30" i="1"/>
  <c r="P30" i="1" s="1"/>
  <c r="S30" i="1"/>
  <c r="L31" i="1"/>
  <c r="M31" i="1"/>
  <c r="N31" i="1"/>
  <c r="O31" i="1"/>
  <c r="P31" i="1" s="1"/>
  <c r="S31" i="1"/>
  <c r="L32" i="1"/>
  <c r="M32" i="1"/>
  <c r="N32" i="1"/>
  <c r="O32" i="1"/>
  <c r="P32" i="1" s="1"/>
  <c r="S32" i="1"/>
  <c r="L33" i="1"/>
  <c r="M33" i="1"/>
  <c r="N33" i="1"/>
  <c r="O33" i="1"/>
  <c r="P33" i="1" s="1"/>
  <c r="S33" i="1"/>
  <c r="L34" i="1"/>
  <c r="M34" i="1"/>
  <c r="N34" i="1"/>
  <c r="O34" i="1"/>
  <c r="P34" i="1" s="1"/>
  <c r="S34" i="1"/>
  <c r="L23" i="1" l="1"/>
  <c r="M23" i="1"/>
  <c r="N23" i="1"/>
  <c r="L24" i="1"/>
  <c r="M24" i="1"/>
  <c r="N24" i="1"/>
  <c r="L25" i="1"/>
  <c r="M25" i="1"/>
  <c r="N25" i="1"/>
  <c r="L26" i="1"/>
  <c r="M26" i="1"/>
  <c r="N26" i="1"/>
  <c r="N22" i="1"/>
  <c r="M22" i="1"/>
  <c r="L22" i="1"/>
  <c r="L21" i="1"/>
  <c r="N21" i="1"/>
  <c r="O23" i="1" l="1"/>
  <c r="P23" i="1" s="1"/>
  <c r="O26" i="1"/>
  <c r="P26" i="1" s="1"/>
  <c r="S23" i="1"/>
  <c r="S26" i="1"/>
  <c r="O24" i="1"/>
  <c r="P24" i="1" s="1"/>
  <c r="O25" i="1"/>
  <c r="P25" i="1" s="1"/>
  <c r="S25" i="1"/>
  <c r="S24" i="1"/>
  <c r="S22" i="1"/>
  <c r="O22" i="1"/>
  <c r="P22" i="1" s="1"/>
  <c r="M21" i="1"/>
  <c r="M37" i="1" s="1"/>
  <c r="S21" i="1" l="1"/>
  <c r="S37" i="1" s="1"/>
  <c r="T21" i="1"/>
  <c r="T36" i="1" s="1"/>
  <c r="O21" i="1"/>
  <c r="P21" i="1" s="1"/>
  <c r="P37" i="1" s="1"/>
  <c r="V44" i="1" l="1"/>
  <c r="V45" i="1" s="1"/>
  <c r="O43" i="1" l="1"/>
  <c r="P38" i="1" l="1"/>
  <c r="N20" i="1"/>
  <c r="L20" i="1"/>
  <c r="P39" i="1" l="1"/>
  <c r="P40" i="1" s="1"/>
  <c r="M42" i="1" s="1"/>
  <c r="O44" i="1"/>
  <c r="R48" i="1"/>
  <c r="R49" i="1" l="1"/>
  <c r="O45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47" i="1"/>
  <c r="O46" i="1"/>
  <c r="F18" i="3" l="1"/>
  <c r="O42" i="1" l="1"/>
  <c r="O48" i="1" s="1"/>
  <c r="O49" i="1" s="1"/>
  <c r="O50" i="1" l="1"/>
  <c r="D20" i="3"/>
  <c r="E20" i="3" s="1"/>
  <c r="E21" i="3" s="1"/>
  <c r="Q20" i="1" l="1"/>
  <c r="D21" i="3"/>
  <c r="M43" i="3" s="1"/>
  <c r="D12" i="3" s="1"/>
  <c r="F20" i="3"/>
  <c r="F21" i="3" s="1"/>
  <c r="Q27" i="1" l="1"/>
  <c r="Q28" i="1"/>
  <c r="Q29" i="1"/>
  <c r="Q30" i="1"/>
  <c r="Q31" i="1"/>
  <c r="Q32" i="1"/>
  <c r="Q33" i="1"/>
  <c r="Q34" i="1"/>
  <c r="Q23" i="1"/>
  <c r="Q24" i="1"/>
  <c r="Q25" i="1"/>
  <c r="Q26" i="1"/>
  <c r="Q22" i="1"/>
  <c r="O51" i="1"/>
  <c r="E15" i="3"/>
  <c r="H32" i="1" l="1"/>
  <c r="R32" i="1"/>
  <c r="H31" i="1"/>
  <c r="R31" i="1"/>
  <c r="H27" i="1"/>
  <c r="R27" i="1"/>
  <c r="H34" i="1"/>
  <c r="R34" i="1"/>
  <c r="R30" i="1"/>
  <c r="H30" i="1"/>
  <c r="H33" i="1"/>
  <c r="R33" i="1"/>
  <c r="R29" i="1"/>
  <c r="H29" i="1"/>
  <c r="H28" i="1"/>
  <c r="R28" i="1"/>
  <c r="R26" i="1"/>
  <c r="H26" i="1"/>
  <c r="R25" i="1"/>
  <c r="H25" i="1"/>
  <c r="R24" i="1"/>
  <c r="H24" i="1"/>
  <c r="R22" i="1"/>
  <c r="H22" i="1"/>
  <c r="R23" i="1"/>
  <c r="H23" i="1"/>
  <c r="Q21" i="1"/>
  <c r="F15" i="3"/>
  <c r="R21" i="1" l="1"/>
  <c r="H21" i="1" l="1"/>
  <c r="H36" i="1" l="1"/>
  <c r="H37" i="1" s="1"/>
  <c r="H38" i="1" s="1"/>
  <c r="D11" i="3" l="1"/>
  <c r="X9" i="3" s="1"/>
  <c r="X15" i="3" s="1"/>
  <c r="X14" i="3" l="1"/>
  <c r="M42" i="3"/>
  <c r="M46" i="3" s="1"/>
  <c r="M49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<sst xmlns="http://schemas.openxmlformats.org/spreadsheetml/2006/main" count="257" uniqueCount="176">
  <si>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</si>
  <si>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</si>
  <si>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</si>
  <si>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</si>
  <si>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</si>
  <si>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</si>
  <si>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</si>
  <si>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</si>
  <si>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</si>
  <si>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</si>
  <si>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</si>
  <si>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</si>
  <si>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</si>
  <si>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</si>
  <si>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</si>
  <si>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</si>
  <si>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</si>
  <si>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</si>
  <si>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</si>
  <si>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</si>
  <si>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</si>
  <si>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</si>
  <si>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</si>
  <si>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</si>
  <si>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</si>
  <si>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</si>
  <si>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</si>
  <si>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</si>
  <si>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</si>
  <si>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</si>
  <si>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</si>
  <si>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</si>
  <si>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</si>
  <si>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</si>
  <si>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</si>
  <si>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</si>
  <si>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</si>
  <si>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</si>
  <si>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</si>
  <si>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</si>
  <si>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</si>
  <si>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</si>
  <si>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</si>
  <si>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</si>
  <si>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</si>
  <si>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</si>
  <si>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</si>
  <si>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</si>
  <si>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</si>
  <si>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</si>
  <si>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</si>
  <si>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</si>
  <si>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</si>
  <si>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</si>
  <si>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</si>
  <si>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</si>
  <si>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</si>
  <si>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</si>
  <si>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</si>
  <si>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</si>
  <si>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</si>
  <si>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</si>
  <si>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</si>
  <si>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</si>
  <si>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</si>
  <si>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</si>
  <si>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</si>
  <si>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</si>
  <si>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</si>
  <si>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</si>
  <si>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</si>
  <si>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</si>
  <si>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</si>
  <si>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</si>
  <si>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</si>
  <si>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</si>
  <si>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</si>
  <si>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</si>
  <si>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</si>
  <si>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</si>
  <si>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</si>
  <si>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</si>
  <si>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</si>
  <si>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</si>
  <si>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</si>
  <si>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</si>
  <si>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</si>
  <si>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</si>
  <si>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</si>
  <si>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</si>
  <si>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</si>
  <si>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</si>
  <si>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</si>
  <si>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</si>
  <si>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</si>
  <si>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</si>
  <si>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</si>
  <si>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</si>
  <si>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</si>
  <si>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</si>
  <si>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</si>
  <si>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</si>
  <si>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</si>
  <si>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</si>
  <si>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</si>
  <si>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</si>
  <si>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</si>
  <si>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</si>
  <si>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</si>
  <si>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</si>
  <si>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</si>
  <si>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</si>
  <si>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</si>
  <si>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</si>
  <si>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</si>
  <si>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</si>
  <si>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</si>
  <si>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</si>
  <si>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</si>
  <si>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</si>
  <si>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</si>
  <si>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</si>
  <si>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</si>
  <si>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</si>
  <si>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</si>
  <si>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</si>
  <si>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</si>
  <si>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</si>
  <si>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</si>
  <si>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</si>
  <si>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</si>
  <si>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</si>
  <si>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</si>
  <si>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</si>
  <si>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</si>
  <si>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</si>
  <si>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</si>
  <si>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</si>
  <si>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</si>
  <si>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</si>
  <si>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</si>
  <si>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</si>
  <si>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</si>
  <si>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</si>
  <si>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</si>
  <si>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</si>
  <si>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</si>
  <si>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</si>
  <si>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</si>
  <si>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</si>
  <si>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</si>
  <si>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</si>
  <si>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</si>
  <si>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</si>
  <si>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</si>
  <si>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</si>
  <si>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</si>
  <si>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</si>
  <si>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</si>
  <si>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</si>
  <si>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</si>
  <si>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</si>
  <si>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</si>
  <si>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</si>
  <si>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RUT : 77.054.606-0 CORREO: FRANCODONOSO@TOPMOBILI.CL</t>
  </si>
  <si>
    <t>EMBALAJE</t>
  </si>
  <si>
    <t>PLAZO ENTREGA</t>
  </si>
  <si>
    <t>FECHA</t>
  </si>
  <si>
    <t>DESPACHO</t>
  </si>
  <si>
    <t>SI</t>
  </si>
  <si>
    <t>3 DIAS HABILES</t>
  </si>
  <si>
    <t>PUERTA POSTFORMADA R6</t>
  </si>
  <si>
    <t>BLANCO MATE</t>
  </si>
  <si>
    <t>N° 11521</t>
  </si>
  <si>
    <t>MUEBLES FMR MAKING SPA</t>
  </si>
  <si>
    <t>569 2062 2586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</si>
</sst>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</fonts>
  <fills count="2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5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0" fillId="0" borderId="46" xfId="0" applyBorder="1"/>
    <xf numFmtId="0" fontId="35" fillId="0" borderId="0" xfId="0" applyFont="1"/>
    <xf numFmtId="14" fontId="29" fillId="0" borderId="0" xfId="0" applyNumberFormat="1" applyFont="1" applyAlignment="1">
      <alignment horizontal="left"/>
    </xf>
    <xf numFmtId="0" fontId="37" fillId="8" borderId="0" xfId="0" applyFont="1" applyFill="1"/>
    <xf numFmtId="0" fontId="0" fillId="8" borderId="0" xfId="0" applyFill="1"/>
    <xf numFmtId="0" fontId="29" fillId="8" borderId="0" xfId="0" applyFont="1" applyFill="1" applyAlignment="1">
      <alignment horizontal="left"/>
    </xf>
    <xf numFmtId="0" fontId="29" fillId="0" borderId="0" xfId="0" applyFont="1" applyAlignment="1">
      <alignment horizontal="left"/>
    </xf>
    <xf numFmtId="0" fontId="9" fillId="8" borderId="0" xfId="3" applyFill="1" applyBorder="1"/>
    <xf numFmtId="0" fontId="29" fillId="8" borderId="0" xfId="0" applyFont="1" applyFill="1"/>
    <xf numFmtId="0" fontId="36" fillId="0" borderId="0" xfId="0" quotePrefix="1" applyFont="1"/>
    <xf numFmtId="0" fontId="25" fillId="0" borderId="0" xfId="0" applyFont="1"/>
    <xf numFmtId="0" fontId="29" fillId="0" borderId="0" xfId="0" applyFont="1"/>
    <xf numFmtId="0" fontId="35" fillId="8" borderId="0" xfId="0" applyFont="1" applyFill="1"/>
    <xf numFmtId="0" fontId="14" fillId="8" borderId="0" xfId="0" applyFont="1" applyFill="1"/>
    <xf numFmtId="0" fontId="30" fillId="8" borderId="0" xfId="0" applyFont="1" applyFill="1"/>
    <xf numFmtId="169" fontId="0" fillId="0" borderId="0" xfId="0" applyNumberFormat="1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166" fontId="22" fillId="0" borderId="0" xfId="0" applyNumberFormat="1" applyFont="1"/>
    <xf numFmtId="169" fontId="0" fillId="0" borderId="0" xfId="2" applyNumberFormat="1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2" fillId="0" borderId="26" xfId="0" applyFont="1" applyBorder="1" applyAlignment="1">
      <alignment horizontal="center" vertical="center"/>
    </xf>
    <xf numFmtId="167" fontId="11" fillId="0" borderId="20" xfId="2" applyNumberFormat="1" applyFont="1" applyFill="1" applyBorder="1" applyAlignment="1">
      <alignment horizontal="center" vertical="center"/>
    </xf>
    <xf numFmtId="0" fontId="32" fillId="0" borderId="31" xfId="0" applyFont="1" applyBorder="1" applyAlignment="1">
      <alignment horizontal="center" vertical="center"/>
    </xf>
    <xf numFmtId="0" fontId="32" fillId="0" borderId="33" xfId="0" applyFont="1" applyBorder="1" applyAlignment="1">
      <alignment horizontal="center" vertical="center"/>
    </xf>
    <xf numFmtId="166" fontId="32" fillId="0" borderId="33" xfId="0" applyNumberFormat="1" applyFont="1" applyBorder="1" applyAlignment="1">
      <alignment horizontal="center" vertical="center"/>
    </xf>
    <xf numFmtId="167" fontId="11" fillId="0" borderId="33" xfId="2" applyNumberFormat="1" applyFont="1" applyFill="1" applyBorder="1" applyAlignment="1">
      <alignment horizontal="center" vertical="center"/>
    </xf>
    <xf numFmtId="167" fontId="11" fillId="0" borderId="29" xfId="2" applyNumberFormat="1" applyFont="1" applyFill="1" applyBorder="1" applyAlignment="1">
      <alignment horizontal="center" vertical="center"/>
    </xf>
    <xf numFmtId="0" fontId="24" fillId="18" borderId="2" xfId="0" applyFont="1" applyFill="1" applyBorder="1" applyAlignment="1">
      <alignment horizontal="left" indent="1"/>
    </xf>
    <xf numFmtId="0" fontId="23" fillId="18" borderId="9" xfId="0" applyFont="1" applyFill="1" applyBorder="1"/>
    <xf numFmtId="0" fontId="24" fillId="18" borderId="3" xfId="0" applyFont="1" applyFill="1" applyBorder="1" applyAlignment="1">
      <alignment horizontal="center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21" fillId="18" borderId="40" xfId="0" applyFont="1" applyFill="1" applyBorder="1" applyAlignment="1">
      <alignment horizontal="center" vertical="center"/>
    </xf>
    <xf numFmtId="0" fontId="21" fillId="18" borderId="39" xfId="0" applyFont="1" applyFill="1" applyBorder="1" applyAlignment="1">
      <alignment horizontal="center" vertical="center"/>
    </xf>
    <xf numFmtId="0" fontId="21" fillId="18" borderId="43" xfId="0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39</xdr:row>
      <xdr:rowOff>8194</xdr:rowOff>
    </xdr:from>
    <xdr:to>
      <xdr:col>8</xdr:col>
      <xdr:colOff>8193</xdr:colOff>
      <xdr:row>42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41</xdr:row>
      <xdr:rowOff>154305</xdr:rowOff>
    </xdr:from>
    <xdr:to>
      <xdr:col>7</xdr:col>
      <xdr:colOff>853440</xdr:colOff>
      <xdr:row>41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39</xdr:row>
      <xdr:rowOff>9525</xdr:rowOff>
    </xdr:from>
    <xdr:to>
      <xdr:col>5</xdr:col>
      <xdr:colOff>1745226</xdr:colOff>
      <xdr:row>42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35</xdr:row>
      <xdr:rowOff>9525</xdr:rowOff>
    </xdr:from>
    <xdr:to>
      <xdr:col>5</xdr:col>
      <xdr:colOff>1728839</xdr:colOff>
      <xdr:row>38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 LAS</a:t>
          </a:r>
          <a:r>
            <a:rPr lang="es-CL" sz="1200" b="1" baseline="0"/>
            <a:t> PUERTAS SE ENTREGAN CORTADAS A LA MEDIDA Y ENCHAPADAS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MELAMIL 18MM</a:t>
          </a: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278588</xdr:colOff>
      <xdr:row>5</xdr:row>
      <xdr:rowOff>184562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1968791</xdr:colOff>
      <xdr:row>5</xdr:row>
      <xdr:rowOff>122904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93"/>
  <sheetViews>
    <sheetView tabSelected="1" zoomScale="93" zoomScaleNormal="93" workbookViewId="0">
      <selection activeCell="I32" sqref="I32"/>
    </sheetView>
  </sheetViews>
  <sheetFormatPr baseColWidth="10" defaultRowHeight="14.4" x14ac:dyDescent="0.3"/>
  <cols>
    <col min="1" max="1" width="6" customWidth="1"/>
    <col min="2" max="2" width="10.5546875" customWidth="1"/>
    <col min="3" max="3" width="40.21875" customWidth="1"/>
    <col min="4" max="4" width="11.109375" customWidth="1"/>
    <col min="5" max="5" width="14.44140625" customWidth="1"/>
    <col min="6" max="6" width="27.21875" customWidth="1"/>
    <col min="7" max="7" width="14" customWidth="1"/>
    <col min="8" max="8" width="14.21875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9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6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6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6" t="s">
        <v>161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6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48" t="s">
        <v>125</v>
      </c>
      <c r="C8" s="349"/>
      <c r="D8" s="350" t="s">
        <v>173</v>
      </c>
      <c r="F8" s="56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4" t="s">
        <v>159</v>
      </c>
      <c r="C10" s="309" t="s">
        <v>174</v>
      </c>
      <c r="D10" s="240"/>
      <c r="E10" s="240"/>
      <c r="F10" s="241" t="s">
        <v>167</v>
      </c>
      <c r="G10" s="272">
        <v>45852</v>
      </c>
      <c r="H10" s="242"/>
      <c r="K10" s="1"/>
      <c r="R10" s="2"/>
      <c r="S10" s="3"/>
      <c r="T10" s="3"/>
      <c r="U10" s="4"/>
      <c r="V10" s="2"/>
      <c r="W10" s="3"/>
    </row>
    <row r="11" spans="2:24" ht="16.8" x14ac:dyDescent="0.4">
      <c r="B11" s="281" t="s">
        <v>12</v>
      </c>
      <c r="C11" s="310"/>
      <c r="F11" t="s">
        <v>166</v>
      </c>
      <c r="G11" s="311" t="s">
        <v>170</v>
      </c>
      <c r="H11" s="282"/>
      <c r="Q11" s="19"/>
      <c r="R11" s="22" t="s">
        <v>18</v>
      </c>
      <c r="S11" s="19"/>
    </row>
    <row r="12" spans="2:24" x14ac:dyDescent="0.3">
      <c r="B12" s="243" t="s">
        <v>142</v>
      </c>
      <c r="C12" s="312"/>
      <c r="D12" s="313"/>
      <c r="E12" s="313"/>
      <c r="F12" s="313" t="s">
        <v>126</v>
      </c>
      <c r="G12" s="314" t="s">
        <v>133</v>
      </c>
      <c r="H12" s="244"/>
      <c r="Q12" s="19"/>
      <c r="R12" s="22"/>
      <c r="S12" s="19"/>
    </row>
    <row r="13" spans="2:24" x14ac:dyDescent="0.3">
      <c r="B13" s="281" t="s">
        <v>143</v>
      </c>
      <c r="F13" t="s">
        <v>165</v>
      </c>
      <c r="G13" s="315" t="s">
        <v>133</v>
      </c>
      <c r="H13" s="282"/>
      <c r="Q13" s="19"/>
      <c r="R13" s="22"/>
      <c r="S13" s="19"/>
    </row>
    <row r="14" spans="2:24" x14ac:dyDescent="0.3">
      <c r="B14" s="243" t="s">
        <v>137</v>
      </c>
      <c r="C14" s="316"/>
      <c r="D14" s="313"/>
      <c r="E14" s="313"/>
      <c r="F14" s="313" t="s">
        <v>134</v>
      </c>
      <c r="G14" s="317" t="s">
        <v>169</v>
      </c>
      <c r="H14" s="244"/>
      <c r="K14" s="26"/>
      <c r="Q14" s="20"/>
      <c r="R14" s="23" t="s">
        <v>17</v>
      </c>
      <c r="S14" s="20"/>
    </row>
    <row r="15" spans="2:24" ht="15.6" x14ac:dyDescent="0.3">
      <c r="B15" s="281" t="s">
        <v>4</v>
      </c>
      <c r="C15" s="318" t="s">
        <v>175</v>
      </c>
      <c r="D15" s="319"/>
      <c r="F15" t="s">
        <v>168</v>
      </c>
      <c r="G15" s="320" t="s">
        <v>133</v>
      </c>
      <c r="H15" s="282"/>
    </row>
    <row r="16" spans="2:24" ht="16.8" x14ac:dyDescent="0.4">
      <c r="B16" s="298" t="s">
        <v>3</v>
      </c>
      <c r="C16" s="321"/>
      <c r="D16" s="313"/>
      <c r="E16" s="313"/>
      <c r="F16" s="322" t="s">
        <v>128</v>
      </c>
      <c r="G16" s="323" t="s">
        <v>160</v>
      </c>
      <c r="H16" s="244"/>
    </row>
    <row r="17" spans="2:25" ht="15" thickBot="1" x14ac:dyDescent="0.35">
      <c r="B17" s="295" t="s">
        <v>13</v>
      </c>
      <c r="C17" s="296" t="s">
        <v>163</v>
      </c>
      <c r="D17" s="297"/>
      <c r="E17" s="116"/>
      <c r="F17" s="325" t="s">
        <v>162</v>
      </c>
      <c r="G17" s="325"/>
      <c r="H17" s="326"/>
      <c r="I17" s="259"/>
      <c r="J17" s="259"/>
      <c r="T17" s="6"/>
      <c r="U17" s="6"/>
    </row>
    <row r="18" spans="2:25" ht="15.75" customHeight="1" thickBot="1" x14ac:dyDescent="0.35">
      <c r="J18" s="44"/>
      <c r="K18" s="5"/>
      <c r="V18" s="9"/>
      <c r="X18" s="6"/>
      <c r="Y18" s="6"/>
    </row>
    <row r="19" spans="2:25" ht="13.5" customHeight="1" thickBot="1" x14ac:dyDescent="0.35">
      <c r="B19" s="351" t="s">
        <v>95</v>
      </c>
      <c r="C19" s="352"/>
      <c r="D19" s="352"/>
      <c r="E19" s="352"/>
      <c r="F19" s="352"/>
      <c r="G19" s="352"/>
      <c r="H19" s="353"/>
      <c r="I19" s="260"/>
      <c r="J19" s="260"/>
      <c r="K19" s="5"/>
      <c r="L19" s="246"/>
      <c r="M19" s="14">
        <v>0.08</v>
      </c>
      <c r="N19" s="14"/>
      <c r="O19" s="14"/>
      <c r="P19" s="247" t="s">
        <v>6</v>
      </c>
      <c r="Q19" s="33" t="s">
        <v>20</v>
      </c>
      <c r="R19" s="34" t="s">
        <v>132</v>
      </c>
      <c r="S19" s="10" t="s">
        <v>135</v>
      </c>
      <c r="U19" s="9"/>
      <c r="V19" s="9"/>
      <c r="X19" s="6"/>
      <c r="Y19" s="6"/>
    </row>
    <row r="20" spans="2:25" ht="18" thickBot="1" x14ac:dyDescent="0.35">
      <c r="B20" s="354" t="s">
        <v>7</v>
      </c>
      <c r="C20" s="355" t="s">
        <v>1</v>
      </c>
      <c r="D20" s="355" t="s">
        <v>130</v>
      </c>
      <c r="E20" s="355" t="s">
        <v>11</v>
      </c>
      <c r="F20" s="355" t="s">
        <v>8</v>
      </c>
      <c r="G20" s="355" t="s">
        <v>5</v>
      </c>
      <c r="H20" s="356" t="s">
        <v>6</v>
      </c>
      <c r="I20" s="261"/>
      <c r="J20" s="261"/>
      <c r="K20" s="44"/>
      <c r="L20" s="264" t="str">
        <f>B20</f>
        <v>UNIDAD</v>
      </c>
      <c r="M20" s="263" t="s">
        <v>130</v>
      </c>
      <c r="N20" s="36" t="str">
        <f t="shared" ref="N20" si="0">E20</f>
        <v>ANCHO</v>
      </c>
      <c r="O20" s="257" t="s">
        <v>131</v>
      </c>
      <c r="P20" s="255" t="s">
        <v>16</v>
      </c>
      <c r="Q20" s="248">
        <f>O50</f>
        <v>57511.029857423156</v>
      </c>
      <c r="R20" s="254">
        <v>3000</v>
      </c>
      <c r="S20" s="35"/>
      <c r="T20" s="14" t="s">
        <v>127</v>
      </c>
      <c r="U20" s="9"/>
      <c r="X20" s="4"/>
    </row>
    <row r="21" spans="2:25" ht="17.399999999999999" x14ac:dyDescent="0.3">
      <c r="B21" s="336">
        <v>12</v>
      </c>
      <c r="C21" s="337" t="s">
        <v>171</v>
      </c>
      <c r="D21" s="338">
        <v>0.49299999999999999</v>
      </c>
      <c r="E21" s="338">
        <v>0.251</v>
      </c>
      <c r="F21" s="337" t="s">
        <v>172</v>
      </c>
      <c r="G21" s="339">
        <f>R21</f>
        <v>11271.40884718417</v>
      </c>
      <c r="H21" s="340">
        <f>G21*B21</f>
        <v>135256.90616621004</v>
      </c>
      <c r="I21" s="300"/>
      <c r="J21" s="261"/>
      <c r="K21" s="44"/>
      <c r="L21" s="44">
        <f>B21</f>
        <v>12</v>
      </c>
      <c r="M21" s="36">
        <f>D21+M$19</f>
        <v>0.57299999999999995</v>
      </c>
      <c r="N21" s="36">
        <f>E21+$N$19</f>
        <v>0.251</v>
      </c>
      <c r="O21" s="257">
        <f t="shared" ref="O21" si="1">M21*N21</f>
        <v>0.14382299999999998</v>
      </c>
      <c r="P21" s="255">
        <f t="shared" ref="P21" si="2">O21*L21</f>
        <v>1.7258759999999997</v>
      </c>
      <c r="Q21" s="248">
        <f t="shared" ref="Q21" si="3">Q$20*O21</f>
        <v>8271.4088471841696</v>
      </c>
      <c r="R21" s="299">
        <f t="shared" ref="R21" si="4">Q21+R$20</f>
        <v>11271.40884718417</v>
      </c>
      <c r="S21" s="287">
        <f>M21*L21</f>
        <v>6.8759999999999994</v>
      </c>
      <c r="T21" s="43">
        <f>N21*2*L21*2</f>
        <v>12.048</v>
      </c>
      <c r="U21" s="9"/>
      <c r="X21" s="4"/>
    </row>
    <row r="22" spans="2:25" ht="17.399999999999999" x14ac:dyDescent="0.3">
      <c r="B22" s="341">
        <v>4</v>
      </c>
      <c r="C22" s="306" t="s">
        <v>171</v>
      </c>
      <c r="D22" s="307">
        <v>0.39800000000000002</v>
      </c>
      <c r="E22" s="307">
        <v>0.125</v>
      </c>
      <c r="F22" s="306" t="s">
        <v>172</v>
      </c>
      <c r="G22" s="308">
        <f t="shared" ref="G22:G34" si="5">R22</f>
        <v>6436.2840339810336</v>
      </c>
      <c r="H22" s="342">
        <f t="shared" ref="H22:H26" si="6">G22*B22</f>
        <v>25745.136135924135</v>
      </c>
      <c r="I22" s="300"/>
      <c r="J22" s="261"/>
      <c r="K22" s="44"/>
      <c r="L22" s="44">
        <f t="shared" ref="L22" si="7">B22</f>
        <v>4</v>
      </c>
      <c r="M22" s="36">
        <f t="shared" ref="M22" si="8">D22+M$19</f>
        <v>0.47800000000000004</v>
      </c>
      <c r="N22" s="36">
        <f t="shared" ref="N22" si="9">E22+$N$19</f>
        <v>0.125</v>
      </c>
      <c r="O22" s="257">
        <f t="shared" ref="O22" si="10">M22*N22</f>
        <v>5.9750000000000004E-2</v>
      </c>
      <c r="P22" s="255">
        <f t="shared" ref="P22" si="11">O22*L22</f>
        <v>0.23900000000000002</v>
      </c>
      <c r="Q22" s="248">
        <f t="shared" ref="Q22" si="12">Q$20*O22</f>
        <v>3436.2840339810336</v>
      </c>
      <c r="R22" s="299">
        <f t="shared" ref="R22" si="13">Q22+R$20</f>
        <v>6436.2840339810336</v>
      </c>
      <c r="S22" s="287">
        <f t="shared" ref="S22" si="14">M22*L22</f>
        <v>1.9120000000000001</v>
      </c>
      <c r="T22" s="43"/>
      <c r="U22" s="9"/>
      <c r="X22" s="4"/>
    </row>
    <row r="23" spans="2:25" ht="17.399999999999999" x14ac:dyDescent="0.3">
      <c r="B23" s="341">
        <v>1</v>
      </c>
      <c r="C23" s="306" t="s">
        <v>171</v>
      </c>
      <c r="D23" s="307">
        <v>0.39800000000000002</v>
      </c>
      <c r="E23" s="307">
        <v>0.248</v>
      </c>
      <c r="F23" s="306" t="s">
        <v>172</v>
      </c>
      <c r="G23" s="308">
        <f t="shared" si="5"/>
        <v>9817.5875234183713</v>
      </c>
      <c r="H23" s="342">
        <f t="shared" si="6"/>
        <v>9817.5875234183713</v>
      </c>
      <c r="I23" s="300"/>
      <c r="J23" s="261"/>
      <c r="K23" s="44"/>
      <c r="L23" s="44">
        <f t="shared" ref="L23:L26" si="15">B23</f>
        <v>1</v>
      </c>
      <c r="M23" s="36">
        <f t="shared" ref="M23:M26" si="16">D23+M$19</f>
        <v>0.47800000000000004</v>
      </c>
      <c r="N23" s="36">
        <f t="shared" ref="N23:N26" si="17">E23+$N$19</f>
        <v>0.248</v>
      </c>
      <c r="O23" s="257">
        <f t="shared" ref="O23:O26" si="18">M23*N23</f>
        <v>0.11854400000000001</v>
      </c>
      <c r="P23" s="255">
        <f t="shared" ref="P23:P26" si="19">O23*L23</f>
        <v>0.11854400000000001</v>
      </c>
      <c r="Q23" s="248">
        <f t="shared" ref="Q23:Q26" si="20">Q$20*O23</f>
        <v>6817.5875234183713</v>
      </c>
      <c r="R23" s="299">
        <f t="shared" ref="R23:R26" si="21">Q23+R$20</f>
        <v>9817.5875234183713</v>
      </c>
      <c r="S23" s="287">
        <f t="shared" ref="S23:S26" si="22">M23*L23</f>
        <v>0.47800000000000004</v>
      </c>
      <c r="T23" s="43"/>
      <c r="U23" s="9"/>
      <c r="X23" s="4"/>
    </row>
    <row r="24" spans="2:25" ht="17.399999999999999" x14ac:dyDescent="0.3">
      <c r="B24" s="341">
        <v>4</v>
      </c>
      <c r="C24" s="306" t="s">
        <v>171</v>
      </c>
      <c r="D24" s="307">
        <v>0.64800000000000002</v>
      </c>
      <c r="E24" s="307">
        <v>0.125</v>
      </c>
      <c r="F24" s="306" t="s">
        <v>172</v>
      </c>
      <c r="G24" s="308">
        <f t="shared" si="5"/>
        <v>8233.5037170255073</v>
      </c>
      <c r="H24" s="342">
        <f t="shared" si="6"/>
        <v>32934.014868102029</v>
      </c>
      <c r="I24" s="300"/>
      <c r="J24" s="261"/>
      <c r="K24" s="44"/>
      <c r="L24" s="44">
        <f t="shared" si="15"/>
        <v>4</v>
      </c>
      <c r="M24" s="36">
        <f t="shared" si="16"/>
        <v>0.72799999999999998</v>
      </c>
      <c r="N24" s="36">
        <f t="shared" si="17"/>
        <v>0.125</v>
      </c>
      <c r="O24" s="257">
        <f t="shared" si="18"/>
        <v>9.0999999999999998E-2</v>
      </c>
      <c r="P24" s="255">
        <f t="shared" si="19"/>
        <v>0.36399999999999999</v>
      </c>
      <c r="Q24" s="248">
        <f t="shared" si="20"/>
        <v>5233.5037170255073</v>
      </c>
      <c r="R24" s="299">
        <f t="shared" si="21"/>
        <v>8233.5037170255073</v>
      </c>
      <c r="S24" s="287">
        <f t="shared" si="22"/>
        <v>2.9119999999999999</v>
      </c>
      <c r="T24" s="43"/>
      <c r="U24" s="9"/>
      <c r="X24" s="4"/>
    </row>
    <row r="25" spans="2:25" ht="17.399999999999999" x14ac:dyDescent="0.3">
      <c r="B25" s="341">
        <v>1</v>
      </c>
      <c r="C25" s="306" t="s">
        <v>171</v>
      </c>
      <c r="D25" s="307">
        <v>0.64800000000000002</v>
      </c>
      <c r="E25" s="307">
        <v>0.248</v>
      </c>
      <c r="F25" s="306" t="s">
        <v>172</v>
      </c>
      <c r="G25" s="308">
        <f t="shared" si="5"/>
        <v>13383.271374578606</v>
      </c>
      <c r="H25" s="342">
        <f t="shared" si="6"/>
        <v>13383.271374578606</v>
      </c>
      <c r="I25" s="300"/>
      <c r="J25" s="261"/>
      <c r="K25" s="44"/>
      <c r="L25" s="44">
        <f t="shared" si="15"/>
        <v>1</v>
      </c>
      <c r="M25" s="36">
        <f t="shared" si="16"/>
        <v>0.72799999999999998</v>
      </c>
      <c r="N25" s="36">
        <f t="shared" si="17"/>
        <v>0.248</v>
      </c>
      <c r="O25" s="257">
        <f t="shared" si="18"/>
        <v>0.18054399999999998</v>
      </c>
      <c r="P25" s="255">
        <f t="shared" si="19"/>
        <v>0.18054399999999998</v>
      </c>
      <c r="Q25" s="248">
        <f t="shared" si="20"/>
        <v>10383.271374578606</v>
      </c>
      <c r="R25" s="299">
        <f t="shared" si="21"/>
        <v>13383.271374578606</v>
      </c>
      <c r="S25" s="287">
        <f t="shared" si="22"/>
        <v>0.72799999999999998</v>
      </c>
      <c r="T25" s="43"/>
      <c r="U25" s="9"/>
      <c r="X25" s="4"/>
    </row>
    <row r="26" spans="2:25" ht="17.399999999999999" x14ac:dyDescent="0.3">
      <c r="B26" s="341">
        <v>4</v>
      </c>
      <c r="C26" s="306" t="s">
        <v>171</v>
      </c>
      <c r="D26" s="307">
        <v>0.44800000000000001</v>
      </c>
      <c r="E26" s="307">
        <v>0.125</v>
      </c>
      <c r="F26" s="306" t="s">
        <v>172</v>
      </c>
      <c r="G26" s="308">
        <f t="shared" si="5"/>
        <v>6795.7279705899291</v>
      </c>
      <c r="H26" s="342">
        <f t="shared" si="6"/>
        <v>27182.911882359716</v>
      </c>
      <c r="I26" s="300"/>
      <c r="J26" s="261"/>
      <c r="K26" s="44"/>
      <c r="L26" s="44">
        <f t="shared" si="15"/>
        <v>4</v>
      </c>
      <c r="M26" s="36">
        <f t="shared" si="16"/>
        <v>0.52800000000000002</v>
      </c>
      <c r="N26" s="36">
        <f t="shared" si="17"/>
        <v>0.125</v>
      </c>
      <c r="O26" s="257">
        <f t="shared" si="18"/>
        <v>6.6000000000000003E-2</v>
      </c>
      <c r="P26" s="255">
        <f t="shared" si="19"/>
        <v>0.26400000000000001</v>
      </c>
      <c r="Q26" s="248">
        <f t="shared" si="20"/>
        <v>3795.7279705899286</v>
      </c>
      <c r="R26" s="299">
        <f t="shared" si="21"/>
        <v>6795.7279705899291</v>
      </c>
      <c r="S26" s="287">
        <f t="shared" si="22"/>
        <v>2.1120000000000001</v>
      </c>
      <c r="T26" s="43"/>
      <c r="U26" s="9"/>
      <c r="X26" s="4"/>
    </row>
    <row r="27" spans="2:25" ht="17.399999999999999" x14ac:dyDescent="0.3">
      <c r="B27" s="341">
        <v>1</v>
      </c>
      <c r="C27" s="306" t="s">
        <v>171</v>
      </c>
      <c r="D27" s="307">
        <v>0.44800000000000001</v>
      </c>
      <c r="E27" s="307">
        <v>0.248</v>
      </c>
      <c r="F27" s="306" t="s">
        <v>172</v>
      </c>
      <c r="G27" s="308">
        <f t="shared" si="5"/>
        <v>10530.724293650419</v>
      </c>
      <c r="H27" s="342">
        <f t="shared" ref="H27:H31" si="23">G27*B27</f>
        <v>10530.724293650419</v>
      </c>
      <c r="I27" s="300"/>
      <c r="J27" s="261"/>
      <c r="K27" s="44"/>
      <c r="L27" s="44">
        <f t="shared" ref="L27:L34" si="24">B27</f>
        <v>1</v>
      </c>
      <c r="M27" s="36">
        <f t="shared" ref="M27:M34" si="25">D27+M$19</f>
        <v>0.52800000000000002</v>
      </c>
      <c r="N27" s="36">
        <f t="shared" ref="N27:N34" si="26">E27+$N$19</f>
        <v>0.248</v>
      </c>
      <c r="O27" s="257">
        <f t="shared" ref="O27:O34" si="27">M27*N27</f>
        <v>0.130944</v>
      </c>
      <c r="P27" s="255">
        <f t="shared" ref="P27:P34" si="28">O27*L27</f>
        <v>0.130944</v>
      </c>
      <c r="Q27" s="248">
        <f t="shared" ref="Q27:Q34" si="29">Q$20*O27</f>
        <v>7530.7242936504181</v>
      </c>
      <c r="R27" s="299">
        <f t="shared" ref="R27:R34" si="30">Q27+R$20</f>
        <v>10530.724293650419</v>
      </c>
      <c r="S27" s="287">
        <f t="shared" ref="S27:S34" si="31">M27*L27</f>
        <v>0.52800000000000002</v>
      </c>
      <c r="T27" s="43"/>
      <c r="U27" s="9"/>
      <c r="X27" s="4"/>
    </row>
    <row r="28" spans="2:25" ht="17.399999999999999" x14ac:dyDescent="0.3">
      <c r="B28" s="341">
        <v>6</v>
      </c>
      <c r="C28" s="306" t="s">
        <v>171</v>
      </c>
      <c r="D28" s="307">
        <v>0.76</v>
      </c>
      <c r="E28" s="307">
        <v>0.34599999999999997</v>
      </c>
      <c r="F28" s="306" t="s">
        <v>172</v>
      </c>
      <c r="G28" s="308">
        <f t="shared" si="5"/>
        <v>19715.005717761465</v>
      </c>
      <c r="H28" s="342">
        <f t="shared" si="23"/>
        <v>118290.03430656879</v>
      </c>
      <c r="I28" s="300"/>
      <c r="J28" s="261"/>
      <c r="K28" s="44"/>
      <c r="L28" s="44">
        <f t="shared" si="24"/>
        <v>6</v>
      </c>
      <c r="M28" s="36">
        <f t="shared" si="25"/>
        <v>0.84</v>
      </c>
      <c r="N28" s="36">
        <f t="shared" si="26"/>
        <v>0.34599999999999997</v>
      </c>
      <c r="O28" s="257">
        <f t="shared" si="27"/>
        <v>0.29063999999999995</v>
      </c>
      <c r="P28" s="255">
        <f t="shared" si="28"/>
        <v>1.7438399999999996</v>
      </c>
      <c r="Q28" s="248">
        <f t="shared" si="29"/>
        <v>16715.005717761465</v>
      </c>
      <c r="R28" s="299">
        <f t="shared" si="30"/>
        <v>19715.005717761465</v>
      </c>
      <c r="S28" s="287">
        <f t="shared" si="31"/>
        <v>5.04</v>
      </c>
      <c r="T28" s="43"/>
      <c r="U28" s="9"/>
      <c r="X28" s="4"/>
    </row>
    <row r="29" spans="2:25" ht="17.399999999999999" x14ac:dyDescent="0.3">
      <c r="B29" s="341">
        <v>1</v>
      </c>
      <c r="C29" s="306" t="s">
        <v>171</v>
      </c>
      <c r="D29" s="307">
        <v>0.5</v>
      </c>
      <c r="E29" s="307">
        <v>0.38200000000000001</v>
      </c>
      <c r="F29" s="306" t="s">
        <v>172</v>
      </c>
      <c r="G29" s="308">
        <f t="shared" si="5"/>
        <v>15742.143775210674</v>
      </c>
      <c r="H29" s="342">
        <f t="shared" si="23"/>
        <v>15742.143775210674</v>
      </c>
      <c r="I29" s="300"/>
      <c r="J29" s="261"/>
      <c r="K29" s="44"/>
      <c r="L29" s="44">
        <f t="shared" si="24"/>
        <v>1</v>
      </c>
      <c r="M29" s="36">
        <f t="shared" si="25"/>
        <v>0.57999999999999996</v>
      </c>
      <c r="N29" s="36">
        <f t="shared" si="26"/>
        <v>0.38200000000000001</v>
      </c>
      <c r="O29" s="257">
        <f t="shared" si="27"/>
        <v>0.22155999999999998</v>
      </c>
      <c r="P29" s="255">
        <f t="shared" si="28"/>
        <v>0.22155999999999998</v>
      </c>
      <c r="Q29" s="248">
        <f t="shared" si="29"/>
        <v>12742.143775210674</v>
      </c>
      <c r="R29" s="299">
        <f t="shared" si="30"/>
        <v>15742.143775210674</v>
      </c>
      <c r="S29" s="287">
        <f t="shared" si="31"/>
        <v>0.57999999999999996</v>
      </c>
      <c r="T29" s="43"/>
      <c r="U29" s="9"/>
      <c r="X29" s="4"/>
    </row>
    <row r="30" spans="2:25" ht="17.399999999999999" x14ac:dyDescent="0.3">
      <c r="B30" s="341">
        <v>2</v>
      </c>
      <c r="C30" s="306" t="s">
        <v>171</v>
      </c>
      <c r="D30" s="307">
        <v>0.5</v>
      </c>
      <c r="E30" s="307">
        <v>0.39</v>
      </c>
      <c r="F30" s="306" t="s">
        <v>172</v>
      </c>
      <c r="G30" s="308">
        <f t="shared" si="5"/>
        <v>16008.994953749117</v>
      </c>
      <c r="H30" s="342">
        <f t="shared" si="23"/>
        <v>32017.989907498235</v>
      </c>
      <c r="I30" s="300"/>
      <c r="J30" s="261"/>
      <c r="K30" s="44"/>
      <c r="L30" s="44">
        <f t="shared" si="24"/>
        <v>2</v>
      </c>
      <c r="M30" s="36">
        <f t="shared" si="25"/>
        <v>0.57999999999999996</v>
      </c>
      <c r="N30" s="36">
        <f t="shared" si="26"/>
        <v>0.39</v>
      </c>
      <c r="O30" s="257">
        <f t="shared" si="27"/>
        <v>0.22619999999999998</v>
      </c>
      <c r="P30" s="255">
        <f t="shared" si="28"/>
        <v>0.45239999999999997</v>
      </c>
      <c r="Q30" s="248">
        <f t="shared" si="29"/>
        <v>13008.994953749117</v>
      </c>
      <c r="R30" s="299">
        <f t="shared" si="30"/>
        <v>16008.994953749117</v>
      </c>
      <c r="S30" s="287">
        <f t="shared" si="31"/>
        <v>1.1599999999999999</v>
      </c>
      <c r="T30" s="43"/>
      <c r="U30" s="9"/>
      <c r="X30" s="4"/>
    </row>
    <row r="31" spans="2:25" ht="17.399999999999999" x14ac:dyDescent="0.3">
      <c r="B31" s="341">
        <v>2</v>
      </c>
      <c r="C31" s="306" t="s">
        <v>171</v>
      </c>
      <c r="D31" s="307">
        <v>0.59</v>
      </c>
      <c r="E31" s="307">
        <v>0.22500000000000001</v>
      </c>
      <c r="F31" s="306" t="s">
        <v>172</v>
      </c>
      <c r="G31" s="308">
        <f t="shared" si="5"/>
        <v>11669.787751006541</v>
      </c>
      <c r="H31" s="342">
        <f t="shared" si="23"/>
        <v>23339.575502013082</v>
      </c>
      <c r="I31" s="300"/>
      <c r="J31" s="261"/>
      <c r="K31" s="44"/>
      <c r="L31" s="44">
        <f t="shared" si="24"/>
        <v>2</v>
      </c>
      <c r="M31" s="36">
        <f t="shared" si="25"/>
        <v>0.66999999999999993</v>
      </c>
      <c r="N31" s="36">
        <f t="shared" si="26"/>
        <v>0.22500000000000001</v>
      </c>
      <c r="O31" s="257">
        <f t="shared" si="27"/>
        <v>0.15075</v>
      </c>
      <c r="P31" s="255">
        <f t="shared" si="28"/>
        <v>0.30149999999999999</v>
      </c>
      <c r="Q31" s="248">
        <f t="shared" si="29"/>
        <v>8669.7877510065409</v>
      </c>
      <c r="R31" s="299">
        <f t="shared" si="30"/>
        <v>11669.787751006541</v>
      </c>
      <c r="S31" s="287">
        <f t="shared" si="31"/>
        <v>1.3399999999999999</v>
      </c>
      <c r="T31" s="43"/>
      <c r="U31" s="9"/>
      <c r="X31" s="4"/>
    </row>
    <row r="32" spans="2:25" ht="17.399999999999999" x14ac:dyDescent="0.3">
      <c r="B32" s="341">
        <v>2</v>
      </c>
      <c r="C32" s="306" t="s">
        <v>171</v>
      </c>
      <c r="D32" s="307">
        <v>0.59</v>
      </c>
      <c r="E32" s="307">
        <v>0.15</v>
      </c>
      <c r="F32" s="306" t="s">
        <v>172</v>
      </c>
      <c r="G32" s="308">
        <f t="shared" si="5"/>
        <v>8779.8585006710273</v>
      </c>
      <c r="H32" s="342">
        <f t="shared" ref="H32:H34" si="32">G32*B32</f>
        <v>17559.717001342055</v>
      </c>
      <c r="I32" s="300"/>
      <c r="J32" s="261"/>
      <c r="K32" s="44"/>
      <c r="L32" s="44">
        <f t="shared" si="24"/>
        <v>2</v>
      </c>
      <c r="M32" s="36">
        <f t="shared" si="25"/>
        <v>0.66999999999999993</v>
      </c>
      <c r="N32" s="36">
        <f t="shared" si="26"/>
        <v>0.15</v>
      </c>
      <c r="O32" s="257">
        <f t="shared" si="27"/>
        <v>0.10049999999999999</v>
      </c>
      <c r="P32" s="255">
        <f t="shared" si="28"/>
        <v>0.20099999999999998</v>
      </c>
      <c r="Q32" s="248">
        <f t="shared" si="29"/>
        <v>5779.8585006710264</v>
      </c>
      <c r="R32" s="299">
        <f t="shared" si="30"/>
        <v>8779.8585006710273</v>
      </c>
      <c r="S32" s="287">
        <f t="shared" si="31"/>
        <v>1.3399999999999999</v>
      </c>
      <c r="T32" s="43"/>
      <c r="U32" s="9"/>
      <c r="X32" s="4"/>
    </row>
    <row r="33" spans="1:24" ht="17.399999999999999" x14ac:dyDescent="0.3">
      <c r="B33" s="341">
        <v>1</v>
      </c>
      <c r="C33" s="306" t="s">
        <v>171</v>
      </c>
      <c r="D33" s="307">
        <v>0.76</v>
      </c>
      <c r="E33" s="307">
        <v>0.35</v>
      </c>
      <c r="F33" s="306" t="s">
        <v>172</v>
      </c>
      <c r="G33" s="308">
        <f t="shared" si="5"/>
        <v>19908.242778082407</v>
      </c>
      <c r="H33" s="342">
        <f t="shared" si="32"/>
        <v>19908.242778082407</v>
      </c>
      <c r="I33" s="300"/>
      <c r="J33" s="261"/>
      <c r="K33" s="44"/>
      <c r="L33" s="44">
        <f t="shared" si="24"/>
        <v>1</v>
      </c>
      <c r="M33" s="36">
        <f t="shared" si="25"/>
        <v>0.84</v>
      </c>
      <c r="N33" s="36">
        <f t="shared" si="26"/>
        <v>0.35</v>
      </c>
      <c r="O33" s="257">
        <f t="shared" si="27"/>
        <v>0.29399999999999998</v>
      </c>
      <c r="P33" s="255">
        <f t="shared" si="28"/>
        <v>0.29399999999999998</v>
      </c>
      <c r="Q33" s="248">
        <f t="shared" si="29"/>
        <v>16908.242778082407</v>
      </c>
      <c r="R33" s="299">
        <f t="shared" si="30"/>
        <v>19908.242778082407</v>
      </c>
      <c r="S33" s="287">
        <f t="shared" si="31"/>
        <v>0.84</v>
      </c>
      <c r="T33" s="43"/>
      <c r="U33" s="9"/>
      <c r="X33" s="4"/>
    </row>
    <row r="34" spans="1:24" ht="18" thickBot="1" x14ac:dyDescent="0.35">
      <c r="B34" s="343">
        <v>2</v>
      </c>
      <c r="C34" s="344" t="s">
        <v>171</v>
      </c>
      <c r="D34" s="345">
        <v>0.76</v>
      </c>
      <c r="E34" s="345">
        <v>0.34300000000000003</v>
      </c>
      <c r="F34" s="344" t="s">
        <v>172</v>
      </c>
      <c r="G34" s="346">
        <f t="shared" si="5"/>
        <v>19570.077922520759</v>
      </c>
      <c r="H34" s="347">
        <f t="shared" si="32"/>
        <v>39140.155845041518</v>
      </c>
      <c r="I34" s="300"/>
      <c r="J34" s="261"/>
      <c r="K34" s="44"/>
      <c r="L34" s="44">
        <f t="shared" si="24"/>
        <v>2</v>
      </c>
      <c r="M34" s="36">
        <f t="shared" si="25"/>
        <v>0.84</v>
      </c>
      <c r="N34" s="36">
        <f t="shared" si="26"/>
        <v>0.34300000000000003</v>
      </c>
      <c r="O34" s="257">
        <f t="shared" si="27"/>
        <v>0.28811999999999999</v>
      </c>
      <c r="P34" s="255">
        <f t="shared" si="28"/>
        <v>0.57623999999999997</v>
      </c>
      <c r="Q34" s="248">
        <f t="shared" si="29"/>
        <v>16570.077922520759</v>
      </c>
      <c r="R34" s="299">
        <f t="shared" si="30"/>
        <v>19570.077922520759</v>
      </c>
      <c r="S34" s="287">
        <f t="shared" si="31"/>
        <v>1.68</v>
      </c>
      <c r="T34" s="43"/>
      <c r="U34" s="9"/>
      <c r="X34" s="4"/>
    </row>
    <row r="35" spans="1:24" ht="18" thickBot="1" x14ac:dyDescent="0.35">
      <c r="B35" s="279"/>
      <c r="C35" s="279"/>
      <c r="D35" s="280"/>
      <c r="E35" s="280"/>
      <c r="F35" s="279"/>
      <c r="G35" s="261"/>
      <c r="H35" s="301"/>
      <c r="I35" s="303"/>
      <c r="J35" s="230"/>
      <c r="K35" s="44"/>
      <c r="L35" s="44"/>
      <c r="M35" s="36"/>
      <c r="N35" s="36"/>
      <c r="O35" s="257"/>
      <c r="P35" s="255"/>
      <c r="Q35" s="248"/>
      <c r="R35" s="254"/>
      <c r="S35" s="287"/>
      <c r="T35" s="14"/>
      <c r="U35" s="9"/>
      <c r="X35" s="4"/>
    </row>
    <row r="36" spans="1:24" ht="17.399999999999999" x14ac:dyDescent="0.3">
      <c r="B36" s="279"/>
      <c r="C36" s="279"/>
      <c r="D36" s="280"/>
      <c r="E36" s="280"/>
      <c r="F36" s="279"/>
      <c r="G36" s="304" t="s">
        <v>28</v>
      </c>
      <c r="H36" s="305">
        <f>SUM(H21:H35)</f>
        <v>520848.41136000003</v>
      </c>
      <c r="I36" s="302"/>
      <c r="J36" s="261"/>
      <c r="K36" s="324"/>
      <c r="L36" s="44"/>
      <c r="M36" s="36"/>
      <c r="N36" s="36"/>
      <c r="O36" s="257"/>
      <c r="P36" s="255"/>
      <c r="Q36" s="248"/>
      <c r="R36" s="254"/>
      <c r="S36" s="287"/>
      <c r="T36" s="43">
        <f>SUM(T21:T35)</f>
        <v>12.048</v>
      </c>
      <c r="U36" s="9"/>
      <c r="X36" s="4"/>
    </row>
    <row r="37" spans="1:24" ht="17.399999999999999" x14ac:dyDescent="0.3">
      <c r="B37" s="273"/>
      <c r="C37" s="276"/>
      <c r="D37" s="277"/>
      <c r="E37" s="277"/>
      <c r="F37" s="278"/>
      <c r="G37" s="286" t="s">
        <v>51</v>
      </c>
      <c r="H37" s="284">
        <f>H36*19%</f>
        <v>98961.198158400002</v>
      </c>
      <c r="I37" s="302"/>
      <c r="J37" s="261"/>
      <c r="K37" s="324"/>
      <c r="L37" s="44"/>
      <c r="M37" s="36">
        <f>SUM(M21:M26)</f>
        <v>3.5129999999999995</v>
      </c>
      <c r="N37" s="12"/>
      <c r="O37" s="12"/>
      <c r="P37" s="249">
        <f>SUM(P21:P35)</f>
        <v>6.8134479999999993</v>
      </c>
      <c r="Q37" s="14"/>
      <c r="R37" s="12"/>
      <c r="S37" s="236">
        <f>SUM(S21:S36)</f>
        <v>27.526</v>
      </c>
      <c r="T37" s="43"/>
      <c r="U37" s="9"/>
      <c r="X37" s="4"/>
    </row>
    <row r="38" spans="1:24" ht="18" thickBot="1" x14ac:dyDescent="0.35">
      <c r="B38" s="271"/>
      <c r="C38" s="275"/>
      <c r="D38" s="268"/>
      <c r="E38" s="268"/>
      <c r="F38" s="269"/>
      <c r="G38" s="274" t="s">
        <v>6</v>
      </c>
      <c r="H38" s="285">
        <f>H36+H37</f>
        <v>619809.60951840004</v>
      </c>
      <c r="I38" s="302"/>
      <c r="J38" s="261"/>
      <c r="K38" s="324"/>
      <c r="L38" s="44"/>
      <c r="M38" s="36"/>
      <c r="N38" s="12"/>
      <c r="O38" s="12"/>
      <c r="P38" s="249">
        <f>P37</f>
        <v>6.8134479999999993</v>
      </c>
      <c r="Q38" s="14"/>
      <c r="R38" s="12"/>
      <c r="S38" s="236"/>
      <c r="T38" s="43"/>
      <c r="U38" s="9"/>
      <c r="X38" s="4"/>
    </row>
    <row r="39" spans="1:24" ht="17.399999999999999" x14ac:dyDescent="0.3">
      <c r="B39" s="271"/>
      <c r="C39" s="267"/>
      <c r="D39" s="268"/>
      <c r="E39" s="268"/>
      <c r="F39" s="269"/>
      <c r="J39" s="261"/>
      <c r="K39" s="324"/>
      <c r="L39" s="44"/>
      <c r="M39" s="14"/>
      <c r="N39" s="12"/>
      <c r="O39" s="12"/>
      <c r="P39" s="36">
        <f>P38*20%</f>
        <v>1.3626895999999999</v>
      </c>
      <c r="Q39" s="36" t="s">
        <v>129</v>
      </c>
      <c r="R39" s="39"/>
      <c r="S39" s="237"/>
      <c r="T39" s="14"/>
      <c r="U39" s="9"/>
      <c r="X39" s="4"/>
    </row>
    <row r="40" spans="1:24" ht="17.399999999999999" x14ac:dyDescent="0.35">
      <c r="B40" s="265"/>
      <c r="C40" s="227"/>
      <c r="D40" s="227"/>
      <c r="E40" s="230"/>
      <c r="F40" s="231"/>
      <c r="G40" s="227"/>
      <c r="H40" s="270"/>
      <c r="I40" s="270"/>
      <c r="J40" s="261"/>
      <c r="K40" s="44"/>
      <c r="L40" s="44"/>
      <c r="M40" s="14"/>
      <c r="N40" s="12"/>
      <c r="O40" s="12"/>
      <c r="P40" s="43">
        <f>P38+P39</f>
        <v>8.1761375999999988</v>
      </c>
      <c r="Q40" s="14"/>
      <c r="R40" s="14"/>
      <c r="S40" s="235"/>
      <c r="T40" s="14"/>
      <c r="U40" s="9"/>
      <c r="X40" s="4"/>
    </row>
    <row r="41" spans="1:24" ht="17.399999999999999" x14ac:dyDescent="0.35">
      <c r="B41" s="232"/>
      <c r="C41" s="233"/>
      <c r="D41" s="234"/>
      <c r="E41" s="232"/>
      <c r="F41" s="227"/>
      <c r="G41" s="227"/>
      <c r="I41" s="270"/>
      <c r="J41" s="261"/>
      <c r="K41" s="44"/>
      <c r="L41" s="44"/>
      <c r="M41" s="14"/>
      <c r="N41" s="14"/>
      <c r="O41" s="14"/>
      <c r="P41" s="14"/>
      <c r="Q41" s="14"/>
      <c r="R41" s="14"/>
      <c r="S41" s="237"/>
      <c r="T41" s="14"/>
      <c r="U41" s="291" t="s">
        <v>21</v>
      </c>
      <c r="V41" s="288" t="s">
        <v>149</v>
      </c>
      <c r="W41" s="292">
        <v>44971</v>
      </c>
      <c r="X41" s="293"/>
    </row>
    <row r="42" spans="1:24" ht="17.399999999999999" x14ac:dyDescent="0.35">
      <c r="B42" s="227"/>
      <c r="C42" s="227"/>
      <c r="D42" s="227"/>
      <c r="E42" s="227"/>
      <c r="F42" s="227"/>
      <c r="G42" s="227"/>
      <c r="J42" s="261"/>
      <c r="K42" s="44"/>
      <c r="L42" s="44"/>
      <c r="M42" s="36">
        <f>P40</f>
        <v>8.1761375999999988</v>
      </c>
      <c r="N42" s="12">
        <v>3500</v>
      </c>
      <c r="O42" s="12">
        <f t="shared" ref="O42:O47" si="33">M42*N42</f>
        <v>28616.481599999996</v>
      </c>
      <c r="P42" s="14" t="s">
        <v>21</v>
      </c>
      <c r="Q42" s="14"/>
      <c r="R42" s="14"/>
      <c r="S42" s="238"/>
      <c r="T42" s="14"/>
      <c r="U42" s="291" t="s">
        <v>150</v>
      </c>
      <c r="V42" s="288">
        <v>3625</v>
      </c>
      <c r="W42" s="56" t="s">
        <v>151</v>
      </c>
      <c r="X42" s="293"/>
    </row>
    <row r="43" spans="1:24" ht="17.399999999999999" x14ac:dyDescent="0.35">
      <c r="A43" s="227"/>
      <c r="B43" s="227"/>
      <c r="C43" s="227"/>
      <c r="D43" s="227"/>
      <c r="E43" s="227"/>
      <c r="F43" s="227"/>
      <c r="G43" s="227"/>
      <c r="H43" s="227"/>
      <c r="J43" s="261"/>
      <c r="K43" s="44"/>
      <c r="L43" s="44"/>
      <c r="M43" s="245">
        <v>2.2000000000000002</v>
      </c>
      <c r="N43" s="12">
        <v>40000</v>
      </c>
      <c r="O43" s="12">
        <f t="shared" si="33"/>
        <v>88000</v>
      </c>
      <c r="P43" s="36" t="s">
        <v>31</v>
      </c>
      <c r="Q43" s="39"/>
      <c r="R43" s="14"/>
      <c r="S43" s="237"/>
      <c r="T43" s="14"/>
      <c r="U43" s="291"/>
      <c r="V43" s="56">
        <v>906.25</v>
      </c>
      <c r="W43" s="56" t="s">
        <v>152</v>
      </c>
      <c r="X43" s="293"/>
    </row>
    <row r="44" spans="1:24" s="227" customFormat="1" ht="17.399999999999999" x14ac:dyDescent="0.35">
      <c r="B44" s="21" t="s">
        <v>148</v>
      </c>
      <c r="J44" s="258"/>
      <c r="K44" s="229"/>
      <c r="L44" s="246"/>
      <c r="M44" s="14">
        <v>2</v>
      </c>
      <c r="N44" s="246">
        <v>34989</v>
      </c>
      <c r="O44" s="12">
        <f t="shared" si="33"/>
        <v>69978</v>
      </c>
      <c r="P44" s="36" t="s">
        <v>30</v>
      </c>
      <c r="Q44" s="39"/>
      <c r="S44" s="237"/>
      <c r="T44" s="252"/>
      <c r="U44" s="56"/>
      <c r="V44" s="56">
        <f>V43*20%</f>
        <v>181.25</v>
      </c>
      <c r="W44" s="293" t="s">
        <v>153</v>
      </c>
      <c r="X44" s="56"/>
    </row>
    <row r="45" spans="1:24" s="227" customFormat="1" ht="17.399999999999999" x14ac:dyDescent="0.35">
      <c r="B45" s="21" t="s">
        <v>164</v>
      </c>
      <c r="C45"/>
      <c r="D45"/>
      <c r="E45"/>
      <c r="F45"/>
      <c r="J45" s="258"/>
      <c r="K45" s="229"/>
      <c r="L45" s="246"/>
      <c r="M45" s="14"/>
      <c r="N45" s="246">
        <v>22025</v>
      </c>
      <c r="O45" s="12">
        <f t="shared" si="33"/>
        <v>0</v>
      </c>
      <c r="P45" s="14" t="s">
        <v>139</v>
      </c>
      <c r="Q45" s="17"/>
      <c r="S45" s="235"/>
      <c r="T45" s="252"/>
      <c r="U45" s="56"/>
      <c r="V45" s="56">
        <f>V43+V44</f>
        <v>1087.5</v>
      </c>
      <c r="W45" s="293" t="s">
        <v>154</v>
      </c>
      <c r="X45" s="56"/>
    </row>
    <row r="46" spans="1:24" s="227" customFormat="1" ht="17.399999999999999" x14ac:dyDescent="0.35">
      <c r="B46" s="26" t="s">
        <v>124</v>
      </c>
      <c r="C46"/>
      <c r="D46"/>
      <c r="E46"/>
      <c r="F46" s="226" t="s">
        <v>15</v>
      </c>
      <c r="J46" s="258"/>
      <c r="K46" s="256"/>
      <c r="L46" s="246"/>
      <c r="M46" s="245"/>
      <c r="N46" s="246">
        <v>900</v>
      </c>
      <c r="O46" s="12">
        <f t="shared" si="33"/>
        <v>0</v>
      </c>
      <c r="P46" s="14" t="s">
        <v>32</v>
      </c>
      <c r="Q46" s="14"/>
      <c r="R46" s="227">
        <v>1.52</v>
      </c>
      <c r="S46" s="235"/>
      <c r="T46" s="235"/>
    </row>
    <row r="47" spans="1:24" s="227" customFormat="1" ht="17.399999999999999" x14ac:dyDescent="0.35">
      <c r="J47" s="283"/>
      <c r="K47" s="256"/>
      <c r="L47" s="246"/>
      <c r="M47" s="262"/>
      <c r="N47" s="12">
        <v>1500</v>
      </c>
      <c r="O47" s="12">
        <f t="shared" si="33"/>
        <v>0</v>
      </c>
      <c r="P47" s="14" t="s">
        <v>22</v>
      </c>
      <c r="Q47" s="14"/>
      <c r="R47">
        <v>2.44</v>
      </c>
      <c r="S47"/>
      <c r="T47" s="235"/>
      <c r="X47" s="228"/>
    </row>
    <row r="48" spans="1:24" s="227" customFormat="1" ht="17.399999999999999" x14ac:dyDescent="0.35">
      <c r="K48" s="256"/>
      <c r="L48" s="246"/>
      <c r="M48" s="14"/>
      <c r="N48" s="12"/>
      <c r="O48" s="12">
        <f>SUM(O42:O47)</f>
        <v>186594.4816</v>
      </c>
      <c r="P48" s="36" t="s">
        <v>23</v>
      </c>
      <c r="Q48" s="14"/>
      <c r="R48">
        <f>R46*R47</f>
        <v>3.7088000000000001</v>
      </c>
      <c r="S48"/>
      <c r="T48" s="235"/>
      <c r="X48" s="228"/>
    </row>
    <row r="49" spans="2:23" s="227" customFormat="1" ht="17.399999999999999" x14ac:dyDescent="0.35">
      <c r="L49" s="246"/>
      <c r="M49" s="250" t="s">
        <v>33</v>
      </c>
      <c r="N49" s="12"/>
      <c r="O49" s="251">
        <f>O48*2.1</f>
        <v>391848.41136000003</v>
      </c>
      <c r="P49" s="14" t="s">
        <v>138</v>
      </c>
      <c r="Q49" s="14"/>
      <c r="R49" s="37">
        <f>P40/R48</f>
        <v>2.2045237273511642</v>
      </c>
      <c r="S49"/>
      <c r="T49" s="253"/>
    </row>
    <row r="50" spans="2:23" s="227" customFormat="1" ht="17.399999999999999" x14ac:dyDescent="0.35">
      <c r="G50"/>
      <c r="H50" s="256"/>
      <c r="I50" s="256"/>
      <c r="J50" s="256"/>
      <c r="L50" s="246"/>
      <c r="M50" s="14"/>
      <c r="N50" s="12"/>
      <c r="O50" s="12">
        <f>O49/P38</f>
        <v>57511.029857423156</v>
      </c>
      <c r="P50" s="42" t="s">
        <v>24</v>
      </c>
      <c r="Q50" s="14"/>
      <c r="R50" s="14"/>
      <c r="S50"/>
      <c r="T50" s="235"/>
      <c r="U50" s="56" t="s">
        <v>155</v>
      </c>
      <c r="V50" s="288">
        <v>43650</v>
      </c>
    </row>
    <row r="51" spans="2:23" s="227" customFormat="1" ht="17.399999999999999" x14ac:dyDescent="0.35">
      <c r="G51"/>
      <c r="L51" s="246"/>
      <c r="M51" s="13"/>
      <c r="N51" s="14"/>
      <c r="O51" s="17">
        <f>O49/O48</f>
        <v>2.1</v>
      </c>
      <c r="P51" s="15"/>
      <c r="Q51"/>
      <c r="R51"/>
      <c r="S51"/>
      <c r="T51" s="235"/>
      <c r="U51" s="56" t="s">
        <v>157</v>
      </c>
      <c r="V51" s="289" t="s">
        <v>156</v>
      </c>
      <c r="W51" s="56">
        <v>2.4</v>
      </c>
    </row>
    <row r="52" spans="2:23" s="227" customFormat="1" ht="17.399999999999999" x14ac:dyDescent="0.35">
      <c r="D52" s="307">
        <v>0.49299999999999999</v>
      </c>
      <c r="E52" s="307">
        <v>0.251</v>
      </c>
      <c r="F52" s="306">
        <v>12</v>
      </c>
      <c r="G52" s="335">
        <f>D52+0.04</f>
        <v>0.53300000000000003</v>
      </c>
      <c r="H52" s="334">
        <f>E52+0.09</f>
        <v>0.34099999999999997</v>
      </c>
      <c r="L52" s="12"/>
      <c r="T52" s="235"/>
      <c r="U52" s="56" t="s">
        <v>158</v>
      </c>
      <c r="V52" s="290">
        <v>395.37</v>
      </c>
    </row>
    <row r="53" spans="2:23" s="227" customFormat="1" ht="17.399999999999999" x14ac:dyDescent="0.35">
      <c r="B53"/>
      <c r="C53" s="225"/>
      <c r="D53" s="307">
        <v>0.39800000000000002</v>
      </c>
      <c r="E53" s="307">
        <v>0.125</v>
      </c>
      <c r="F53" s="306">
        <v>4</v>
      </c>
      <c r="G53" s="335">
        <f t="shared" ref="G53:G65" si="34">D53+0.04</f>
        <v>0.438</v>
      </c>
      <c r="H53" s="334">
        <f t="shared" ref="H53:H65" si="35">E53+0.09</f>
        <v>0.215</v>
      </c>
      <c r="L53" s="12"/>
      <c r="T53" s="235"/>
      <c r="U53" s="56" t="s">
        <v>153</v>
      </c>
      <c r="V53" s="56">
        <v>474.45</v>
      </c>
    </row>
    <row r="54" spans="2:23" ht="14.4" customHeight="1" x14ac:dyDescent="0.35">
      <c r="D54" s="307">
        <v>0.39800000000000002</v>
      </c>
      <c r="E54" s="307">
        <v>0.248</v>
      </c>
      <c r="F54" s="306">
        <v>1</v>
      </c>
      <c r="G54" s="335">
        <f t="shared" si="34"/>
        <v>0.438</v>
      </c>
      <c r="H54" s="334">
        <f t="shared" si="35"/>
        <v>0.33799999999999997</v>
      </c>
      <c r="L54" s="12"/>
      <c r="U54" s="56"/>
      <c r="V54" s="56"/>
    </row>
    <row r="55" spans="2:23" ht="17.399999999999999" x14ac:dyDescent="0.35">
      <c r="D55" s="307">
        <v>0.64800000000000002</v>
      </c>
      <c r="E55" s="307">
        <v>0.125</v>
      </c>
      <c r="F55" s="306">
        <v>4</v>
      </c>
      <c r="G55" s="335">
        <f t="shared" si="34"/>
        <v>0.68800000000000006</v>
      </c>
      <c r="H55" s="334">
        <f t="shared" si="35"/>
        <v>0.215</v>
      </c>
      <c r="L55" s="246"/>
    </row>
    <row r="56" spans="2:23" ht="17.399999999999999" x14ac:dyDescent="0.35">
      <c r="D56" s="307">
        <v>0.64800000000000002</v>
      </c>
      <c r="E56" s="307">
        <v>0.248</v>
      </c>
      <c r="F56" s="306">
        <v>1</v>
      </c>
      <c r="G56" s="335">
        <f t="shared" si="34"/>
        <v>0.68800000000000006</v>
      </c>
      <c r="H56" s="334">
        <f t="shared" si="35"/>
        <v>0.33799999999999997</v>
      </c>
      <c r="L56" s="246"/>
      <c r="T56" s="266"/>
    </row>
    <row r="57" spans="2:23" ht="17.399999999999999" x14ac:dyDescent="0.35">
      <c r="D57" s="307">
        <v>0.44800000000000001</v>
      </c>
      <c r="E57" s="307">
        <v>0.125</v>
      </c>
      <c r="F57" s="306">
        <v>4</v>
      </c>
      <c r="G57" s="335">
        <f t="shared" si="34"/>
        <v>0.48799999999999999</v>
      </c>
      <c r="H57" s="334">
        <f t="shared" si="35"/>
        <v>0.215</v>
      </c>
      <c r="L57" s="246"/>
    </row>
    <row r="58" spans="2:23" ht="15" customHeight="1" x14ac:dyDescent="0.35">
      <c r="D58" s="307">
        <v>0.44800000000000001</v>
      </c>
      <c r="E58" s="307">
        <v>0.248</v>
      </c>
      <c r="F58" s="306">
        <v>1</v>
      </c>
      <c r="G58" s="335">
        <f t="shared" si="34"/>
        <v>0.48799999999999999</v>
      </c>
      <c r="H58" s="334">
        <f t="shared" si="35"/>
        <v>0.33799999999999997</v>
      </c>
    </row>
    <row r="59" spans="2:23" ht="17.399999999999999" x14ac:dyDescent="0.35">
      <c r="D59" s="307">
        <v>0.76</v>
      </c>
      <c r="E59" s="307">
        <v>0.34599999999999997</v>
      </c>
      <c r="F59" s="306">
        <v>6</v>
      </c>
      <c r="G59" s="335">
        <f t="shared" si="34"/>
        <v>0.8</v>
      </c>
      <c r="H59" s="334">
        <f t="shared" si="35"/>
        <v>0.43599999999999994</v>
      </c>
    </row>
    <row r="60" spans="2:23" ht="17.399999999999999" x14ac:dyDescent="0.35">
      <c r="D60" s="307">
        <v>0.5</v>
      </c>
      <c r="E60" s="307">
        <v>0.38200000000000001</v>
      </c>
      <c r="F60" s="306">
        <v>1</v>
      </c>
      <c r="G60" s="335">
        <f t="shared" si="34"/>
        <v>0.54</v>
      </c>
      <c r="H60" s="334">
        <f t="shared" si="35"/>
        <v>0.47199999999999998</v>
      </c>
      <c r="O60">
        <v>40935</v>
      </c>
      <c r="P60" t="s">
        <v>16</v>
      </c>
      <c r="Q60" t="s">
        <v>26</v>
      </c>
    </row>
    <row r="61" spans="2:23" ht="17.399999999999999" x14ac:dyDescent="0.35">
      <c r="D61" s="307">
        <v>0.5</v>
      </c>
      <c r="E61" s="307">
        <v>0.39</v>
      </c>
      <c r="F61" s="306">
        <v>2</v>
      </c>
      <c r="G61" s="335">
        <f t="shared" si="34"/>
        <v>0.54</v>
      </c>
      <c r="H61" s="334">
        <f t="shared" si="35"/>
        <v>0.48</v>
      </c>
    </row>
    <row r="62" spans="2:23" ht="17.399999999999999" x14ac:dyDescent="0.35">
      <c r="D62" s="307">
        <v>0.59</v>
      </c>
      <c r="E62" s="307">
        <v>0.22500000000000001</v>
      </c>
      <c r="F62" s="306">
        <v>2</v>
      </c>
      <c r="G62" s="335">
        <f t="shared" si="34"/>
        <v>0.63</v>
      </c>
      <c r="H62" s="334">
        <f t="shared" si="35"/>
        <v>0.315</v>
      </c>
      <c r="O62" s="51"/>
      <c r="P62" s="51"/>
    </row>
    <row r="63" spans="2:23" ht="17.399999999999999" x14ac:dyDescent="0.35">
      <c r="D63" s="307">
        <v>0.59</v>
      </c>
      <c r="E63" s="307">
        <v>0.15</v>
      </c>
      <c r="F63" s="306">
        <v>2</v>
      </c>
      <c r="G63" s="335">
        <f t="shared" si="34"/>
        <v>0.63</v>
      </c>
      <c r="H63" s="334">
        <f t="shared" si="35"/>
        <v>0.24</v>
      </c>
      <c r="S63" s="18"/>
      <c r="T63" s="18"/>
    </row>
    <row r="64" spans="2:23" ht="17.399999999999999" x14ac:dyDescent="0.35">
      <c r="D64" s="307">
        <v>0.76</v>
      </c>
      <c r="E64" s="307">
        <v>0.35</v>
      </c>
      <c r="F64" s="306">
        <v>1</v>
      </c>
      <c r="G64" s="335">
        <f t="shared" si="34"/>
        <v>0.8</v>
      </c>
      <c r="H64" s="334">
        <f t="shared" si="35"/>
        <v>0.43999999999999995</v>
      </c>
      <c r="S64" s="18"/>
      <c r="T64" s="18"/>
    </row>
    <row r="65" spans="4:20" ht="17.399999999999999" x14ac:dyDescent="0.35">
      <c r="D65" s="307">
        <v>0.76</v>
      </c>
      <c r="E65" s="307">
        <v>0.34300000000000003</v>
      </c>
      <c r="F65" s="306">
        <v>2</v>
      </c>
      <c r="G65" s="335">
        <f t="shared" si="34"/>
        <v>0.8</v>
      </c>
      <c r="H65" s="334">
        <f t="shared" si="35"/>
        <v>0.43300000000000005</v>
      </c>
      <c r="S65" s="18"/>
      <c r="T65" s="18"/>
    </row>
    <row r="66" spans="4:20" x14ac:dyDescent="0.3">
      <c r="S66" s="18"/>
      <c r="T66" s="18"/>
    </row>
    <row r="67" spans="4:20" x14ac:dyDescent="0.3">
      <c r="S67" s="18"/>
      <c r="T67" s="18"/>
    </row>
    <row r="68" spans="4:20" x14ac:dyDescent="0.3">
      <c r="S68" s="18"/>
      <c r="T68" s="18"/>
    </row>
    <row r="69" spans="4:20" x14ac:dyDescent="0.3">
      <c r="S69" s="18"/>
      <c r="T69" s="18"/>
    </row>
    <row r="70" spans="4:20" x14ac:dyDescent="0.3">
      <c r="S70" s="18"/>
      <c r="T70" s="18"/>
    </row>
    <row r="71" spans="4:20" x14ac:dyDescent="0.3">
      <c r="S71" s="18"/>
      <c r="T71" s="18"/>
    </row>
    <row r="74" spans="4:20" x14ac:dyDescent="0.3">
      <c r="O74" s="40"/>
    </row>
    <row r="75" spans="4:20" x14ac:dyDescent="0.3">
      <c r="O75" s="40"/>
    </row>
    <row r="76" spans="4:20" x14ac:dyDescent="0.3">
      <c r="O76" s="6"/>
    </row>
    <row r="77" spans="4:20" x14ac:dyDescent="0.3">
      <c r="O77" s="6"/>
    </row>
    <row r="85" spans="3:3" x14ac:dyDescent="0.3">
      <c r="C85" t="s">
        <v>145</v>
      </c>
    </row>
    <row r="86" spans="3:3" x14ac:dyDescent="0.3">
      <c r="C86" t="s">
        <v>144</v>
      </c>
    </row>
    <row r="89" spans="3:3" x14ac:dyDescent="0.3">
      <c r="C89" t="s">
        <v>144</v>
      </c>
    </row>
    <row r="166" spans="3:3" x14ac:dyDescent="0.3">
      <c r="C166" t="s">
        <v>144</v>
      </c>
    </row>
    <row r="167" spans="3:3" x14ac:dyDescent="0.3">
      <c r="C167" t="s">
        <v>146</v>
      </c>
    </row>
    <row r="168" spans="3:3" x14ac:dyDescent="0.3">
      <c r="C168" t="s">
        <v>147</v>
      </c>
    </row>
    <row r="593" spans="3:3" x14ac:dyDescent="0.3">
      <c r="C593" t="s">
        <v>144</v>
      </c>
    </row>
  </sheetData>
  <mergeCells count="2">
    <mergeCell ref="F17:H17"/>
    <mergeCell ref="B19:H19"/>
  </mergeCells>
  <phoneticPr fontId="34" type="noConversion"/>
  <hyperlinks>
    <hyperlink ref="F4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7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4" t="s">
        <v>105</v>
      </c>
      <c r="C2" s="45"/>
      <c r="D2" s="45"/>
      <c r="E2" s="143"/>
      <c r="F2" s="6"/>
    </row>
    <row r="3" spans="2:31" ht="18" x14ac:dyDescent="0.35">
      <c r="E3" s="142"/>
      <c r="F3" s="141"/>
    </row>
    <row r="5" spans="2:31" ht="15.6" x14ac:dyDescent="0.3">
      <c r="B5" s="137" t="s">
        <v>0</v>
      </c>
      <c r="C5" s="140">
        <f>'2229'!G10</f>
        <v>45852</v>
      </c>
    </row>
    <row r="6" spans="2:31" ht="16.2" thickBot="1" x14ac:dyDescent="0.35">
      <c r="B6" s="137" t="s">
        <v>2</v>
      </c>
      <c r="C6" s="136" t="str">
        <f>'2229'!C10</f>
        <v>MUEBLES FMR MAKING SPA</v>
      </c>
      <c r="D6" s="135"/>
      <c r="E6" s="135"/>
      <c r="F6" s="135"/>
      <c r="N6" s="72" t="s">
        <v>104</v>
      </c>
      <c r="O6" s="72"/>
      <c r="P6" s="139" t="s">
        <v>103</v>
      </c>
      <c r="Q6" s="139"/>
    </row>
    <row r="7" spans="2:31" ht="16.2" thickBot="1" x14ac:dyDescent="0.35">
      <c r="B7" s="137" t="s">
        <v>3</v>
      </c>
      <c r="C7" s="136" t="e">
        <f>'2229'!#REF!</f>
        <v>#REF!</v>
      </c>
      <c r="D7" s="135"/>
      <c r="E7" s="135"/>
      <c r="F7" s="135"/>
      <c r="H7" s="328" t="s">
        <v>98</v>
      </c>
      <c r="I7" s="329"/>
      <c r="J7" s="329"/>
      <c r="K7" s="330"/>
      <c r="N7" s="72"/>
      <c r="O7" s="327" t="s">
        <v>102</v>
      </c>
      <c r="P7" s="138" t="s">
        <v>101</v>
      </c>
      <c r="Q7" s="138"/>
    </row>
    <row r="8" spans="2:31" ht="16.2" thickBot="1" x14ac:dyDescent="0.35">
      <c r="B8" s="137" t="s">
        <v>100</v>
      </c>
      <c r="C8" s="136" t="str">
        <f>'2229'!D8</f>
        <v>N° 11521</v>
      </c>
      <c r="D8" s="135"/>
      <c r="E8" s="135"/>
      <c r="F8" s="135"/>
      <c r="H8" s="179" t="s">
        <v>117</v>
      </c>
      <c r="I8" s="151" t="s">
        <v>116</v>
      </c>
      <c r="J8" s="224" t="s">
        <v>95</v>
      </c>
      <c r="K8" s="132" t="s">
        <v>6</v>
      </c>
      <c r="L8" s="131" t="s">
        <v>6</v>
      </c>
      <c r="N8" s="72"/>
      <c r="O8" s="327"/>
      <c r="P8" s="72" t="s">
        <v>99</v>
      </c>
      <c r="Q8" s="72"/>
      <c r="X8">
        <f>SUM(Q11:Q16)</f>
        <v>6</v>
      </c>
    </row>
    <row r="9" spans="2:31" ht="15" thickBot="1" x14ac:dyDescent="0.35">
      <c r="H9" s="194" t="s">
        <v>96</v>
      </c>
      <c r="I9" s="195" t="s">
        <v>115</v>
      </c>
      <c r="J9" s="180" t="s">
        <v>92</v>
      </c>
      <c r="K9" s="153"/>
      <c r="L9" s="99">
        <f>SUM(K10:K23)</f>
        <v>2550</v>
      </c>
      <c r="S9" s="25" t="s">
        <v>9</v>
      </c>
      <c r="T9" s="25"/>
      <c r="W9" s="8"/>
      <c r="X9" s="173">
        <f>(E15-D11)/X8</f>
        <v>-27290.211153454118</v>
      </c>
    </row>
    <row r="10" spans="2:31" ht="16.2" thickBot="1" x14ac:dyDescent="0.35">
      <c r="D10" s="215" t="s">
        <v>28</v>
      </c>
      <c r="E10" s="216" t="s">
        <v>51</v>
      </c>
      <c r="F10" s="217" t="s">
        <v>6</v>
      </c>
      <c r="H10" s="187">
        <v>3</v>
      </c>
      <c r="I10" s="201">
        <v>350</v>
      </c>
      <c r="J10" s="198" t="s">
        <v>32</v>
      </c>
      <c r="K10" s="154">
        <f t="shared" ref="K10:K23" si="0">I10*H10</f>
        <v>1050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3"/>
      <c r="AB10" s="6"/>
      <c r="AC10" s="14"/>
      <c r="AD10" s="223"/>
      <c r="AE10" s="10"/>
    </row>
    <row r="11" spans="2:31" ht="16.2" thickBot="1" x14ac:dyDescent="0.35">
      <c r="C11" s="208" t="s">
        <v>93</v>
      </c>
      <c r="D11" s="130">
        <f>'2229'!H36</f>
        <v>520848.41136000003</v>
      </c>
      <c r="E11" s="129">
        <f>D11*0.19</f>
        <v>98961.198158400002</v>
      </c>
      <c r="F11" s="128">
        <f>E11+D11</f>
        <v>619809.60951840004</v>
      </c>
      <c r="H11" s="188">
        <v>3</v>
      </c>
      <c r="I11" s="171">
        <v>500</v>
      </c>
      <c r="J11" s="145" t="s">
        <v>22</v>
      </c>
      <c r="K11" s="155">
        <f t="shared" si="0"/>
        <v>1500</v>
      </c>
      <c r="Q11" s="7">
        <v>1</v>
      </c>
      <c r="R11" s="7" t="s">
        <v>35</v>
      </c>
      <c r="S11" s="48">
        <v>2.8</v>
      </c>
      <c r="T11" s="48">
        <v>0.62</v>
      </c>
      <c r="U11" s="7" t="s">
        <v>38</v>
      </c>
      <c r="V11" s="52">
        <v>105990</v>
      </c>
      <c r="W11" s="46">
        <f t="shared" ref="W11:W18" si="1">V11*Q11</f>
        <v>105990</v>
      </c>
      <c r="X11" s="173">
        <f t="shared" ref="X11:X16" si="2">V11+$X$9</f>
        <v>78699.788846545882</v>
      </c>
      <c r="Y11" s="172">
        <v>108990</v>
      </c>
      <c r="AA11" s="6"/>
      <c r="AB11" s="6"/>
      <c r="AC11" s="222"/>
      <c r="AD11" s="50"/>
      <c r="AE11" s="219"/>
    </row>
    <row r="12" spans="2:31" ht="16.2" thickBot="1" x14ac:dyDescent="0.35">
      <c r="C12" s="134" t="s">
        <v>97</v>
      </c>
      <c r="D12" s="133">
        <f>SUM(M43:M45)</f>
        <v>216428.57238743961</v>
      </c>
      <c r="F12" s="58"/>
      <c r="H12" s="188">
        <v>0</v>
      </c>
      <c r="I12" s="171">
        <v>7500</v>
      </c>
      <c r="J12" s="147" t="s">
        <v>111</v>
      </c>
      <c r="K12" s="155">
        <f t="shared" si="0"/>
        <v>0</v>
      </c>
      <c r="L12" s="58"/>
      <c r="Q12" s="7">
        <v>1</v>
      </c>
      <c r="R12" s="7" t="s">
        <v>35</v>
      </c>
      <c r="S12" s="48">
        <v>2.2999999999999998</v>
      </c>
      <c r="T12" s="48">
        <v>0.62</v>
      </c>
      <c r="U12" s="7" t="s">
        <v>38</v>
      </c>
      <c r="V12" s="52">
        <v>87990</v>
      </c>
      <c r="W12" s="46">
        <f t="shared" si="1"/>
        <v>87990</v>
      </c>
      <c r="X12" s="173">
        <f t="shared" si="2"/>
        <v>60699.788846545882</v>
      </c>
      <c r="Y12" s="172">
        <v>89990</v>
      </c>
      <c r="Z12" s="2"/>
      <c r="AA12" s="220"/>
      <c r="AB12" s="221"/>
      <c r="AC12" s="222"/>
      <c r="AD12" s="50"/>
      <c r="AE12" s="219"/>
    </row>
    <row r="13" spans="2:31" ht="16.2" thickBot="1" x14ac:dyDescent="0.35">
      <c r="C13" s="209" t="s">
        <v>91</v>
      </c>
      <c r="D13" s="214">
        <f>D11-D12</f>
        <v>304419.83897256042</v>
      </c>
      <c r="E13" s="218">
        <f>(D11/D12)-1</f>
        <v>1.4065603058527931</v>
      </c>
      <c r="H13" s="188">
        <v>0</v>
      </c>
      <c r="I13" s="171">
        <v>50</v>
      </c>
      <c r="J13" s="147" t="s">
        <v>112</v>
      </c>
      <c r="K13" s="155">
        <f t="shared" si="0"/>
        <v>0</v>
      </c>
      <c r="L13" s="58"/>
      <c r="Q13" s="7">
        <v>1</v>
      </c>
      <c r="R13" s="7" t="s">
        <v>35</v>
      </c>
      <c r="S13" s="48">
        <v>2.0299999999999998</v>
      </c>
      <c r="T13" s="48">
        <v>0.62</v>
      </c>
      <c r="U13" s="7" t="s">
        <v>38</v>
      </c>
      <c r="V13" s="52">
        <v>78990</v>
      </c>
      <c r="W13" s="46">
        <f t="shared" si="1"/>
        <v>78990</v>
      </c>
      <c r="X13" s="173">
        <f t="shared" si="2"/>
        <v>51699.788846545882</v>
      </c>
      <c r="Y13" s="172">
        <v>81990</v>
      </c>
      <c r="Z13" s="2"/>
      <c r="AA13" s="220"/>
      <c r="AB13" s="221"/>
      <c r="AC13" s="222"/>
      <c r="AD13" s="50"/>
      <c r="AE13" s="219"/>
    </row>
    <row r="14" spans="2:31" ht="15" thickBot="1" x14ac:dyDescent="0.35">
      <c r="D14" s="143" t="s">
        <v>122</v>
      </c>
      <c r="E14" s="176" t="s">
        <v>28</v>
      </c>
      <c r="F14" s="175" t="s">
        <v>110</v>
      </c>
      <c r="H14" s="188">
        <v>0</v>
      </c>
      <c r="I14" s="171">
        <v>50</v>
      </c>
      <c r="J14" s="147" t="s">
        <v>113</v>
      </c>
      <c r="K14" s="155">
        <f t="shared" si="0"/>
        <v>0</v>
      </c>
      <c r="L14" s="58"/>
      <c r="P14" s="123"/>
      <c r="Q14" s="7">
        <v>1</v>
      </c>
      <c r="R14" s="7" t="s">
        <v>35</v>
      </c>
      <c r="S14" s="48">
        <v>1.08</v>
      </c>
      <c r="T14" s="48">
        <v>0.62</v>
      </c>
      <c r="U14" s="7" t="s">
        <v>38</v>
      </c>
      <c r="V14" s="52">
        <v>39990</v>
      </c>
      <c r="W14" s="46">
        <f t="shared" si="1"/>
        <v>39990</v>
      </c>
      <c r="X14" s="173">
        <f t="shared" si="2"/>
        <v>12699.788846545882</v>
      </c>
      <c r="Y14" s="172">
        <v>39990</v>
      </c>
      <c r="Z14" s="2"/>
      <c r="AA14" s="220"/>
      <c r="AB14" s="221"/>
      <c r="AC14" s="222"/>
      <c r="AD14" s="50"/>
      <c r="AE14" s="219"/>
    </row>
    <row r="15" spans="2:31" ht="15" thickBot="1" x14ac:dyDescent="0.35">
      <c r="C15" s="210" t="s">
        <v>121</v>
      </c>
      <c r="D15" s="211">
        <v>0.65</v>
      </c>
      <c r="E15" s="212">
        <f>(100%+D15)*D12</f>
        <v>357107.14443927532</v>
      </c>
      <c r="F15" s="213">
        <f>E15-D12</f>
        <v>140678.57205183571</v>
      </c>
      <c r="H15" s="188">
        <v>0</v>
      </c>
      <c r="I15" s="171">
        <v>10</v>
      </c>
      <c r="J15" s="147" t="s">
        <v>114</v>
      </c>
      <c r="K15" s="155">
        <f t="shared" si="0"/>
        <v>0</v>
      </c>
      <c r="L15" s="58"/>
      <c r="Q15" s="7">
        <v>1</v>
      </c>
      <c r="R15" s="7" t="s">
        <v>35</v>
      </c>
      <c r="S15" s="48">
        <v>1.08</v>
      </c>
      <c r="T15" s="48">
        <v>0.62</v>
      </c>
      <c r="U15" s="7" t="s">
        <v>38</v>
      </c>
      <c r="V15" s="52">
        <v>39990</v>
      </c>
      <c r="W15" s="46">
        <f t="shared" si="1"/>
        <v>39990</v>
      </c>
      <c r="X15" s="173">
        <f t="shared" si="2"/>
        <v>12699.788846545882</v>
      </c>
      <c r="Y15" s="172">
        <v>39990</v>
      </c>
      <c r="Z15" s="98"/>
      <c r="AA15" s="98"/>
      <c r="AB15" s="121"/>
      <c r="AD15" s="37"/>
      <c r="AE15" s="38"/>
    </row>
    <row r="16" spans="2:31" ht="15" thickBot="1" x14ac:dyDescent="0.35">
      <c r="H16" s="189">
        <v>1</v>
      </c>
      <c r="I16" s="199"/>
      <c r="J16" s="145" t="s">
        <v>90</v>
      </c>
      <c r="K16" s="155">
        <f t="shared" si="0"/>
        <v>0</v>
      </c>
      <c r="L16" s="58"/>
      <c r="Q16" s="7">
        <v>1</v>
      </c>
      <c r="R16" s="7" t="s">
        <v>35</v>
      </c>
      <c r="S16" s="48">
        <v>2.06</v>
      </c>
      <c r="T16" s="48">
        <v>0.62</v>
      </c>
      <c r="U16" s="7" t="s">
        <v>38</v>
      </c>
      <c r="V16" s="52">
        <v>79990</v>
      </c>
      <c r="W16" s="46">
        <f t="shared" si="1"/>
        <v>79990</v>
      </c>
      <c r="X16" s="173">
        <f t="shared" si="2"/>
        <v>52699.788846545882</v>
      </c>
      <c r="Y16" s="172">
        <v>83990</v>
      </c>
      <c r="Z16" s="98"/>
      <c r="AA16" s="98"/>
      <c r="AB16" s="36"/>
      <c r="AC16" s="36"/>
      <c r="AD16" s="39"/>
      <c r="AE16" s="39"/>
    </row>
    <row r="17" spans="1:31" ht="15" thickBot="1" x14ac:dyDescent="0.35">
      <c r="B17" s="127" t="s">
        <v>88</v>
      </c>
      <c r="C17" s="126" t="s">
        <v>87</v>
      </c>
      <c r="D17" s="126" t="s">
        <v>28</v>
      </c>
      <c r="E17" s="125" t="s">
        <v>51</v>
      </c>
      <c r="F17" s="124" t="s">
        <v>6</v>
      </c>
      <c r="H17" s="190">
        <v>1</v>
      </c>
      <c r="I17" s="199"/>
      <c r="J17" s="185" t="s">
        <v>89</v>
      </c>
      <c r="K17" s="155">
        <f t="shared" si="0"/>
        <v>0</v>
      </c>
      <c r="L17" s="58"/>
      <c r="Q17" s="7">
        <v>6</v>
      </c>
      <c r="R17" s="7" t="s">
        <v>36</v>
      </c>
      <c r="S17" s="48"/>
      <c r="T17" s="48"/>
      <c r="U17" s="7"/>
      <c r="V17" s="52">
        <v>5000</v>
      </c>
      <c r="W17" s="46">
        <f t="shared" si="1"/>
        <v>30000</v>
      </c>
      <c r="X17" s="103"/>
      <c r="Y17" s="14"/>
      <c r="Z17" s="98"/>
      <c r="AA17" s="98"/>
      <c r="AB17" s="43"/>
    </row>
    <row r="18" spans="1:31" x14ac:dyDescent="0.3">
      <c r="C18" s="122" t="s">
        <v>85</v>
      </c>
      <c r="D18" s="119">
        <f>'2229'!O44</f>
        <v>69978</v>
      </c>
      <c r="E18" s="120">
        <f>D18*0.19</f>
        <v>13295.82</v>
      </c>
      <c r="F18" s="117">
        <f>SUM(D18:E18)</f>
        <v>83273.820000000007</v>
      </c>
      <c r="H18" s="189">
        <v>1</v>
      </c>
      <c r="I18" s="199"/>
      <c r="J18" s="181" t="s">
        <v>86</v>
      </c>
      <c r="K18" s="155">
        <f t="shared" si="0"/>
        <v>0</v>
      </c>
      <c r="L18" s="58"/>
      <c r="Q18" s="7">
        <v>1</v>
      </c>
      <c r="R18" s="53" t="s">
        <v>37</v>
      </c>
      <c r="S18" s="48"/>
      <c r="T18" s="48"/>
      <c r="U18" s="7"/>
      <c r="V18" s="46">
        <v>10000</v>
      </c>
      <c r="W18" s="46">
        <f t="shared" si="1"/>
        <v>10000</v>
      </c>
      <c r="X18" s="103"/>
    </row>
    <row r="19" spans="1:31" x14ac:dyDescent="0.3">
      <c r="C19" s="76" t="s">
        <v>31</v>
      </c>
      <c r="D19" s="119">
        <f>'2229'!O43</f>
        <v>88000</v>
      </c>
      <c r="E19" s="120">
        <f>D19*0.19</f>
        <v>16720</v>
      </c>
      <c r="F19" s="117">
        <f>SUM(D19:E19)</f>
        <v>104720</v>
      </c>
      <c r="H19" s="189">
        <v>1</v>
      </c>
      <c r="I19" s="199"/>
      <c r="J19" s="181" t="s">
        <v>84</v>
      </c>
      <c r="K19" s="155">
        <f t="shared" si="0"/>
        <v>0</v>
      </c>
      <c r="L19" s="58"/>
      <c r="Q19" s="16"/>
      <c r="T19" s="5"/>
      <c r="U19" s="6"/>
      <c r="V19" s="27" t="s">
        <v>28</v>
      </c>
      <c r="W19" s="31">
        <f>SUM(W11:W18)</f>
        <v>472940</v>
      </c>
      <c r="X19" s="103"/>
      <c r="Y19" s="173">
        <f>SUM(Y11:Y16)+SUM(W17:W18)</f>
        <v>484940</v>
      </c>
    </row>
    <row r="20" spans="1:31" ht="15" thickBot="1" x14ac:dyDescent="0.35">
      <c r="C20" s="71" t="s">
        <v>21</v>
      </c>
      <c r="D20" s="119">
        <f>'2229'!O42</f>
        <v>28616.481599999996</v>
      </c>
      <c r="E20" s="118">
        <f>D20*0.19</f>
        <v>5437.131503999999</v>
      </c>
      <c r="F20" s="117">
        <f>SUM(D20:E20)</f>
        <v>34053.613103999996</v>
      </c>
      <c r="H20" s="189">
        <v>1</v>
      </c>
      <c r="I20" s="199"/>
      <c r="J20" s="181" t="s">
        <v>83</v>
      </c>
      <c r="K20" s="155">
        <f t="shared" si="0"/>
        <v>0</v>
      </c>
      <c r="V20" s="28" t="s">
        <v>29</v>
      </c>
      <c r="W20" s="32">
        <f>W19*19%</f>
        <v>89858.6</v>
      </c>
      <c r="X20" s="103"/>
      <c r="Y20" s="174">
        <f>Y19*0.19</f>
        <v>92138.6</v>
      </c>
      <c r="Z20" s="98"/>
      <c r="AA20" s="98"/>
      <c r="AB20" s="14"/>
      <c r="AC20" s="14"/>
      <c r="AE20" s="3"/>
    </row>
    <row r="21" spans="1:31" ht="15" thickBot="1" x14ac:dyDescent="0.35">
      <c r="A21" s="77">
        <f>450000*1.2</f>
        <v>540000</v>
      </c>
      <c r="B21" s="116"/>
      <c r="C21" s="115" t="s">
        <v>6</v>
      </c>
      <c r="D21" s="114">
        <f>SUM(D18:D20)</f>
        <v>186594.4816</v>
      </c>
      <c r="E21" s="113">
        <f>SUM(E18:E20)</f>
        <v>35452.951503999997</v>
      </c>
      <c r="F21" s="112">
        <f>SUM(F18:F20)</f>
        <v>222047.433104</v>
      </c>
      <c r="H21" s="189">
        <v>1</v>
      </c>
      <c r="I21" s="199"/>
      <c r="J21" s="181" t="s">
        <v>82</v>
      </c>
      <c r="K21" s="155">
        <f t="shared" si="0"/>
        <v>0</v>
      </c>
      <c r="M21" s="150">
        <f>B32/9</f>
        <v>2318.840579710145</v>
      </c>
      <c r="Q21" s="47" t="s">
        <v>39</v>
      </c>
      <c r="R21" s="47"/>
      <c r="S21" s="47"/>
      <c r="V21" s="29" t="s">
        <v>6</v>
      </c>
      <c r="W21" s="32">
        <f>W19+W20</f>
        <v>562798.6</v>
      </c>
      <c r="X21" s="103"/>
      <c r="Y21" s="174">
        <f>SUM(Y19:Y20)</f>
        <v>577078.6</v>
      </c>
      <c r="Z21" s="98"/>
      <c r="AA21" s="98"/>
      <c r="AB21" s="36"/>
      <c r="AC21" s="4"/>
      <c r="AE21" s="4"/>
    </row>
    <row r="22" spans="1:31" ht="15" thickBot="1" x14ac:dyDescent="0.35">
      <c r="A22" s="77">
        <f>450000*1.2</f>
        <v>540000</v>
      </c>
      <c r="B22" s="111" t="s">
        <v>80</v>
      </c>
      <c r="C22" s="110" t="s">
        <v>79</v>
      </c>
      <c r="D22" s="109" t="s">
        <v>78</v>
      </c>
      <c r="E22" s="108" t="s">
        <v>77</v>
      </c>
      <c r="F22" s="107" t="s">
        <v>6</v>
      </c>
      <c r="H22" s="189">
        <v>1</v>
      </c>
      <c r="I22" s="199"/>
      <c r="J22" s="145" t="s">
        <v>81</v>
      </c>
      <c r="K22" s="155">
        <f t="shared" si="0"/>
        <v>0</v>
      </c>
      <c r="M22" s="102"/>
      <c r="N22" s="55"/>
      <c r="Q22" s="47" t="s">
        <v>34</v>
      </c>
      <c r="R22" s="47"/>
      <c r="S22" s="47"/>
      <c r="T22" s="47"/>
      <c r="X22" s="93"/>
      <c r="Y22" s="14"/>
      <c r="Z22" s="98"/>
      <c r="AA22" s="98"/>
      <c r="AB22" s="36"/>
      <c r="AC22" s="4"/>
      <c r="AD22" s="14"/>
      <c r="AE22" s="4"/>
    </row>
    <row r="23" spans="1:31" ht="15" thickBot="1" x14ac:dyDescent="0.35">
      <c r="A23" s="77">
        <f>800000*1.2</f>
        <v>960000</v>
      </c>
      <c r="B23" s="100">
        <f>A21/23</f>
        <v>23478.260869565216</v>
      </c>
      <c r="C23" s="79" t="s">
        <v>25</v>
      </c>
      <c r="D23" s="106">
        <f t="shared" ref="D23:D29" si="3">B23/9</f>
        <v>2608.695652173913</v>
      </c>
      <c r="E23" s="105">
        <v>0.5</v>
      </c>
      <c r="F23" s="104">
        <f t="shared" ref="F23:F32" si="4">D23*E23</f>
        <v>1304.3478260869565</v>
      </c>
      <c r="H23" s="191">
        <v>1</v>
      </c>
      <c r="I23" s="200"/>
      <c r="J23" s="182" t="s">
        <v>76</v>
      </c>
      <c r="K23" s="155">
        <f t="shared" si="0"/>
        <v>0</v>
      </c>
      <c r="M23" s="102"/>
      <c r="N23" s="55"/>
      <c r="Q23" s="47" t="s">
        <v>27</v>
      </c>
      <c r="R23" s="47"/>
      <c r="X23" s="101"/>
      <c r="Y23" s="24"/>
      <c r="Z23" s="98"/>
      <c r="AA23" s="98"/>
      <c r="AB23" s="14"/>
      <c r="AC23" s="11"/>
      <c r="AD23" s="40"/>
    </row>
    <row r="24" spans="1:31" ht="15" thickBot="1" x14ac:dyDescent="0.35">
      <c r="A24" s="77">
        <v>450000</v>
      </c>
      <c r="B24" s="100">
        <f>A22/23</f>
        <v>23478.260869565216</v>
      </c>
      <c r="C24" s="76" t="s">
        <v>74</v>
      </c>
      <c r="D24" s="97">
        <f t="shared" si="3"/>
        <v>2608.695652173913</v>
      </c>
      <c r="E24" s="96">
        <v>0.5</v>
      </c>
      <c r="F24" s="95">
        <f t="shared" si="4"/>
        <v>1304.3478260869565</v>
      </c>
      <c r="H24" s="148" t="s">
        <v>117</v>
      </c>
      <c r="I24" s="152" t="s">
        <v>115</v>
      </c>
      <c r="J24" s="178" t="s">
        <v>75</v>
      </c>
      <c r="K24" s="149" t="s">
        <v>94</v>
      </c>
      <c r="L24" s="99">
        <f>SUM(K25:K35)</f>
        <v>0</v>
      </c>
      <c r="X24" s="98"/>
      <c r="Y24" s="98"/>
      <c r="Z24" s="98"/>
      <c r="AA24" s="98"/>
      <c r="AB24" s="14"/>
      <c r="AD24" s="40"/>
    </row>
    <row r="25" spans="1:31" x14ac:dyDescent="0.3">
      <c r="A25" s="77">
        <v>450000</v>
      </c>
      <c r="B25" s="100">
        <f>A23/23</f>
        <v>41739.130434782608</v>
      </c>
      <c r="C25" s="76" t="s">
        <v>73</v>
      </c>
      <c r="D25" s="97">
        <f t="shared" si="3"/>
        <v>4637.68115942029</v>
      </c>
      <c r="E25" s="96"/>
      <c r="F25" s="95">
        <f t="shared" si="4"/>
        <v>0</v>
      </c>
      <c r="H25" s="206">
        <v>0</v>
      </c>
      <c r="I25" s="201">
        <f>((480000/23)/9)</f>
        <v>2318.840579710145</v>
      </c>
      <c r="J25" s="184" t="s">
        <v>108</v>
      </c>
      <c r="K25" s="146">
        <f t="shared" ref="K25:K35" si="5">H25*I25</f>
        <v>0</v>
      </c>
      <c r="X25" s="98"/>
      <c r="Z25" s="98"/>
      <c r="AA25" s="98"/>
      <c r="AB25" s="36"/>
      <c r="AD25" s="40"/>
    </row>
    <row r="26" spans="1:31" x14ac:dyDescent="0.3">
      <c r="A26" s="77"/>
      <c r="B26" s="100">
        <f>A24/23</f>
        <v>19565.217391304348</v>
      </c>
      <c r="C26" s="76" t="s">
        <v>71</v>
      </c>
      <c r="D26" s="97">
        <f t="shared" si="3"/>
        <v>2173.913043478261</v>
      </c>
      <c r="E26" s="96">
        <v>0.5</v>
      </c>
      <c r="F26" s="95">
        <f t="shared" si="4"/>
        <v>1086.9565217391305</v>
      </c>
      <c r="H26" s="189">
        <v>0</v>
      </c>
      <c r="I26" s="171"/>
      <c r="J26" s="181" t="s">
        <v>72</v>
      </c>
      <c r="K26" s="94">
        <f t="shared" si="5"/>
        <v>0</v>
      </c>
      <c r="L26" s="58"/>
      <c r="X26" s="93"/>
      <c r="Z26" s="98"/>
      <c r="AA26" s="98"/>
      <c r="AB26" s="14"/>
      <c r="AD26" s="41"/>
    </row>
    <row r="27" spans="1:31" x14ac:dyDescent="0.3">
      <c r="A27" s="77">
        <v>350000</v>
      </c>
      <c r="B27" s="100">
        <f>A25/23</f>
        <v>19565.217391304348</v>
      </c>
      <c r="C27" s="76" t="s">
        <v>70</v>
      </c>
      <c r="D27" s="97">
        <f t="shared" si="3"/>
        <v>2173.913043478261</v>
      </c>
      <c r="E27" s="96">
        <v>0.5</v>
      </c>
      <c r="F27" s="95">
        <f t="shared" si="4"/>
        <v>1086.9565217391305</v>
      </c>
      <c r="H27" s="189">
        <v>0</v>
      </c>
      <c r="I27" s="171"/>
      <c r="J27" s="181" t="s">
        <v>69</v>
      </c>
      <c r="K27" s="94">
        <f t="shared" si="5"/>
        <v>0</v>
      </c>
      <c r="L27" s="58"/>
      <c r="X27" s="93"/>
      <c r="Z27" s="98"/>
      <c r="AA27" s="98"/>
      <c r="AB27" s="42"/>
    </row>
    <row r="28" spans="1:31" x14ac:dyDescent="0.3">
      <c r="A28" s="77">
        <v>500000</v>
      </c>
      <c r="B28" s="100">
        <f>A27/23</f>
        <v>15217.391304347826</v>
      </c>
      <c r="C28" s="76" t="s">
        <v>68</v>
      </c>
      <c r="D28" s="97">
        <f t="shared" si="3"/>
        <v>1690.8212560386473</v>
      </c>
      <c r="E28" s="96">
        <v>0.7</v>
      </c>
      <c r="F28" s="95">
        <f t="shared" si="4"/>
        <v>1183.5748792270531</v>
      </c>
      <c r="H28" s="189">
        <v>0</v>
      </c>
      <c r="I28" s="171"/>
      <c r="J28" s="181" t="s">
        <v>106</v>
      </c>
      <c r="K28" s="94">
        <f t="shared" si="5"/>
        <v>0</v>
      </c>
      <c r="L28" s="58"/>
      <c r="X28" s="93"/>
      <c r="Y28" s="13"/>
      <c r="Z28" s="14"/>
      <c r="AA28" s="17"/>
      <c r="AB28" s="92"/>
    </row>
    <row r="29" spans="1:31" x14ac:dyDescent="0.3">
      <c r="A29" s="77"/>
      <c r="B29" s="100">
        <f>A28/23</f>
        <v>21739.130434782608</v>
      </c>
      <c r="C29" s="76" t="s">
        <v>67</v>
      </c>
      <c r="D29" s="97">
        <f t="shared" si="3"/>
        <v>2415.4589371980674</v>
      </c>
      <c r="E29" s="96">
        <v>0.7</v>
      </c>
      <c r="F29" s="95">
        <f t="shared" si="4"/>
        <v>1690.8212560386471</v>
      </c>
      <c r="H29" s="188">
        <v>0</v>
      </c>
      <c r="I29" s="171">
        <f>((550000*1.2)/23)/9</f>
        <v>3188.4057971014495</v>
      </c>
      <c r="J29" s="147" t="s">
        <v>118</v>
      </c>
      <c r="K29" s="94">
        <f t="shared" si="5"/>
        <v>0</v>
      </c>
      <c r="L29" s="58"/>
    </row>
    <row r="30" spans="1:31" x14ac:dyDescent="0.3">
      <c r="A30" s="77">
        <v>450000</v>
      </c>
      <c r="B30" s="91"/>
      <c r="C30" s="76" t="s">
        <v>22</v>
      </c>
      <c r="D30" s="97">
        <v>2415</v>
      </c>
      <c r="E30" s="96"/>
      <c r="F30" s="95">
        <f t="shared" si="4"/>
        <v>0</v>
      </c>
      <c r="H30" s="188">
        <v>0</v>
      </c>
      <c r="I30" s="171">
        <f>((450000*1.2)/23)/9</f>
        <v>2608.695652173913</v>
      </c>
      <c r="J30" s="147" t="s">
        <v>119</v>
      </c>
      <c r="K30" s="94">
        <f t="shared" si="5"/>
        <v>0</v>
      </c>
      <c r="L30" s="58"/>
    </row>
    <row r="31" spans="1:31" x14ac:dyDescent="0.3">
      <c r="A31" s="77">
        <v>350000</v>
      </c>
      <c r="B31" s="91">
        <f>A30/23</f>
        <v>19565.217391304348</v>
      </c>
      <c r="C31" s="76" t="s">
        <v>65</v>
      </c>
      <c r="D31" s="97">
        <f>B31/9</f>
        <v>2173.913043478261</v>
      </c>
      <c r="E31" s="96">
        <v>0</v>
      </c>
      <c r="F31" s="95">
        <f t="shared" si="4"/>
        <v>0</v>
      </c>
      <c r="H31" s="188">
        <v>0</v>
      </c>
      <c r="I31" s="171">
        <f>((450000*1.2)/23)/9</f>
        <v>2608.695652173913</v>
      </c>
      <c r="J31" s="147" t="s">
        <v>120</v>
      </c>
      <c r="K31" s="94">
        <f t="shared" si="5"/>
        <v>0</v>
      </c>
    </row>
    <row r="32" spans="1:31" ht="15" thickBot="1" x14ac:dyDescent="0.35">
      <c r="A32" s="77">
        <f>A21+A24+A27+A28+A30</f>
        <v>2290000</v>
      </c>
      <c r="B32" s="91">
        <f>480000/23</f>
        <v>20869.565217391304</v>
      </c>
      <c r="C32" s="90" t="s">
        <v>64</v>
      </c>
      <c r="D32" s="89">
        <f>B32/9</f>
        <v>2318.840579710145</v>
      </c>
      <c r="E32" s="88">
        <v>0.5</v>
      </c>
      <c r="F32" s="87">
        <f t="shared" si="4"/>
        <v>1159.4202898550725</v>
      </c>
      <c r="H32" s="190">
        <v>0</v>
      </c>
      <c r="I32" s="202"/>
      <c r="J32" s="185" t="s">
        <v>41</v>
      </c>
      <c r="K32" s="94">
        <f t="shared" si="5"/>
        <v>0</v>
      </c>
    </row>
    <row r="33" spans="2:16" ht="15" thickBot="1" x14ac:dyDescent="0.35">
      <c r="B33" s="77"/>
      <c r="C33" s="85" t="s">
        <v>6</v>
      </c>
      <c r="D33" s="84">
        <f>SUM(D23:D32)</f>
        <v>25216.932367149755</v>
      </c>
      <c r="E33" s="83">
        <f>SUM(E23:E32)</f>
        <v>3.9000000000000004</v>
      </c>
      <c r="F33" s="82">
        <f>SUM(F23:F32)</f>
        <v>8816.4251207729467</v>
      </c>
      <c r="H33" s="192">
        <v>0</v>
      </c>
      <c r="I33" s="171"/>
      <c r="J33" s="183" t="s">
        <v>40</v>
      </c>
      <c r="K33" s="94">
        <f t="shared" si="5"/>
        <v>0</v>
      </c>
    </row>
    <row r="34" spans="2:16" ht="15" thickBot="1" x14ac:dyDescent="0.35">
      <c r="B34" s="80" t="s">
        <v>63</v>
      </c>
      <c r="C34" s="79" t="s">
        <v>62</v>
      </c>
      <c r="D34" s="78">
        <f>L9</f>
        <v>2550</v>
      </c>
      <c r="H34" s="189">
        <v>1</v>
      </c>
      <c r="I34" s="171"/>
      <c r="J34" s="145" t="s">
        <v>107</v>
      </c>
      <c r="K34" s="94">
        <f t="shared" si="5"/>
        <v>0</v>
      </c>
      <c r="N34" s="62"/>
      <c r="P34" s="58"/>
    </row>
    <row r="35" spans="2:16" ht="15" thickBot="1" x14ac:dyDescent="0.35">
      <c r="B35" s="72"/>
      <c r="C35" s="76" t="s">
        <v>61</v>
      </c>
      <c r="D35" s="75">
        <f>L24</f>
        <v>0</v>
      </c>
      <c r="H35" s="191">
        <v>6</v>
      </c>
      <c r="I35" s="203"/>
      <c r="J35" s="177" t="s">
        <v>109</v>
      </c>
      <c r="K35" s="207">
        <f t="shared" si="5"/>
        <v>0</v>
      </c>
      <c r="N35" s="62"/>
    </row>
    <row r="36" spans="2:16" ht="15" thickBot="1" x14ac:dyDescent="0.35">
      <c r="B36" s="72"/>
      <c r="C36" s="76" t="s">
        <v>59</v>
      </c>
      <c r="D36" s="75">
        <f>L36</f>
        <v>18467.665666666668</v>
      </c>
      <c r="E36" s="55"/>
      <c r="H36" s="148" t="s">
        <v>96</v>
      </c>
      <c r="I36" s="152" t="s">
        <v>115</v>
      </c>
      <c r="J36" s="186" t="s">
        <v>66</v>
      </c>
      <c r="K36" s="149" t="s">
        <v>94</v>
      </c>
      <c r="L36" s="205">
        <f>SUM(K37:K39)</f>
        <v>18467.665666666668</v>
      </c>
      <c r="N36" s="62"/>
    </row>
    <row r="37" spans="2:16" ht="15" thickBot="1" x14ac:dyDescent="0.35">
      <c r="B37" s="72"/>
      <c r="C37" s="71" t="s">
        <v>42</v>
      </c>
      <c r="D37" s="70"/>
      <c r="H37" s="196">
        <f>$E$33</f>
        <v>3.9000000000000004</v>
      </c>
      <c r="I37" s="201">
        <f>32609.69/9</f>
        <v>3623.2988888888885</v>
      </c>
      <c r="J37" s="184" t="s">
        <v>45</v>
      </c>
      <c r="K37" s="146">
        <f>I37*H37</f>
        <v>14130.865666666667</v>
      </c>
      <c r="N37" s="62"/>
      <c r="O37" s="62"/>
      <c r="P37" s="58"/>
    </row>
    <row r="38" spans="2:16" ht="15" thickBot="1" x14ac:dyDescent="0.35">
      <c r="C38" s="68" t="s">
        <v>6</v>
      </c>
      <c r="D38" s="67">
        <f>SUM(D34:D37)</f>
        <v>21017.665666666668</v>
      </c>
      <c r="H38" s="193">
        <f>$E$33</f>
        <v>3.9000000000000004</v>
      </c>
      <c r="I38" s="171">
        <v>967</v>
      </c>
      <c r="J38" s="181" t="s">
        <v>43</v>
      </c>
      <c r="K38" s="86">
        <f>I38*H38</f>
        <v>3771.3</v>
      </c>
    </row>
    <row r="39" spans="2:16" ht="15" thickBot="1" x14ac:dyDescent="0.35">
      <c r="H39" s="197">
        <f>$E$33</f>
        <v>3.9000000000000004</v>
      </c>
      <c r="I39" s="203">
        <v>145</v>
      </c>
      <c r="J39" s="182" t="s">
        <v>44</v>
      </c>
      <c r="K39" s="81">
        <f>I39*H39</f>
        <v>565.5</v>
      </c>
    </row>
    <row r="40" spans="2:16" ht="15" thickBot="1" x14ac:dyDescent="0.35">
      <c r="B40" s="65" t="s">
        <v>52</v>
      </c>
      <c r="C40" s="64" t="s">
        <v>51</v>
      </c>
      <c r="D40" s="63">
        <f>E11-E21</f>
        <v>63508.246654400005</v>
      </c>
    </row>
    <row r="41" spans="2:16" ht="15" thickBot="1" x14ac:dyDescent="0.35">
      <c r="H41" s="331" t="s">
        <v>60</v>
      </c>
      <c r="I41" s="332"/>
      <c r="J41" s="332"/>
      <c r="K41" s="332"/>
      <c r="L41" s="332"/>
      <c r="M41" s="333"/>
    </row>
    <row r="42" spans="2:16" ht="15" thickBot="1" x14ac:dyDescent="0.35">
      <c r="B42" s="72" t="s">
        <v>46</v>
      </c>
      <c r="C42" s="72"/>
      <c r="D42" s="204">
        <f>E33</f>
        <v>3.9000000000000004</v>
      </c>
      <c r="H42" s="74" t="s">
        <v>58</v>
      </c>
      <c r="I42" s="156" t="s">
        <v>57</v>
      </c>
      <c r="J42" s="157"/>
      <c r="K42" s="157"/>
      <c r="L42" s="158"/>
      <c r="M42" s="73">
        <f>D11</f>
        <v>520848.41136000003</v>
      </c>
    </row>
    <row r="43" spans="2:16" ht="15" thickBot="1" x14ac:dyDescent="0.35">
      <c r="D43" s="54"/>
      <c r="H43" s="69" t="s">
        <v>56</v>
      </c>
      <c r="I43" s="159" t="s">
        <v>55</v>
      </c>
      <c r="J43" s="160"/>
      <c r="K43" s="160"/>
      <c r="L43" s="161"/>
      <c r="M43" s="61">
        <f>D21</f>
        <v>186594.4816</v>
      </c>
    </row>
    <row r="44" spans="2:16" x14ac:dyDescent="0.3">
      <c r="D44" s="54"/>
      <c r="I44" s="162" t="s">
        <v>54</v>
      </c>
      <c r="J44" s="163"/>
      <c r="K44" s="163"/>
      <c r="L44" s="164"/>
      <c r="M44" s="66">
        <f>F33</f>
        <v>8816.4251207729467</v>
      </c>
    </row>
    <row r="45" spans="2:16" ht="15" thickBot="1" x14ac:dyDescent="0.35">
      <c r="D45" s="57"/>
      <c r="I45" s="165" t="s">
        <v>53</v>
      </c>
      <c r="J45" s="166"/>
      <c r="K45" s="166"/>
      <c r="L45" s="167"/>
      <c r="M45" s="60">
        <f>D38</f>
        <v>21017.665666666668</v>
      </c>
    </row>
    <row r="46" spans="2:16" ht="15" thickBot="1" x14ac:dyDescent="0.35">
      <c r="D46" s="57"/>
      <c r="I46" s="168" t="s">
        <v>50</v>
      </c>
      <c r="J46" s="169"/>
      <c r="K46" s="169"/>
      <c r="L46" s="170"/>
      <c r="M46" s="59">
        <f>M42-(SUM(M43:M45))</f>
        <v>304419.83897256042</v>
      </c>
    </row>
    <row r="47" spans="2:16" x14ac:dyDescent="0.3">
      <c r="I47" s="159" t="s">
        <v>49</v>
      </c>
      <c r="J47" s="160"/>
      <c r="K47" s="160"/>
      <c r="L47" s="161"/>
      <c r="M47" s="61"/>
    </row>
    <row r="48" spans="2:16" ht="15" thickBot="1" x14ac:dyDescent="0.35">
      <c r="D48" s="57"/>
      <c r="I48" s="165" t="s">
        <v>48</v>
      </c>
      <c r="J48" s="166"/>
      <c r="K48" s="166"/>
      <c r="L48" s="167"/>
      <c r="M48" s="60"/>
    </row>
    <row r="49" spans="3:13" ht="15" thickBot="1" x14ac:dyDescent="0.35">
      <c r="C49" s="56"/>
      <c r="D49" s="55"/>
      <c r="I49" s="168" t="s">
        <v>47</v>
      </c>
      <c r="J49" s="169"/>
      <c r="K49" s="169"/>
      <c r="L49" s="170"/>
      <c r="M49" s="59">
        <f>M46-SUM(M47:M48)</f>
        <v>304419.83897256042</v>
      </c>
    </row>
    <row r="52" spans="3:13" x14ac:dyDescent="0.3">
      <c r="D52" s="54"/>
    </row>
    <row r="54" spans="3:13" x14ac:dyDescent="0.3">
      <c r="D54" s="54"/>
    </row>
    <row r="56" spans="3:13" x14ac:dyDescent="0.3">
      <c r="D56" s="54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2025-07-14T21:56:21Z</cp:lastPrinted>
  <dcterms:created xsi:type="dcterms:W3CDTF">2013-03-18T13:35:42Z</dcterms:created>
  <dcterms:modified xsi:type="dcterms:W3CDTF">2025-07-14T21:57:58Z</dcterms:modified>
</cp:coreProperties>
</file>