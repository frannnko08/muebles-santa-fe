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F687ED04-6EC2-4D2C-AAFA-8EF4761053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L21" i="1" l="1"/>
  <c r="M21" i="1"/>
  <c r="N21" i="1"/>
  <c r="M24" i="1" l="1"/>
  <c r="O21" i="1"/>
  <c r="P21" i="1" s="1"/>
  <c r="S21" i="1"/>
  <c r="T24" i="1"/>
  <c r="K39" i="1"/>
  <c r="P25" i="1" l="1"/>
  <c r="S26" i="1"/>
  <c r="S27" i="1" s="1"/>
  <c r="S28" i="1" s="1"/>
  <c r="S29" i="1" s="1"/>
  <c r="V32" i="1"/>
  <c r="V33" i="1" s="1"/>
  <c r="O31" i="1" l="1"/>
  <c r="P26" i="1" l="1"/>
  <c r="N20" i="1"/>
  <c r="L20" i="1"/>
  <c r="P27" i="1" l="1"/>
  <c r="P28" i="1" s="1"/>
  <c r="O32" i="1"/>
  <c r="D18" i="3" s="1"/>
  <c r="R36" i="1"/>
  <c r="M30" i="1" l="1"/>
  <c r="R37" i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F15" i="3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<sst xmlns="http://schemas.openxmlformats.org/spreadsheetml/2006/main" count="230" uniqueCount="175">
  <si>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</si>
  <si>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</si>
  <si>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</si>
  <si>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</si>
  <si>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</si>
  <si>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</si>
  <si>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</si>
  <si>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</si>
  <si>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</si>
  <si>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</si>
  <si>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</si>
  <si>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</si>
  <si>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</si>
  <si>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</si>
  <si>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</si>
  <si>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</si>
  <si>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</si>
  <si>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</si>
  <si>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</si>
  <si>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</si>
  <si>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</si>
  <si>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</si>
  <si>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</si>
  <si>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</si>
  <si>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</si>
  <si>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</si>
  <si>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</si>
  <si>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</si>
  <si>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</si>
  <si>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</si>
  <si>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</si>
  <si>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</si>
  <si>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</si>
  <si>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</si>
  <si>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</si>
  <si>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</si>
  <si>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</si>
  <si>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</si>
  <si>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</si>
  <si>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</si>
  <si>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</si>
  <si>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</si>
  <si>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</si>
  <si>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</si>
  <si>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</si>
  <si>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</si>
  <si>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</si>
  <si>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</si>
  <si>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</si>
  <si>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</si>
  <si>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</si>
  <si>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</si>
  <si>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</si>
  <si>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</si>
  <si>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</si>
  <si>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</si>
  <si>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</si>
  <si>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</si>
  <si>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</si>
  <si>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</si>
  <si>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</si>
  <si>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</si>
  <si>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</si>
  <si>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</si>
  <si>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</si>
  <si>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</si>
  <si>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</si>
  <si>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</si>
  <si>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</si>
  <si>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</si>
  <si>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</si>
  <si>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</si>
  <si>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</si>
  <si>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</si>
  <si>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</si>
  <si>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</si>
  <si>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</si>
  <si>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</si>
  <si>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</si>
  <si>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</si>
  <si>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</si>
  <si>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</si>
  <si>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</si>
  <si>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</si>
  <si>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</si>
  <si>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</si>
  <si>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</si>
  <si>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</si>
  <si>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</si>
  <si>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</si>
  <si>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</si>
  <si>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</si>
  <si>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</si>
  <si>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</si>
  <si>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</si>
  <si>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</si>
  <si>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</si>
  <si>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</si>
  <si>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</si>
  <si>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</si>
  <si>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</si>
  <si>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</si>
  <si>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</si>
  <si>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</si>
  <si>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</si>
  <si>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</si>
  <si>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</si>
  <si>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</si>
  <si>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</si>
  <si>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</si>
  <si>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</si>
  <si>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</si>
  <si>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</si>
  <si>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</si>
  <si>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</si>
  <si>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</si>
  <si>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</si>
  <si>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</si>
  <si>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</si>
  <si>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</si>
  <si>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</si>
  <si>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</si>
  <si>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</si>
  <si>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</si>
  <si>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</si>
  <si>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</si>
  <si>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</si>
  <si>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</si>
  <si>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</si>
  <si>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</si>
  <si>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</si>
  <si>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</si>
  <si>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</si>
  <si>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</si>
  <si>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</si>
  <si>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</si>
  <si>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</si>
  <si>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</si>
  <si>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</si>
  <si>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</si>
  <si>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</si>
  <si>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</si>
  <si>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</si>
  <si>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</si>
  <si>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</si>
  <si>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</si>
  <si>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</si>
  <si>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</si>
  <si>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</si>
  <si>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</si>
  <si>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</si>
  <si>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</si>
  <si>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</si>
  <si>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</si>
  <si>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</si>
  <si>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</si>
  <si>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</si>
  <si>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</si>
  <si>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</si>
  <si>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</si>
  <si>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</si>
  <si>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</si>
  <si>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</si>
  <si>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</si>
  <si>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</si>
  <si>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</si>
  <si>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</si>
  <si>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</si>
  <si>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5 DIAS HABILES</t>
  </si>
  <si>
    <t>SI</t>
  </si>
  <si>
    <t>N° 11514</t>
  </si>
  <si>
    <t>ALEX URIBE</t>
  </si>
  <si>
    <t>+56 9 6218 0670</t>
  </si>
  <si>
    <t>CUB SIN RESPALDO CORTE ESPECIAL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</si>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</sst>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27</xdr:row>
      <xdr:rowOff>9525</xdr:rowOff>
    </xdr:from>
    <xdr:to>
      <xdr:col>5</xdr:col>
      <xdr:colOff>1769808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23</xdr:row>
      <xdr:rowOff>9525</xdr:rowOff>
    </xdr:from>
    <xdr:to>
      <xdr:col>5</xdr:col>
      <xdr:colOff>1753421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cubiertas se entregan </a:t>
          </a:r>
          <a:r>
            <a:rPr lang="es-CL" sz="1200" b="1">
              <a:latin typeface="+mn-lt"/>
            </a:rPr>
            <a:t>sobremedidas en el largo</a:t>
          </a:r>
          <a:r>
            <a:rPr lang="es-CL" sz="1200">
              <a:latin typeface="+mn-lt"/>
            </a:rPr>
            <a:t>, lo que permite al instalador realizar ajustes precisos en terreno. Esto asegura una mejor adaptación a muros que puedan estar descuadrados.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B8" zoomScale="93" zoomScaleNormal="93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37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45847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169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138071.52041144326</v>
      </c>
      <c r="R20" s="258">
        <v>2000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173</v>
      </c>
      <c r="D21" s="333">
        <v>1.1399999999999999</v>
      </c>
      <c r="E21" s="333">
        <v>0.51</v>
      </c>
      <c r="F21" s="330" t="s">
        <v>174</v>
      </c>
      <c r="G21" s="331">
        <v>87908</v>
      </c>
      <c r="H21" s="331">
        <f>G21*B21</f>
        <v>87908</v>
      </c>
      <c r="I21" s="320"/>
      <c r="J21" s="265"/>
      <c r="K21" s="47"/>
      <c r="L21" s="332">
        <f t="shared" ref="L21" si="1">B21</f>
        <v>1</v>
      </c>
      <c r="M21" s="39">
        <f t="shared" ref="M21" si="2">D21+M$19</f>
        <v>1.22</v>
      </c>
      <c r="N21" s="39">
        <f t="shared" ref="N21" si="3">E21+$N$19</f>
        <v>0.51</v>
      </c>
      <c r="O21" s="261">
        <f t="shared" ref="O21" si="4">M21*N21</f>
        <v>0.62219999999999998</v>
      </c>
      <c r="P21" s="259">
        <f t="shared" ref="P21" si="5">O21*L21</f>
        <v>0.62219999999999998</v>
      </c>
      <c r="Q21" s="252">
        <f t="shared" ref="Q21" si="6">Q$20*O21</f>
        <v>85908.099999999991</v>
      </c>
      <c r="R21" s="319">
        <f t="shared" ref="R21" si="7">Q21+R$20</f>
        <v>87908.099999999991</v>
      </c>
      <c r="S21" s="297">
        <f t="shared" ref="S21" si="8">M21*L21</f>
        <v>1.22</v>
      </c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2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87908</v>
      </c>
      <c r="I24" s="322"/>
      <c r="J24" s="265"/>
      <c r="K24" s="47"/>
      <c r="L24" s="47"/>
      <c r="M24" s="39">
        <f>SUM(M21:M21)</f>
        <v>1.22</v>
      </c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16702.52</v>
      </c>
      <c r="I25" s="322"/>
      <c r="J25" s="265"/>
      <c r="K25" s="47"/>
      <c r="L25" s="47"/>
      <c r="N25" s="12"/>
      <c r="O25" s="12"/>
      <c r="P25" s="253">
        <f>SUM(P21:P23)</f>
        <v>0.62219999999999998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104610.52</v>
      </c>
      <c r="I26" s="322"/>
      <c r="J26" s="265"/>
      <c r="K26" s="47"/>
      <c r="L26" s="47"/>
      <c r="M26" s="39"/>
      <c r="N26" s="12"/>
      <c r="O26" s="12"/>
      <c r="P26" s="253">
        <f>P25</f>
        <v>0.62219999999999998</v>
      </c>
      <c r="Q26" s="14"/>
      <c r="R26" s="12"/>
      <c r="S26" s="239">
        <f>SUM(S21:S25)</f>
        <v>1.22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0.12444</v>
      </c>
      <c r="Q27" s="39" t="s">
        <v>130</v>
      </c>
      <c r="R27" s="42"/>
      <c r="S27" s="240">
        <f>S26+T24</f>
        <v>1.22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0.74663999999999997</v>
      </c>
      <c r="Q28" s="14"/>
      <c r="R28" s="14"/>
      <c r="S28" s="238">
        <f>S27*20%</f>
        <v>0.24399999999999999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1.464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0.74663999999999997</v>
      </c>
      <c r="N30" s="12">
        <v>3500</v>
      </c>
      <c r="O30" s="12">
        <f t="shared" ref="O30:O35" si="9">M30*N30</f>
        <v>2613.2399999999998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0.35</v>
      </c>
      <c r="N31" s="12">
        <v>25000</v>
      </c>
      <c r="O31" s="12">
        <f t="shared" si="9"/>
        <v>8750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65000</v>
      </c>
      <c r="O32" s="12">
        <f t="shared" si="9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23000</v>
      </c>
      <c r="O33" s="12">
        <f t="shared" si="9"/>
        <v>23000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9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9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34363.24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O36*2.5</f>
        <v>85908.099999999991</v>
      </c>
      <c r="P37" s="14" t="s">
        <v>140</v>
      </c>
      <c r="Q37" s="14"/>
      <c r="R37" s="40">
        <f>P28/R36</f>
        <v>0.2013157894736842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77240</v>
      </c>
      <c r="L38" s="250"/>
      <c r="M38" s="14"/>
      <c r="N38" s="12"/>
      <c r="O38" s="12">
        <f>O37/P26</f>
        <v>138071.52041144326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64907.563025210089</v>
      </c>
      <c r="L39" s="250"/>
      <c r="M39" s="13"/>
      <c r="N39" s="14"/>
      <c r="O39" s="17">
        <f>O37/O36</f>
        <v>2.5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45847</v>
      </c>
    </row>
    <row r="6" spans="2:31" ht="16.2" thickBot="1" x14ac:dyDescent="0.35">
      <c r="B6" s="140" t="s">
        <v>2</v>
      </c>
      <c r="C6" s="139" t="str">
        <f>'2229'!C10</f>
        <v>ALEX URIBE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11514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-3322.0673667874412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87908</v>
      </c>
      <c r="E11" s="132">
        <f>D11*0.19</f>
        <v>16702.52</v>
      </c>
      <c r="F11" s="131">
        <f>E11+D11</f>
        <v>104610.52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102667.93263321256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41197.330787439612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84667.932633212564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46710.669212560388</v>
      </c>
      <c r="E13" s="221">
        <f>(D11/D12)-1</f>
        <v>1.1338275640615461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75667.932633212564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36667.932633212557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67975.595799275354</v>
      </c>
      <c r="F15" s="216">
        <f>E15-D12</f>
        <v>26778.265011835741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36667.932633212557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76667.932633212564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8750</v>
      </c>
      <c r="E19" s="123">
        <f>D19*0.19</f>
        <v>1662.5</v>
      </c>
      <c r="F19" s="120">
        <f>SUM(D19:E19)</f>
        <v>10412.5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2613.2399999999998</v>
      </c>
      <c r="E20" s="121">
        <f>D20*0.19</f>
        <v>496.51559999999995</v>
      </c>
      <c r="F20" s="120">
        <f>SUM(D20:E20)</f>
        <v>3109.7555999999995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11363.24</v>
      </c>
      <c r="E21" s="116">
        <f>SUM(E18:E20)</f>
        <v>2159.0155999999997</v>
      </c>
      <c r="F21" s="115">
        <f>SUM(F18:F20)</f>
        <v>13522.2556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14543.504400000002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87908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11363.24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46710.669212560388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46710.669212560388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2025-07-08T18:53:50Z</cp:lastPrinted>
  <dcterms:created xsi:type="dcterms:W3CDTF">2013-03-18T13:35:42Z</dcterms:created>
  <dcterms:modified xsi:type="dcterms:W3CDTF">2025-07-09T21:05:11Z</dcterms:modified>
</cp:coreProperties>
</file>