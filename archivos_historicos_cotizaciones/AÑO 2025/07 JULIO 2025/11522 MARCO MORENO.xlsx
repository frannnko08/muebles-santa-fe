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03DD81BA-4A31-489C-A5E3-D4FAA16F7371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1" l="1"/>
  <c r="M28" i="1"/>
  <c r="H25" i="1"/>
  <c r="H26" i="1"/>
  <c r="L24" i="1"/>
  <c r="M24" i="1"/>
  <c r="O24" i="1" s="1"/>
  <c r="P24" i="1" s="1"/>
  <c r="N24" i="1"/>
  <c r="L22" i="1"/>
  <c r="M22" i="1"/>
  <c r="N22" i="1"/>
  <c r="O22" i="1"/>
  <c r="P22" i="1" s="1"/>
  <c r="S22" i="1"/>
  <c r="L23" i="1"/>
  <c r="M23" i="1"/>
  <c r="N23" i="1"/>
  <c r="O23" i="1"/>
  <c r="P23" i="1" s="1"/>
  <c r="S23" i="1"/>
  <c r="S24" i="1" l="1"/>
  <c r="L21" i="1"/>
  <c r="M21" i="1"/>
  <c r="N21" i="1"/>
  <c r="O21" i="1" l="1"/>
  <c r="P21" i="1" s="1"/>
  <c r="S21" i="1"/>
  <c r="T28" i="1"/>
  <c r="K43" i="1"/>
  <c r="P29" i="1" l="1"/>
  <c r="S30" i="1"/>
  <c r="S31" i="1" s="1"/>
  <c r="S32" i="1" s="1"/>
  <c r="S33" i="1" s="1"/>
  <c r="V36" i="1"/>
  <c r="V37" i="1" s="1"/>
  <c r="O35" i="1" l="1"/>
  <c r="P30" i="1" l="1"/>
  <c r="N20" i="1"/>
  <c r="L20" i="1"/>
  <c r="P31" i="1" l="1"/>
  <c r="P32" i="1" s="1"/>
  <c r="M34" i="1" s="1"/>
  <c r="O36" i="1"/>
  <c r="D18" i="3" s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E18" i="3" l="1"/>
  <c r="E19" i="3"/>
  <c r="F19" i="3" s="1"/>
  <c r="O39" i="1"/>
  <c r="O38" i="1"/>
  <c r="F18" i="3" l="1"/>
  <c r="O34" i="1" l="1"/>
  <c r="O40" i="1" s="1"/>
  <c r="D20" i="3" l="1"/>
  <c r="E20" i="3" s="1"/>
  <c r="E21" i="3" s="1"/>
  <c r="O42" i="1" l="1"/>
  <c r="Q20" i="1" s="1"/>
  <c r="Q24" i="1" s="1"/>
  <c r="D21" i="3"/>
  <c r="M43" i="3" s="1"/>
  <c r="D12" i="3" s="1"/>
  <c r="F20" i="3"/>
  <c r="F21" i="3" s="1"/>
  <c r="R24" i="1" l="1"/>
  <c r="G24" i="1"/>
  <c r="H24" i="1" s="1"/>
  <c r="Q22" i="1"/>
  <c r="Q23" i="1"/>
  <c r="Q21" i="1"/>
  <c r="G21" i="1" s="1"/>
  <c r="O43" i="1"/>
  <c r="E15" i="3"/>
  <c r="R23" i="1" l="1"/>
  <c r="G23" i="1"/>
  <c r="H23" i="1" s="1"/>
  <c r="R22" i="1"/>
  <c r="G22" i="1"/>
  <c r="H22" i="1" s="1"/>
  <c r="H21" i="1"/>
  <c r="R21" i="1"/>
  <c r="F15" i="3"/>
  <c r="H28" i="1" l="1"/>
  <c r="H29" i="1" s="1"/>
  <c r="H30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<sst xmlns="http://schemas.openxmlformats.org/spreadsheetml/2006/main" count="241" uniqueCount="177">
  <si>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</si>
  <si>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</si>
  <si>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</si>
  <si>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</si>
  <si>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</si>
  <si>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</si>
  <si>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</si>
  <si>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</si>
  <si>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</si>
  <si>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</si>
  <si>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</si>
  <si>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</si>
  <si>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</si>
  <si>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</si>
  <si>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</si>
  <si>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</si>
  <si>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</si>
  <si>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</si>
  <si>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</si>
  <si>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</si>
  <si>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</si>
  <si>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</si>
  <si>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</si>
  <si>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</si>
  <si>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</si>
  <si>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</si>
  <si>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</si>
  <si>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</si>
  <si>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</si>
  <si>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</si>
  <si>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</si>
  <si>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</si>
  <si>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</si>
  <si>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</si>
  <si>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</si>
  <si>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</si>
  <si>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</si>
  <si>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</si>
  <si>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</si>
  <si>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</si>
  <si>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</si>
  <si>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</si>
  <si>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</si>
  <si>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</si>
  <si>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</si>
  <si>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</si>
  <si>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</si>
  <si>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</si>
  <si>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</si>
  <si>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</si>
  <si>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</si>
  <si>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</si>
  <si>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</si>
  <si>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</si>
  <si>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</si>
  <si>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</si>
  <si>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</si>
  <si>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</si>
  <si>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</si>
  <si>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</si>
  <si>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</si>
  <si>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</si>
  <si>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</si>
  <si>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</si>
  <si>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</si>
  <si>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</si>
  <si>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</si>
  <si>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</si>
  <si>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</si>
  <si>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</si>
  <si>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</si>
  <si>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</si>
  <si>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</si>
  <si>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</si>
  <si>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</si>
  <si>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</si>
  <si>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</si>
  <si>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</si>
  <si>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</si>
  <si>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</si>
  <si>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</si>
  <si>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</si>
  <si>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</si>
  <si>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</si>
  <si>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</si>
  <si>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</si>
  <si>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</si>
  <si>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</si>
  <si>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</si>
  <si>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</si>
  <si>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</si>
  <si>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</si>
  <si>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</si>
  <si>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</si>
  <si>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</si>
  <si>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</si>
  <si>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</si>
  <si>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</si>
  <si>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</si>
  <si>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</si>
  <si>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</si>
  <si>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</si>
  <si>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</si>
  <si>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</si>
  <si>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</si>
  <si>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</si>
  <si>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</si>
  <si>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</si>
  <si>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</si>
  <si>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</si>
  <si>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</si>
  <si>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</si>
  <si>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</si>
  <si>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</si>
  <si>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</si>
  <si>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</si>
  <si>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</si>
  <si>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</si>
  <si>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</si>
  <si>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</si>
  <si>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</si>
  <si>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</si>
  <si>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</si>
  <si>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</si>
  <si>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</si>
  <si>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</si>
  <si>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</si>
  <si>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</si>
  <si>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</si>
  <si>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</si>
  <si>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</si>
  <si>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</si>
  <si>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</si>
  <si>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</si>
  <si>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</si>
  <si>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</si>
  <si>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</si>
  <si>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</si>
  <si>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</si>
  <si>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</si>
  <si>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</si>
  <si>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</si>
  <si>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</si>
  <si>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</si>
  <si>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</si>
  <si>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</si>
  <si>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</si>
  <si>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</si>
  <si>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</si>
  <si>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</si>
  <si>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</si>
  <si>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</si>
  <si>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</si>
  <si>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</si>
  <si>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</si>
  <si>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</si>
  <si>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</si>
  <si>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</si>
  <si>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</si>
  <si>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</si>
  <si>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</si>
  <si>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</si>
  <si>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</si>
  <si>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</si>
  <si>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</si>
  <si>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</si>
  <si>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</si>
  <si>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 xml:space="preserve">ORDEN DE COMPRA </t>
  </si>
  <si>
    <t>3 DIAS HABILES</t>
  </si>
  <si>
    <t>CUB CON RESPALDO 90° R6</t>
  </si>
  <si>
    <t>N° 11518</t>
  </si>
  <si>
    <t>ASTRAL 3030</t>
  </si>
  <si>
    <t>CENEFA 1V</t>
  </si>
  <si>
    <t>ZOCALO</t>
  </si>
  <si>
    <t>MARCO MORENO</t>
  </si>
  <si>
    <t>+569 7782 4695</t>
  </si>
  <si>
    <t>miguellda25@gmail.com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</si>
</sst>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167" fontId="0" fillId="20" borderId="0" xfId="0" applyNumberFormat="1" applyFill="1"/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5430</xdr:colOff>
      <xdr:row>31</xdr:row>
      <xdr:rowOff>9525</xdr:rowOff>
    </xdr:from>
    <xdr:to>
      <xdr:col>5</xdr:col>
      <xdr:colOff>1769808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5107" y="5925267"/>
          <a:ext cx="6311798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/>
            <a:t>Importante:</a:t>
          </a:r>
          <a:r>
            <a:rPr lang="es-CL" sz="1400"/>
            <a:t> Verifique que toda la información esté correcta antes de aceptar. No nos hacemos responsables por diferencias posteriores si los datos no fueron revisados.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24582</xdr:colOff>
      <xdr:row>27</xdr:row>
      <xdr:rowOff>9525</xdr:rowOff>
    </xdr:from>
    <xdr:to>
      <xdr:col>5</xdr:col>
      <xdr:colOff>1753421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9" y="5032170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200" b="1">
              <a:latin typeface="+mn-lt"/>
            </a:rPr>
            <a:t>Observaciones: </a:t>
          </a:r>
          <a:r>
            <a:rPr lang="es-CL" sz="1200">
              <a:latin typeface="+mn-lt"/>
            </a:rPr>
            <a:t>La cubieta de 1,25</a:t>
          </a:r>
          <a:r>
            <a:rPr lang="es-CL" sz="1200" baseline="0">
              <a:latin typeface="+mn-lt"/>
            </a:rPr>
            <a:t>x0.60 va a cortada a la medida en el lado izquierdo mirandola desde el frente y la cubierta de 0,95x0,50 va cortada a la medida en el lado derecho mirandola desde el frente, las demas van sobre medidas</a:t>
          </a:r>
          <a:r>
            <a:rPr lang="es-CL" sz="1200">
              <a:latin typeface="+mn-lt"/>
            </a:rPr>
            <a:t>.</a:t>
          </a:r>
          <a:r>
            <a:rPr lang="es-CL" sz="1200" baseline="0">
              <a:latin typeface="+mn-lt"/>
            </a:rPr>
            <a:t> Se fabrican con material </a:t>
          </a:r>
          <a:r>
            <a:rPr lang="es-CL" sz="1200" b="1" baseline="0">
              <a:latin typeface="+mn-lt"/>
            </a:rPr>
            <a:t>MDF 18mm.</a:t>
          </a:r>
          <a:endParaRPr lang="es-CL" sz="1200" b="1">
            <a:latin typeface="+mn-lt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iguellda25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12" zoomScale="93" zoomScaleNormal="93" workbookViewId="0">
      <selection activeCell="I37" sqref="I37"/>
    </sheetView>
  </sheetViews>
  <sheetFormatPr baseColWidth="10" defaultRowHeight="14.4" x14ac:dyDescent="0.3"/>
  <cols>
    <col min="1" max="1" width="6" customWidth="1"/>
    <col min="2" max="2" width="10.5546875" customWidth="1"/>
    <col min="3" max="3" width="37.3320312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8" t="s">
        <v>126</v>
      </c>
      <c r="C8" s="329"/>
      <c r="D8" s="330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162</v>
      </c>
      <c r="C10" s="278" t="s">
        <v>174</v>
      </c>
      <c r="D10" s="243"/>
      <c r="E10" s="243"/>
      <c r="F10" s="244" t="s">
        <v>0</v>
      </c>
      <c r="G10" s="276">
        <v>45849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4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F13" t="s">
        <v>167</v>
      </c>
      <c r="G13" s="305"/>
      <c r="H13" s="289"/>
      <c r="Q13" s="19"/>
      <c r="R13" s="25"/>
      <c r="S13" s="19"/>
    </row>
    <row r="14" spans="2:24" x14ac:dyDescent="0.3">
      <c r="B14" s="246" t="s">
        <v>139</v>
      </c>
      <c r="C14" s="312" t="s">
        <v>176</v>
      </c>
      <c r="D14" s="247"/>
      <c r="E14" s="247"/>
      <c r="F14" s="313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175</v>
      </c>
      <c r="D15" s="308"/>
      <c r="F15" t="s">
        <v>134</v>
      </c>
      <c r="G15" s="306" t="s">
        <v>135</v>
      </c>
      <c r="H15" s="289"/>
    </row>
    <row r="16" spans="2:24" ht="16.8" x14ac:dyDescent="0.4">
      <c r="B16" s="314" t="s">
        <v>3</v>
      </c>
      <c r="C16" s="304"/>
      <c r="D16" s="247"/>
      <c r="E16" s="247"/>
      <c r="F16" s="315" t="s">
        <v>129</v>
      </c>
      <c r="G16" s="316" t="s">
        <v>163</v>
      </c>
      <c r="H16" s="248"/>
    </row>
    <row r="17" spans="2:25" ht="15" thickBot="1" x14ac:dyDescent="0.35">
      <c r="B17" s="309" t="s">
        <v>13</v>
      </c>
      <c r="C17" s="310" t="s">
        <v>166</v>
      </c>
      <c r="D17" s="311"/>
      <c r="E17" s="119"/>
      <c r="F17" s="336" t="s">
        <v>165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95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O42</f>
        <v>89277.8691588785</v>
      </c>
      <c r="R20" s="258">
        <v>2000</v>
      </c>
      <c r="S20" s="38"/>
      <c r="T20" s="14" t="s">
        <v>128</v>
      </c>
      <c r="U20" s="9"/>
      <c r="X20" s="4"/>
    </row>
    <row r="21" spans="2:25" ht="17.399999999999999" x14ac:dyDescent="0.3">
      <c r="B21" s="331">
        <v>1</v>
      </c>
      <c r="C21" s="332" t="s">
        <v>169</v>
      </c>
      <c r="D21" s="333">
        <v>1.25</v>
      </c>
      <c r="E21" s="333">
        <v>0.6</v>
      </c>
      <c r="F21" s="332" t="s">
        <v>171</v>
      </c>
      <c r="G21" s="334">
        <f>Q21</f>
        <v>71243.739588785043</v>
      </c>
      <c r="H21" s="335">
        <f>G21*B21</f>
        <v>71243.739588785043</v>
      </c>
      <c r="I21" s="318"/>
      <c r="J21" s="265"/>
      <c r="K21" s="47"/>
      <c r="L21" s="324">
        <f>B21</f>
        <v>1</v>
      </c>
      <c r="M21" s="39">
        <f t="shared" ref="M21" si="1">D21+M$19</f>
        <v>1.33</v>
      </c>
      <c r="N21" s="39">
        <f t="shared" ref="N21" si="2">E21+$N$19</f>
        <v>0.6</v>
      </c>
      <c r="O21" s="261">
        <f t="shared" ref="O21" si="3">M21*N21</f>
        <v>0.79800000000000004</v>
      </c>
      <c r="P21" s="259">
        <f t="shared" ref="P21" si="4">O21*L21</f>
        <v>0.79800000000000004</v>
      </c>
      <c r="Q21" s="252">
        <f t="shared" ref="Q21" si="5">Q$20*O21</f>
        <v>71243.739588785043</v>
      </c>
      <c r="R21" s="317">
        <f t="shared" ref="R21" si="6">Q21+R$20</f>
        <v>73243.739588785043</v>
      </c>
      <c r="S21" s="295">
        <f t="shared" ref="S21" si="7">M21*L21</f>
        <v>1.33</v>
      </c>
      <c r="T21" s="46"/>
      <c r="U21" s="9"/>
      <c r="X21" s="4"/>
    </row>
    <row r="22" spans="2:25" ht="17.399999999999999" x14ac:dyDescent="0.3">
      <c r="B22" s="351">
        <v>1</v>
      </c>
      <c r="C22" s="348" t="s">
        <v>169</v>
      </c>
      <c r="D22" s="349">
        <v>0.95</v>
      </c>
      <c r="E22" s="349">
        <v>0.5</v>
      </c>
      <c r="F22" s="348" t="s">
        <v>171</v>
      </c>
      <c r="G22" s="350">
        <f t="shared" ref="G22:G26" si="8">Q22</f>
        <v>45978.102616822427</v>
      </c>
      <c r="H22" s="352">
        <f t="shared" ref="H22:H26" si="9">G22*B22</f>
        <v>45978.102616822427</v>
      </c>
      <c r="I22" s="318"/>
      <c r="J22" s="265"/>
      <c r="K22" s="47"/>
      <c r="L22" s="324">
        <f t="shared" ref="L22:L23" si="10">B22</f>
        <v>1</v>
      </c>
      <c r="M22" s="39">
        <f t="shared" ref="M22:M24" si="11">D22+M$19</f>
        <v>1.03</v>
      </c>
      <c r="N22" s="39">
        <f t="shared" ref="N22:N24" si="12">E22+$N$19</f>
        <v>0.5</v>
      </c>
      <c r="O22" s="261">
        <f t="shared" ref="O22:O24" si="13">M22*N22</f>
        <v>0.51500000000000001</v>
      </c>
      <c r="P22" s="259">
        <f t="shared" ref="P22:P24" si="14">O22*L22</f>
        <v>0.51500000000000001</v>
      </c>
      <c r="Q22" s="252">
        <f t="shared" ref="Q22:Q24" si="15">Q$20*O22</f>
        <v>45978.102616822427</v>
      </c>
      <c r="R22" s="317">
        <f t="shared" ref="R22:R24" si="16">Q22+R$20</f>
        <v>47978.102616822427</v>
      </c>
      <c r="S22" s="295">
        <f t="shared" ref="S22:S24" si="17">M22*L22</f>
        <v>1.03</v>
      </c>
      <c r="T22" s="46"/>
      <c r="U22" s="9"/>
      <c r="X22" s="4"/>
    </row>
    <row r="23" spans="2:25" ht="17.399999999999999" x14ac:dyDescent="0.3">
      <c r="B23" s="351">
        <v>1</v>
      </c>
      <c r="C23" s="348" t="s">
        <v>169</v>
      </c>
      <c r="D23" s="349">
        <v>1.43</v>
      </c>
      <c r="E23" s="349">
        <v>0.6</v>
      </c>
      <c r="F23" s="348" t="s">
        <v>171</v>
      </c>
      <c r="G23" s="350">
        <f t="shared" si="8"/>
        <v>80885.749457943908</v>
      </c>
      <c r="H23" s="352">
        <f t="shared" si="9"/>
        <v>80885.749457943908</v>
      </c>
      <c r="I23" s="318"/>
      <c r="J23" s="265"/>
      <c r="K23" s="47"/>
      <c r="L23" s="324">
        <f t="shared" si="10"/>
        <v>1</v>
      </c>
      <c r="M23" s="39">
        <f t="shared" si="11"/>
        <v>1.51</v>
      </c>
      <c r="N23" s="39">
        <f t="shared" si="12"/>
        <v>0.6</v>
      </c>
      <c r="O23" s="261">
        <f t="shared" si="13"/>
        <v>0.90599999999999992</v>
      </c>
      <c r="P23" s="259">
        <f t="shared" si="14"/>
        <v>0.90599999999999992</v>
      </c>
      <c r="Q23" s="252">
        <f t="shared" si="15"/>
        <v>80885.749457943908</v>
      </c>
      <c r="R23" s="317">
        <f t="shared" si="16"/>
        <v>82885.749457943908</v>
      </c>
      <c r="S23" s="295">
        <f t="shared" si="17"/>
        <v>1.51</v>
      </c>
      <c r="T23" s="46"/>
      <c r="U23" s="9"/>
      <c r="X23" s="4"/>
    </row>
    <row r="24" spans="2:25" ht="17.399999999999999" x14ac:dyDescent="0.3">
      <c r="B24" s="351">
        <v>2</v>
      </c>
      <c r="C24" s="348" t="s">
        <v>172</v>
      </c>
      <c r="D24" s="349">
        <v>2.2000000000000002</v>
      </c>
      <c r="E24" s="349">
        <v>0.1</v>
      </c>
      <c r="F24" s="348" t="s">
        <v>171</v>
      </c>
      <c r="G24" s="350">
        <f t="shared" si="8"/>
        <v>20355.354168224301</v>
      </c>
      <c r="H24" s="352">
        <f t="shared" si="9"/>
        <v>40710.708336448602</v>
      </c>
      <c r="I24" s="318"/>
      <c r="J24" s="265"/>
      <c r="K24" s="47"/>
      <c r="L24" s="324">
        <f>B24</f>
        <v>2</v>
      </c>
      <c r="M24" s="39">
        <f t="shared" si="11"/>
        <v>2.2800000000000002</v>
      </c>
      <c r="N24" s="39">
        <f t="shared" si="12"/>
        <v>0.1</v>
      </c>
      <c r="O24" s="261">
        <f t="shared" si="13"/>
        <v>0.22800000000000004</v>
      </c>
      <c r="P24" s="259">
        <f t="shared" si="14"/>
        <v>0.45600000000000007</v>
      </c>
      <c r="Q24" s="252">
        <f t="shared" si="15"/>
        <v>20355.354168224301</v>
      </c>
      <c r="R24" s="317">
        <f t="shared" si="16"/>
        <v>22355.354168224301</v>
      </c>
      <c r="S24" s="295">
        <f t="shared" si="17"/>
        <v>4.5600000000000005</v>
      </c>
      <c r="T24" s="46"/>
      <c r="U24" s="9"/>
      <c r="X24" s="4"/>
    </row>
    <row r="25" spans="2:25" ht="17.399999999999999" x14ac:dyDescent="0.3">
      <c r="B25" s="351">
        <v>3</v>
      </c>
      <c r="C25" s="348" t="s">
        <v>173</v>
      </c>
      <c r="D25" s="349">
        <v>3</v>
      </c>
      <c r="E25" s="349">
        <v>0.1</v>
      </c>
      <c r="F25" s="348" t="s">
        <v>171</v>
      </c>
      <c r="G25" s="350">
        <v>3500</v>
      </c>
      <c r="H25" s="352">
        <f t="shared" si="9"/>
        <v>10500</v>
      </c>
      <c r="I25" s="318"/>
      <c r="J25" s="265"/>
      <c r="K25" s="47"/>
      <c r="L25" s="324"/>
      <c r="M25" s="39"/>
      <c r="N25" s="39"/>
      <c r="O25" s="261"/>
      <c r="P25" s="259"/>
      <c r="Q25" s="252"/>
      <c r="R25" s="317"/>
      <c r="S25" s="295"/>
      <c r="T25" s="46"/>
      <c r="U25" s="9"/>
      <c r="X25" s="4"/>
    </row>
    <row r="26" spans="2:25" ht="18" thickBot="1" x14ac:dyDescent="0.35">
      <c r="B26" s="353">
        <v>1</v>
      </c>
      <c r="C26" s="354" t="s">
        <v>173</v>
      </c>
      <c r="D26" s="355">
        <v>0.65</v>
      </c>
      <c r="E26" s="355">
        <v>0.18</v>
      </c>
      <c r="F26" s="354" t="s">
        <v>171</v>
      </c>
      <c r="G26" s="356">
        <v>1000</v>
      </c>
      <c r="H26" s="357">
        <f t="shared" si="9"/>
        <v>1000</v>
      </c>
      <c r="I26" s="318"/>
      <c r="J26" s="265"/>
      <c r="K26" s="47"/>
      <c r="L26" s="324"/>
      <c r="M26" s="39"/>
      <c r="N26" s="39"/>
      <c r="O26" s="261"/>
      <c r="P26" s="259"/>
      <c r="Q26" s="252"/>
      <c r="R26" s="317"/>
      <c r="S26" s="295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19"/>
      <c r="I27" s="321"/>
      <c r="J27" s="233"/>
      <c r="K27" s="47"/>
      <c r="L27" s="47"/>
      <c r="M27" s="39"/>
      <c r="N27" s="39"/>
      <c r="O27" s="261"/>
      <c r="P27" s="259"/>
      <c r="Q27" s="252"/>
      <c r="R27" s="258"/>
      <c r="S27" s="295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2" t="s">
        <v>28</v>
      </c>
      <c r="H28" s="323">
        <f>SUM(H21:H27)</f>
        <v>250318.3</v>
      </c>
      <c r="I28" s="320"/>
      <c r="J28" s="265"/>
      <c r="K28" s="47"/>
      <c r="L28" s="47"/>
      <c r="M28" s="39">
        <f>SUM(M21:M23)</f>
        <v>3.87</v>
      </c>
      <c r="N28" s="39"/>
      <c r="O28" s="261"/>
      <c r="P28" s="259"/>
      <c r="Q28" s="252"/>
      <c r="R28" s="258"/>
      <c r="S28" s="295"/>
      <c r="T28" s="46">
        <f>SUM(T21:T27)</f>
        <v>0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4" t="s">
        <v>51</v>
      </c>
      <c r="H29" s="292">
        <f>H28*19%</f>
        <v>47560.476999999999</v>
      </c>
      <c r="I29" s="320"/>
      <c r="J29" s="265"/>
      <c r="K29" s="47"/>
      <c r="L29" s="47"/>
      <c r="N29" s="12"/>
      <c r="O29" s="12"/>
      <c r="P29" s="253">
        <f>SUM(P21:P27)</f>
        <v>2.6750000000000003</v>
      </c>
      <c r="Q29" s="14"/>
      <c r="R29" s="12"/>
      <c r="S29" s="239"/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3">
        <f>H28+H29</f>
        <v>297878.777</v>
      </c>
      <c r="I30" s="320"/>
      <c r="J30" s="265"/>
      <c r="K30" s="47"/>
      <c r="L30" s="47"/>
      <c r="M30" s="39"/>
      <c r="N30" s="12"/>
      <c r="O30" s="12"/>
      <c r="P30" s="253">
        <f>P29</f>
        <v>2.6750000000000003</v>
      </c>
      <c r="Q30" s="14"/>
      <c r="R30" s="12"/>
      <c r="S30" s="239">
        <f>SUM(S21:S29)</f>
        <v>8.43</v>
      </c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0.53500000000000003</v>
      </c>
      <c r="Q31" s="39" t="s">
        <v>130</v>
      </c>
      <c r="R31" s="42"/>
      <c r="S31" s="240">
        <f>S30+T28</f>
        <v>8.43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3.2100000000000004</v>
      </c>
      <c r="Q32" s="14"/>
      <c r="R32" s="14"/>
      <c r="S32" s="238">
        <f>S31*20%</f>
        <v>1.6859999999999999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10.116</v>
      </c>
      <c r="T33" s="14"/>
      <c r="U33" s="300" t="s">
        <v>21</v>
      </c>
      <c r="V33" s="297" t="s">
        <v>152</v>
      </c>
      <c r="W33" s="301">
        <v>44971</v>
      </c>
      <c r="X33" s="302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3.2100000000000004</v>
      </c>
      <c r="N34" s="12">
        <v>3500</v>
      </c>
      <c r="O34" s="12">
        <f t="shared" ref="O34:O39" si="18">M34*N34</f>
        <v>11235.000000000002</v>
      </c>
      <c r="P34" s="14" t="s">
        <v>21</v>
      </c>
      <c r="Q34" s="14"/>
      <c r="R34" s="14"/>
      <c r="S34" s="241"/>
      <c r="T34" s="14"/>
      <c r="U34" s="300" t="s">
        <v>153</v>
      </c>
      <c r="V34" s="297">
        <v>3625</v>
      </c>
      <c r="W34" s="59" t="s">
        <v>154</v>
      </c>
      <c r="X34" s="302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0.9</v>
      </c>
      <c r="N35" s="12">
        <v>23500</v>
      </c>
      <c r="O35" s="12">
        <f t="shared" si="18"/>
        <v>21150</v>
      </c>
      <c r="P35" s="39" t="s">
        <v>31</v>
      </c>
      <c r="Q35" s="42"/>
      <c r="R35" s="14"/>
      <c r="S35" s="240"/>
      <c r="T35" s="14"/>
      <c r="U35" s="300"/>
      <c r="V35" s="59">
        <v>906.25</v>
      </c>
      <c r="W35" s="59" t="s">
        <v>155</v>
      </c>
      <c r="X35" s="302"/>
    </row>
    <row r="36" spans="1:24" s="230" customFormat="1" ht="17.399999999999999" x14ac:dyDescent="0.35">
      <c r="B36" s="24" t="s">
        <v>151</v>
      </c>
      <c r="J36" s="262"/>
      <c r="K36" s="232"/>
      <c r="L36" s="250"/>
      <c r="M36" s="14"/>
      <c r="N36" s="250">
        <v>65000</v>
      </c>
      <c r="O36" s="12">
        <f t="shared" si="18"/>
        <v>0</v>
      </c>
      <c r="P36" s="39" t="s">
        <v>30</v>
      </c>
      <c r="Q36" s="42"/>
      <c r="S36" s="240"/>
      <c r="T36" s="256"/>
      <c r="U36" s="59"/>
      <c r="V36" s="59">
        <f>V35*20%</f>
        <v>181.25</v>
      </c>
      <c r="W36" s="302" t="s">
        <v>156</v>
      </c>
      <c r="X36" s="59"/>
    </row>
    <row r="37" spans="1:24" s="230" customFormat="1" ht="17.399999999999999" x14ac:dyDescent="0.35">
      <c r="B37" s="24" t="s">
        <v>144</v>
      </c>
      <c r="C37"/>
      <c r="D37"/>
      <c r="E37"/>
      <c r="F37"/>
      <c r="J37" s="262"/>
      <c r="K37" s="232"/>
      <c r="L37" s="250"/>
      <c r="M37" s="14">
        <v>2</v>
      </c>
      <c r="N37" s="250">
        <v>37744</v>
      </c>
      <c r="O37" s="12">
        <f t="shared" si="18"/>
        <v>75488</v>
      </c>
      <c r="P37" s="14" t="s">
        <v>141</v>
      </c>
      <c r="Q37" s="17"/>
      <c r="S37" s="238"/>
      <c r="T37" s="256"/>
      <c r="U37" s="59"/>
      <c r="V37" s="59">
        <f>V35+V36</f>
        <v>1087.5</v>
      </c>
      <c r="W37" s="302" t="s">
        <v>157</v>
      </c>
      <c r="X37" s="59"/>
    </row>
    <row r="38" spans="1:24" s="230" customFormat="1" ht="17.399999999999999" x14ac:dyDescent="0.35">
      <c r="B38" s="29" t="s">
        <v>125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8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1"/>
      <c r="K39" s="260"/>
      <c r="L39" s="250"/>
      <c r="M39" s="266">
        <v>3.9</v>
      </c>
      <c r="N39" s="12">
        <v>1500</v>
      </c>
      <c r="O39" s="12">
        <f t="shared" si="18"/>
        <v>5850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60"/>
      <c r="L40" s="250"/>
      <c r="M40" s="14"/>
      <c r="N40" s="12"/>
      <c r="O40" s="12">
        <f>SUM(O34:O39)</f>
        <v>113723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50"/>
      <c r="M41" s="254" t="s">
        <v>33</v>
      </c>
      <c r="N41" s="12"/>
      <c r="O41" s="255">
        <f>O40*2.1</f>
        <v>238818.30000000002</v>
      </c>
      <c r="P41" s="14" t="s">
        <v>140</v>
      </c>
      <c r="Q41" s="14"/>
      <c r="R41" s="40">
        <f>P32/R40</f>
        <v>0.86550905953408119</v>
      </c>
      <c r="S41"/>
      <c r="T41" s="257"/>
    </row>
    <row r="42" spans="1:24" s="230" customFormat="1" ht="17.399999999999999" x14ac:dyDescent="0.35">
      <c r="G42"/>
      <c r="H42" s="260"/>
      <c r="I42" s="260"/>
      <c r="J42" s="260"/>
      <c r="K42" s="230">
        <v>50000</v>
      </c>
      <c r="L42" s="250"/>
      <c r="M42" s="14"/>
      <c r="N42" s="12"/>
      <c r="O42" s="12">
        <f>O41/P30</f>
        <v>89277.8691588785</v>
      </c>
      <c r="P42" s="45" t="s">
        <v>24</v>
      </c>
      <c r="Q42" s="14"/>
      <c r="R42" s="14"/>
      <c r="S42"/>
      <c r="T42" s="238"/>
      <c r="U42" s="59" t="s">
        <v>158</v>
      </c>
      <c r="V42" s="297">
        <v>43650</v>
      </c>
    </row>
    <row r="43" spans="1:24" s="230" customFormat="1" ht="17.399999999999999" x14ac:dyDescent="0.35">
      <c r="G43"/>
      <c r="K43" s="230">
        <f>K42/1.19</f>
        <v>42016.806722689078</v>
      </c>
      <c r="L43" s="250"/>
      <c r="M43" s="13"/>
      <c r="N43" s="14"/>
      <c r="O43" s="17">
        <f>O41/O40</f>
        <v>2.1</v>
      </c>
      <c r="P43" s="15"/>
      <c r="Q43"/>
      <c r="R43"/>
      <c r="S43"/>
      <c r="T43" s="238"/>
      <c r="U43" s="59" t="s">
        <v>160</v>
      </c>
      <c r="V43" s="298" t="s">
        <v>159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161</v>
      </c>
      <c r="V44" s="299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156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148</v>
      </c>
    </row>
    <row r="78" spans="3:15" x14ac:dyDescent="0.3">
      <c r="C78" t="s">
        <v>147</v>
      </c>
    </row>
    <row r="81" spans="3:3" x14ac:dyDescent="0.3">
      <c r="C81" t="s">
        <v>147</v>
      </c>
    </row>
    <row r="158" spans="3:3" x14ac:dyDescent="0.3">
      <c r="C158" t="s">
        <v>147</v>
      </c>
    </row>
    <row r="159" spans="3:3" x14ac:dyDescent="0.3">
      <c r="C159" t="s">
        <v>149</v>
      </c>
    </row>
    <row r="160" spans="3:3" x14ac:dyDescent="0.3">
      <c r="C160" t="s">
        <v>150</v>
      </c>
    </row>
    <row r="585" spans="3:3" x14ac:dyDescent="0.3">
      <c r="C585" t="s">
        <v>147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  <hyperlink ref="C14" r:id="rId2" xr:uid="{526626F6-C8DB-45CE-87BD-B235BC971F34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D12" sqref="D12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45849</v>
      </c>
    </row>
    <row r="6" spans="2:31" ht="16.2" thickBot="1" x14ac:dyDescent="0.35">
      <c r="B6" s="140" t="s">
        <v>2</v>
      </c>
      <c r="C6" s="139" t="str">
        <f>'2229'!C10</f>
        <v>MARCO MORENO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98</v>
      </c>
      <c r="I7" s="343"/>
      <c r="J7" s="343"/>
      <c r="K7" s="344"/>
      <c r="N7" s="75"/>
      <c r="O7" s="3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11518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-24609.466700120771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250318.3</v>
      </c>
      <c r="E11" s="132">
        <f>D11*0.19</f>
        <v>47560.476999999999</v>
      </c>
      <c r="F11" s="131">
        <f>E11+D11</f>
        <v>297878.777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81380.533299879229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62219.090787439614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63380.533299879229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188099.20921256038</v>
      </c>
      <c r="E13" s="221">
        <f>(D11/D12)-1</f>
        <v>3.0231751514204479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54380.533299879229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15380.533299879229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102661.49979927536</v>
      </c>
      <c r="F15" s="216">
        <f>E15-D12</f>
        <v>40442.409011835749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15380.533299879229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55380.533299879229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21150</v>
      </c>
      <c r="E19" s="123">
        <f>D19*0.19</f>
        <v>4018.5</v>
      </c>
      <c r="F19" s="120">
        <f>SUM(D19:E19)</f>
        <v>25168.5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11235.000000000002</v>
      </c>
      <c r="E20" s="121">
        <f>D20*0.19</f>
        <v>2134.6500000000005</v>
      </c>
      <c r="F20" s="120">
        <f>SUM(D20:E20)</f>
        <v>13369.650000000001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32385</v>
      </c>
      <c r="E21" s="116">
        <f>SUM(E18:E20)</f>
        <v>6153.1500000000005</v>
      </c>
      <c r="F21" s="115">
        <f>SUM(F18:F20)</f>
        <v>38538.15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41407.326999999997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250318.3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32385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188099.20921256038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188099.20921256038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2025-07-15T15:28:23Z</cp:lastPrinted>
  <dcterms:created xsi:type="dcterms:W3CDTF">2013-03-18T13:35:42Z</dcterms:created>
  <dcterms:modified xsi:type="dcterms:W3CDTF">2025-07-15T15:30:08Z</dcterms:modified>
</cp:coreProperties>
</file>