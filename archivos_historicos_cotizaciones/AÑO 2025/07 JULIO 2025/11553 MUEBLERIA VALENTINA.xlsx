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7BE18385-880B-4531-B98D-9FE58BAF84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" l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G22" i="1"/>
  <c r="G23" i="1"/>
  <c r="G24" i="1"/>
  <c r="G25" i="1"/>
  <c r="H25" i="1" s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21" i="1"/>
  <c r="M51" i="1"/>
  <c r="N26" i="1"/>
  <c r="N27" i="1"/>
  <c r="N28" i="1"/>
  <c r="O28" i="1" s="1"/>
  <c r="P28" i="1" s="1"/>
  <c r="N29" i="1"/>
  <c r="O29" i="1" s="1"/>
  <c r="P29" i="1" s="1"/>
  <c r="N30" i="1"/>
  <c r="N31" i="1"/>
  <c r="N32" i="1"/>
  <c r="O32" i="1" s="1"/>
  <c r="P32" i="1" s="1"/>
  <c r="N33" i="1"/>
  <c r="O33" i="1" s="1"/>
  <c r="P33" i="1" s="1"/>
  <c r="N34" i="1"/>
  <c r="N35" i="1"/>
  <c r="N36" i="1"/>
  <c r="N37" i="1"/>
  <c r="O37" i="1" s="1"/>
  <c r="P37" i="1" s="1"/>
  <c r="N38" i="1"/>
  <c r="N39" i="1"/>
  <c r="N40" i="1"/>
  <c r="N41" i="1"/>
  <c r="O41" i="1" s="1"/>
  <c r="P41" i="1" s="1"/>
  <c r="N42" i="1"/>
  <c r="O30" i="1"/>
  <c r="P30" i="1" s="1"/>
  <c r="O31" i="1"/>
  <c r="P31" i="1" s="1"/>
  <c r="O34" i="1"/>
  <c r="P34" i="1" s="1"/>
  <c r="O35" i="1"/>
  <c r="P35" i="1"/>
  <c r="O36" i="1"/>
  <c r="P36" i="1" s="1"/>
  <c r="O38" i="1"/>
  <c r="P38" i="1" s="1"/>
  <c r="O39" i="1"/>
  <c r="P39" i="1"/>
  <c r="O40" i="1"/>
  <c r="P40" i="1" s="1"/>
  <c r="O42" i="1"/>
  <c r="P42" i="1" s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21" i="1"/>
  <c r="N25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H27" i="1"/>
  <c r="H26" i="1"/>
  <c r="M25" i="1"/>
  <c r="M26" i="1"/>
  <c r="O26" i="1" s="1"/>
  <c r="P26" i="1" s="1"/>
  <c r="M27" i="1"/>
  <c r="O27" i="1" s="1"/>
  <c r="P27" i="1" s="1"/>
  <c r="M24" i="1"/>
  <c r="N24" i="1"/>
  <c r="O25" i="1" l="1"/>
  <c r="P25" i="1" s="1"/>
  <c r="O24" i="1"/>
  <c r="S24" i="1"/>
  <c r="P24" i="1"/>
  <c r="M22" i="1"/>
  <c r="S22" i="1" s="1"/>
  <c r="N22" i="1"/>
  <c r="M23" i="1"/>
  <c r="N23" i="1"/>
  <c r="J55" i="1"/>
  <c r="M21" i="1"/>
  <c r="M46" i="1" l="1"/>
  <c r="O23" i="1"/>
  <c r="P23" i="1" s="1"/>
  <c r="O22" i="1"/>
  <c r="P22" i="1" s="1"/>
  <c r="S23" i="1"/>
  <c r="N21" i="1"/>
  <c r="S21" i="1" l="1"/>
  <c r="S46" i="1" s="1"/>
  <c r="T21" i="1"/>
  <c r="T45" i="1" s="1"/>
  <c r="O21" i="1"/>
  <c r="P21" i="1" s="1"/>
  <c r="P46" i="1" s="1"/>
  <c r="V53" i="1" l="1"/>
  <c r="V54" i="1" s="1"/>
  <c r="O52" i="1" l="1"/>
  <c r="P47" i="1" l="1"/>
  <c r="N20" i="1"/>
  <c r="L20" i="1"/>
  <c r="P48" i="1" l="1"/>
  <c r="P49" i="1" s="1"/>
  <c r="O53" i="1"/>
  <c r="R57" i="1"/>
  <c r="R58" i="1" l="1"/>
  <c r="O5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56" i="1"/>
  <c r="O55" i="1"/>
  <c r="F18" i="3" l="1"/>
  <c r="O51" i="1" l="1"/>
  <c r="O57" i="1" s="1"/>
  <c r="O58" i="1" l="1"/>
  <c r="O59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8" i="1" l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24" i="1"/>
  <c r="R24" i="1" s="1"/>
  <c r="H24" i="1" s="1"/>
  <c r="Q26" i="1"/>
  <c r="R26" i="1" s="1"/>
  <c r="Q27" i="1"/>
  <c r="R27" i="1" s="1"/>
  <c r="Q25" i="1"/>
  <c r="R25" i="1" s="1"/>
  <c r="Q22" i="1"/>
  <c r="R22" i="1" s="1"/>
  <c r="H22" i="1" s="1"/>
  <c r="Q23" i="1"/>
  <c r="R23" i="1" s="1"/>
  <c r="H23" i="1" s="1"/>
  <c r="O60" i="1"/>
  <c r="Q21" i="1" l="1"/>
  <c r="F15" i="3"/>
  <c r="R21" i="1" l="1"/>
  <c r="H21" i="1" l="1"/>
  <c r="H47" i="1" l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<sst xmlns="http://schemas.openxmlformats.org/spreadsheetml/2006/main" count="273" uniqueCount="177">
  <si>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</si>
  <si>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</si>
  <si>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</si>
  <si>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</si>
  <si>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</si>
  <si>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</si>
  <si>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</si>
  <si>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</si>
  <si>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</si>
  <si>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</si>
  <si>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</si>
  <si>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</si>
  <si>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</si>
  <si>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</si>
  <si>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</si>
  <si>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</si>
  <si>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</si>
  <si>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</si>
  <si>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</si>
  <si>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</si>
  <si>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</si>
  <si>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</si>
  <si>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</si>
  <si>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</si>
  <si>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</si>
  <si>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</si>
  <si>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</si>
  <si>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</si>
  <si>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</si>
  <si>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</si>
  <si>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</si>
  <si>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</si>
  <si>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</si>
  <si>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</si>
  <si>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</si>
  <si>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</si>
  <si>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</si>
  <si>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</si>
  <si>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</si>
  <si>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</si>
  <si>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</si>
  <si>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</si>
  <si>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</si>
  <si>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</si>
  <si>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</si>
  <si>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</si>
  <si>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</si>
  <si>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</si>
  <si>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</si>
  <si>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</si>
  <si>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</si>
  <si>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</si>
  <si>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</si>
  <si>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</si>
  <si>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</si>
  <si>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</si>
  <si>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</si>
  <si>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</si>
  <si>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</si>
  <si>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</si>
  <si>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</si>
  <si>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</si>
  <si>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</si>
  <si>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</si>
  <si>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</si>
  <si>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</si>
  <si>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</si>
  <si>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</si>
  <si>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</si>
  <si>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</si>
  <si>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</si>
  <si>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</si>
  <si>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</si>
  <si>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</si>
  <si>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</si>
  <si>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</si>
  <si>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</si>
  <si>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</si>
  <si>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</si>
  <si>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</si>
  <si>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</si>
  <si>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</si>
  <si>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</si>
  <si>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</si>
  <si>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</si>
  <si>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</si>
  <si>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</si>
  <si>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</si>
  <si>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</si>
  <si>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</si>
  <si>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</si>
  <si>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</si>
  <si>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</si>
  <si>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</si>
  <si>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</si>
  <si>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</si>
  <si>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</si>
  <si>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</si>
  <si>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</si>
  <si>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</si>
  <si>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</si>
  <si>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</si>
  <si>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</si>
  <si>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</si>
  <si>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</si>
  <si>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</si>
  <si>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</si>
  <si>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</si>
  <si>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</si>
  <si>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</si>
  <si>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</si>
  <si>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</si>
  <si>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</si>
  <si>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</si>
  <si>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</si>
  <si>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</si>
  <si>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</si>
  <si>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</si>
  <si>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</si>
  <si>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</si>
  <si>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</si>
  <si>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</si>
  <si>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</si>
  <si>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</si>
  <si>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</si>
  <si>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</si>
  <si>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</si>
  <si>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</si>
  <si>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</si>
  <si>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</si>
  <si>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</si>
  <si>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</si>
  <si>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</si>
  <si>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</si>
  <si>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</si>
  <si>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</si>
  <si>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</si>
  <si>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</si>
  <si>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</si>
  <si>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</si>
  <si>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</si>
  <si>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</si>
  <si>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</si>
  <si>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</si>
  <si>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</si>
  <si>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</si>
  <si>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</si>
  <si>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</si>
  <si>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</si>
  <si>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</si>
  <si>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</si>
  <si>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</si>
  <si>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</si>
  <si>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</si>
  <si>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</si>
  <si>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</si>
  <si>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</si>
  <si>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</si>
  <si>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</si>
  <si>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</si>
  <si>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</si>
  <si>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</si>
  <si>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</si>
  <si>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</si>
  <si>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</si>
  <si>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</si>
  <si>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</si>
  <si>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</si>
  <si>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</si>
  <si>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</si>
  <si>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PR6</t>
  </si>
  <si>
    <t>GRIS CLARO</t>
  </si>
  <si>
    <t>N° 11553</t>
  </si>
  <si>
    <t>8 DIAS HABILES</t>
  </si>
  <si>
    <t>SI</t>
  </si>
  <si>
    <t>MUEBLERIA VALENTINA</t>
  </si>
  <si>
    <t>JENNIFER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</si>
</sst>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167" fontId="0" fillId="7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6" fontId="3" fillId="7" borderId="0" xfId="0" applyNumberFormat="1" applyFont="1" applyFill="1"/>
    <xf numFmtId="167" fontId="0" fillId="20" borderId="0" xfId="0" applyNumberFormat="1" applyFill="1"/>
    <xf numFmtId="166" fontId="3" fillId="20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167" fontId="0" fillId="3" borderId="0" xfId="0" applyNumberFormat="1" applyFill="1"/>
    <xf numFmtId="166" fontId="3" fillId="3" borderId="0" xfId="0" applyNumberFormat="1" applyFont="1" applyFill="1"/>
    <xf numFmtId="0" fontId="36" fillId="0" borderId="0" xfId="0" quotePrefix="1" applyFont="1" applyAlignment="1">
      <alignment horizontal="left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48</xdr:row>
      <xdr:rowOff>8194</xdr:rowOff>
    </xdr:from>
    <xdr:to>
      <xdr:col>8</xdr:col>
      <xdr:colOff>8193</xdr:colOff>
      <xdr:row>51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50</xdr:row>
      <xdr:rowOff>154305</xdr:rowOff>
    </xdr:from>
    <xdr:to>
      <xdr:col>7</xdr:col>
      <xdr:colOff>853440</xdr:colOff>
      <xdr:row>50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48</xdr:row>
      <xdr:rowOff>9525</xdr:rowOff>
    </xdr:from>
    <xdr:to>
      <xdr:col>5</xdr:col>
      <xdr:colOff>1745226</xdr:colOff>
      <xdr:row>51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44</xdr:row>
      <xdr:rowOff>9525</xdr:rowOff>
    </xdr:from>
    <xdr:to>
      <xdr:col>5</xdr:col>
      <xdr:colOff>1728839</xdr:colOff>
      <xdr:row>47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PUERTAS SE ENTREGAN CORTADAS A LA MEDIDA Y ENCHAPADAS CON TAPACANTO PVC 0,4MM</a:t>
          </a:r>
          <a:endParaRPr lang="es-CL" sz="1200" b="1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3</xdr:col>
      <xdr:colOff>338275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602"/>
  <sheetViews>
    <sheetView tabSelected="1" zoomScale="93" zoomScaleNormal="93" workbookViewId="0">
      <selection activeCell="C15" sqref="C15"/>
    </sheetView>
  </sheetViews>
  <sheetFormatPr baseColWidth="10" defaultRowHeight="14.4" x14ac:dyDescent="0.3"/>
  <cols>
    <col min="1" max="1" width="6" customWidth="1"/>
    <col min="2" max="2" width="10.5546875" customWidth="1"/>
    <col min="3" max="3" width="23.77734375" customWidth="1"/>
    <col min="4" max="4" width="11.109375" customWidth="1"/>
    <col min="5" max="5" width="14.44140625" customWidth="1"/>
    <col min="6" max="6" width="24.4414062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7" t="s">
        <v>125</v>
      </c>
      <c r="C8" s="318"/>
      <c r="D8" s="319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175</v>
      </c>
      <c r="D10" s="239"/>
      <c r="E10" s="239"/>
      <c r="F10" s="240" t="s">
        <v>167</v>
      </c>
      <c r="G10" s="271">
        <v>45869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173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176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174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51">
        <v>56963407807</v>
      </c>
      <c r="D15" s="310"/>
      <c r="F15" t="s">
        <v>168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2:25" ht="15" thickBot="1" x14ac:dyDescent="0.35">
      <c r="B17" s="292" t="s">
        <v>13</v>
      </c>
      <c r="C17" s="293" t="s">
        <v>163</v>
      </c>
      <c r="D17" s="294"/>
      <c r="E17" s="116"/>
      <c r="F17" s="332" t="s">
        <v>162</v>
      </c>
      <c r="G17" s="332"/>
      <c r="H17" s="333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0" t="s">
        <v>7</v>
      </c>
      <c r="C20" s="321" t="s">
        <v>1</v>
      </c>
      <c r="D20" s="321" t="s">
        <v>130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>E20</f>
        <v>ANCHO</v>
      </c>
      <c r="O20" s="256" t="s">
        <v>131</v>
      </c>
      <c r="P20" s="254" t="s">
        <v>16</v>
      </c>
      <c r="Q20" s="247">
        <f>O59</f>
        <v>66050.644562244648</v>
      </c>
      <c r="R20" s="253">
        <v>2000</v>
      </c>
      <c r="S20" s="35"/>
      <c r="T20" s="14" t="s">
        <v>127</v>
      </c>
      <c r="U20" s="9"/>
      <c r="X20" s="4"/>
    </row>
    <row r="21" spans="2:25" ht="17.399999999999999" x14ac:dyDescent="0.3">
      <c r="B21" s="325">
        <v>1</v>
      </c>
      <c r="C21" s="325" t="s">
        <v>170</v>
      </c>
      <c r="D21" s="326">
        <v>2.19</v>
      </c>
      <c r="E21" s="326">
        <v>0.4</v>
      </c>
      <c r="F21" s="325" t="s">
        <v>171</v>
      </c>
      <c r="G21" s="327">
        <f>R21</f>
        <v>61181.377527771197</v>
      </c>
      <c r="H21" s="327">
        <f>G21*B21</f>
        <v>61181.377527771197</v>
      </c>
      <c r="I21" s="297"/>
      <c r="J21" s="260"/>
      <c r="K21" s="44"/>
      <c r="L21" s="349">
        <f>B21</f>
        <v>1</v>
      </c>
      <c r="M21" s="350">
        <f>D21+M$19</f>
        <v>2.2399999999999998</v>
      </c>
      <c r="N21" s="350">
        <f>E21+$N$19</f>
        <v>0.4</v>
      </c>
      <c r="O21" s="256">
        <f t="shared" ref="O21" si="0">M21*N21</f>
        <v>0.89599999999999991</v>
      </c>
      <c r="P21" s="254">
        <f t="shared" ref="P21" si="1">O21*L21</f>
        <v>0.89599999999999991</v>
      </c>
      <c r="Q21" s="247">
        <f t="shared" ref="Q21" si="2">Q$20*O21</f>
        <v>59181.377527771197</v>
      </c>
      <c r="R21" s="296">
        <f t="shared" ref="R21" si="3">Q21+R$20</f>
        <v>61181.377527771197</v>
      </c>
      <c r="S21" s="284">
        <f>M21*L21</f>
        <v>2.2399999999999998</v>
      </c>
      <c r="T21" s="43">
        <f>N21*2*L21*2</f>
        <v>1.6</v>
      </c>
      <c r="U21" s="9"/>
      <c r="X21" s="4"/>
    </row>
    <row r="22" spans="2:25" ht="17.399999999999999" x14ac:dyDescent="0.3">
      <c r="B22" s="325">
        <v>2</v>
      </c>
      <c r="C22" s="325" t="s">
        <v>170</v>
      </c>
      <c r="D22" s="326">
        <v>0.73499999999999999</v>
      </c>
      <c r="E22" s="326">
        <v>0.3</v>
      </c>
      <c r="F22" s="325" t="s">
        <v>171</v>
      </c>
      <c r="G22" s="327">
        <f t="shared" ref="G22:G42" si="4">R22</f>
        <v>17554.926794408613</v>
      </c>
      <c r="H22" s="327">
        <f>G22*B22</f>
        <v>35109.853588817226</v>
      </c>
      <c r="I22" s="297"/>
      <c r="J22" s="260"/>
      <c r="K22" s="44"/>
      <c r="L22" s="44">
        <f t="shared" ref="L22:L42" si="5">B22</f>
        <v>2</v>
      </c>
      <c r="M22" s="36">
        <f>D22+M$19</f>
        <v>0.78500000000000003</v>
      </c>
      <c r="N22" s="36">
        <f>E22+$N$19</f>
        <v>0.3</v>
      </c>
      <c r="O22" s="256">
        <f t="shared" ref="O22:O23" si="6">M22*N22</f>
        <v>0.23549999999999999</v>
      </c>
      <c r="P22" s="254">
        <f t="shared" ref="P22:P23" si="7">O22*L22</f>
        <v>0.47099999999999997</v>
      </c>
      <c r="Q22" s="247">
        <f t="shared" ref="Q22:Q23" si="8">Q$20*O22</f>
        <v>15554.926794408613</v>
      </c>
      <c r="R22" s="296">
        <f t="shared" ref="R22:R23" si="9">Q22+R$20</f>
        <v>17554.926794408613</v>
      </c>
      <c r="S22" s="284">
        <f t="shared" ref="S22:S23" si="10">M22*L22</f>
        <v>1.57</v>
      </c>
      <c r="T22" s="43"/>
      <c r="U22" s="9"/>
      <c r="X22" s="4"/>
    </row>
    <row r="23" spans="2:25" ht="17.399999999999999" x14ac:dyDescent="0.3">
      <c r="B23" s="325">
        <v>1</v>
      </c>
      <c r="C23" s="325" t="s">
        <v>170</v>
      </c>
      <c r="D23" s="326">
        <v>0.125</v>
      </c>
      <c r="E23" s="326">
        <v>0.6</v>
      </c>
      <c r="F23" s="325" t="s">
        <v>171</v>
      </c>
      <c r="G23" s="327">
        <f t="shared" si="4"/>
        <v>8935.3176790356883</v>
      </c>
      <c r="H23" s="327">
        <f>G23*B23</f>
        <v>8935.3176790356883</v>
      </c>
      <c r="I23" s="297"/>
      <c r="J23" s="260"/>
      <c r="K23" s="44"/>
      <c r="L23" s="349">
        <f t="shared" si="5"/>
        <v>1</v>
      </c>
      <c r="M23" s="350">
        <f>D23+M$19</f>
        <v>0.17499999999999999</v>
      </c>
      <c r="N23" s="350">
        <f>E23+$N$19</f>
        <v>0.6</v>
      </c>
      <c r="O23" s="256">
        <f t="shared" si="6"/>
        <v>0.105</v>
      </c>
      <c r="P23" s="254">
        <f t="shared" si="7"/>
        <v>0.105</v>
      </c>
      <c r="Q23" s="247">
        <f t="shared" si="8"/>
        <v>6935.3176790356874</v>
      </c>
      <c r="R23" s="296">
        <f t="shared" si="9"/>
        <v>8935.3176790356883</v>
      </c>
      <c r="S23" s="284">
        <f t="shared" si="10"/>
        <v>0.17499999999999999</v>
      </c>
      <c r="T23" s="43"/>
      <c r="U23" s="9"/>
      <c r="X23" s="4"/>
    </row>
    <row r="24" spans="2:25" ht="17.399999999999999" x14ac:dyDescent="0.3">
      <c r="B24" s="325">
        <v>2</v>
      </c>
      <c r="C24" s="325" t="s">
        <v>170</v>
      </c>
      <c r="D24" s="326">
        <v>0.36</v>
      </c>
      <c r="E24" s="326">
        <v>0.3</v>
      </c>
      <c r="F24" s="325" t="s">
        <v>171</v>
      </c>
      <c r="G24" s="327">
        <f t="shared" si="4"/>
        <v>10124.229281156091</v>
      </c>
      <c r="H24" s="327">
        <f>G24*B24</f>
        <v>20248.458562312182</v>
      </c>
      <c r="I24" s="297"/>
      <c r="J24" s="260"/>
      <c r="K24" s="44"/>
      <c r="L24" s="44">
        <f t="shared" si="5"/>
        <v>2</v>
      </c>
      <c r="M24" s="36">
        <f>D24+M$19</f>
        <v>0.41</v>
      </c>
      <c r="N24" s="36">
        <f>E24+$N$19</f>
        <v>0.3</v>
      </c>
      <c r="O24" s="256">
        <f t="shared" ref="O24" si="11">M24*N24</f>
        <v>0.12299999999999998</v>
      </c>
      <c r="P24" s="254">
        <f t="shared" ref="P24" si="12">O24*L24</f>
        <v>0.24599999999999997</v>
      </c>
      <c r="Q24" s="247">
        <f t="shared" ref="Q24" si="13">Q$20*O24</f>
        <v>8124.229281156091</v>
      </c>
      <c r="R24" s="296">
        <f t="shared" ref="R24" si="14">Q24+R$20</f>
        <v>10124.229281156091</v>
      </c>
      <c r="S24" s="284">
        <f t="shared" ref="S24" si="15">M24*L24</f>
        <v>0.82</v>
      </c>
      <c r="T24" s="43"/>
      <c r="U24" s="9"/>
      <c r="X24" s="4"/>
    </row>
    <row r="25" spans="2:25" ht="17.399999999999999" x14ac:dyDescent="0.3">
      <c r="B25" s="325">
        <v>2</v>
      </c>
      <c r="C25" s="325" t="s">
        <v>170</v>
      </c>
      <c r="D25" s="326">
        <v>0.76</v>
      </c>
      <c r="E25" s="326">
        <v>0.36</v>
      </c>
      <c r="F25" s="325" t="s">
        <v>171</v>
      </c>
      <c r="G25" s="327">
        <f t="shared" si="4"/>
        <v>21260.367954350542</v>
      </c>
      <c r="H25" s="327">
        <f>G25*B25</f>
        <v>42520.735908701085</v>
      </c>
      <c r="I25" s="297"/>
      <c r="J25" s="260"/>
      <c r="K25" s="44"/>
      <c r="L25" s="347">
        <f t="shared" si="5"/>
        <v>2</v>
      </c>
      <c r="M25" s="348">
        <f>D25+M$19</f>
        <v>0.81</v>
      </c>
      <c r="N25" s="348">
        <f>E25+$N$19</f>
        <v>0.36</v>
      </c>
      <c r="O25" s="256">
        <f t="shared" ref="O25:O27" si="16">M25*N25</f>
        <v>0.29160000000000003</v>
      </c>
      <c r="P25" s="254">
        <f t="shared" ref="P25:P27" si="17">O25*L25</f>
        <v>0.58320000000000005</v>
      </c>
      <c r="Q25" s="247">
        <f t="shared" ref="Q25:Q27" si="18">Q$20*O25</f>
        <v>19260.367954350542</v>
      </c>
      <c r="R25" s="296">
        <f t="shared" ref="R25:R27" si="19">Q25+R$20</f>
        <v>21260.367954350542</v>
      </c>
      <c r="S25" s="284"/>
      <c r="T25" s="43"/>
      <c r="U25" s="9"/>
      <c r="X25" s="4"/>
    </row>
    <row r="26" spans="2:25" ht="17.399999999999999" x14ac:dyDescent="0.3">
      <c r="B26" s="325">
        <v>1</v>
      </c>
      <c r="C26" s="325" t="s">
        <v>170</v>
      </c>
      <c r="D26" s="326">
        <v>0.9</v>
      </c>
      <c r="E26" s="326">
        <v>0.22</v>
      </c>
      <c r="F26" s="325" t="s">
        <v>171</v>
      </c>
      <c r="G26" s="327">
        <f t="shared" si="4"/>
        <v>15804.584713509134</v>
      </c>
      <c r="H26" s="327">
        <f>G26*B26</f>
        <v>15804.584713509134</v>
      </c>
      <c r="I26" s="297"/>
      <c r="J26" s="260"/>
      <c r="K26" s="44"/>
      <c r="L26" s="347">
        <f t="shared" si="5"/>
        <v>1</v>
      </c>
      <c r="M26" s="348">
        <f>D26+M$19</f>
        <v>0.95000000000000007</v>
      </c>
      <c r="N26" s="348">
        <f t="shared" ref="N26:N42" si="20">E26+$N$19</f>
        <v>0.22</v>
      </c>
      <c r="O26" s="256">
        <f t="shared" si="16"/>
        <v>0.20900000000000002</v>
      </c>
      <c r="P26" s="254">
        <f t="shared" si="17"/>
        <v>0.20900000000000002</v>
      </c>
      <c r="Q26" s="247">
        <f t="shared" si="18"/>
        <v>13804.584713509134</v>
      </c>
      <c r="R26" s="296">
        <f t="shared" si="19"/>
        <v>15804.584713509134</v>
      </c>
      <c r="S26" s="284"/>
      <c r="T26" s="43"/>
      <c r="U26" s="9"/>
      <c r="X26" s="4"/>
    </row>
    <row r="27" spans="2:25" ht="17.399999999999999" x14ac:dyDescent="0.3">
      <c r="B27" s="325">
        <v>1</v>
      </c>
      <c r="C27" s="325" t="s">
        <v>170</v>
      </c>
      <c r="D27" s="326">
        <v>0.9</v>
      </c>
      <c r="E27" s="326">
        <v>0.2</v>
      </c>
      <c r="F27" s="325" t="s">
        <v>171</v>
      </c>
      <c r="G27" s="327">
        <f t="shared" si="4"/>
        <v>14549.622466826486</v>
      </c>
      <c r="H27" s="327">
        <f>G27*B27</f>
        <v>14549.622466826486</v>
      </c>
      <c r="I27" s="297"/>
      <c r="J27" s="260"/>
      <c r="K27" s="44"/>
      <c r="L27" s="347">
        <f t="shared" si="5"/>
        <v>1</v>
      </c>
      <c r="M27" s="348">
        <f>D27+M$19</f>
        <v>0.95000000000000007</v>
      </c>
      <c r="N27" s="348">
        <f t="shared" si="20"/>
        <v>0.2</v>
      </c>
      <c r="O27" s="256">
        <f t="shared" si="16"/>
        <v>0.19000000000000003</v>
      </c>
      <c r="P27" s="254">
        <f t="shared" si="17"/>
        <v>0.19000000000000003</v>
      </c>
      <c r="Q27" s="247">
        <f t="shared" si="18"/>
        <v>12549.622466826486</v>
      </c>
      <c r="R27" s="296">
        <f t="shared" si="19"/>
        <v>14549.622466826486</v>
      </c>
      <c r="S27" s="284"/>
      <c r="T27" s="43"/>
      <c r="U27" s="9"/>
      <c r="X27" s="4"/>
    </row>
    <row r="28" spans="2:25" ht="17.399999999999999" x14ac:dyDescent="0.3">
      <c r="B28" s="325">
        <v>1</v>
      </c>
      <c r="C28" s="325" t="s">
        <v>170</v>
      </c>
      <c r="D28" s="326">
        <v>0.9</v>
      </c>
      <c r="E28" s="326">
        <v>0.33</v>
      </c>
      <c r="F28" s="325" t="s">
        <v>171</v>
      </c>
      <c r="G28" s="327">
        <f t="shared" si="4"/>
        <v>22706.877070263701</v>
      </c>
      <c r="H28" s="327">
        <f t="shared" ref="H28:H42" si="21">G28*B28</f>
        <v>22706.877070263701</v>
      </c>
      <c r="I28" s="297"/>
      <c r="J28" s="260"/>
      <c r="K28" s="44"/>
      <c r="L28" s="347">
        <f t="shared" si="5"/>
        <v>1</v>
      </c>
      <c r="M28" s="348">
        <f>D28+M$19</f>
        <v>0.95000000000000007</v>
      </c>
      <c r="N28" s="348">
        <f t="shared" si="20"/>
        <v>0.33</v>
      </c>
      <c r="O28" s="256">
        <f t="shared" ref="O28:O42" si="22">M28*N28</f>
        <v>0.31350000000000006</v>
      </c>
      <c r="P28" s="254">
        <f t="shared" ref="P28:P42" si="23">O28*L28</f>
        <v>0.31350000000000006</v>
      </c>
      <c r="Q28" s="247">
        <f t="shared" ref="Q28:Q42" si="24">Q$20*O28</f>
        <v>20706.877070263701</v>
      </c>
      <c r="R28" s="296">
        <f t="shared" ref="R28:R42" si="25">Q28+R$20</f>
        <v>22706.877070263701</v>
      </c>
      <c r="S28" s="284"/>
      <c r="T28" s="43"/>
      <c r="U28" s="9"/>
      <c r="X28" s="4"/>
    </row>
    <row r="29" spans="2:25" ht="17.399999999999999" x14ac:dyDescent="0.3">
      <c r="B29" s="325">
        <v>1</v>
      </c>
      <c r="C29" s="325" t="s">
        <v>170</v>
      </c>
      <c r="D29" s="326">
        <v>0.76</v>
      </c>
      <c r="E29" s="326">
        <v>0.24</v>
      </c>
      <c r="F29" s="325" t="s">
        <v>171</v>
      </c>
      <c r="G29" s="327">
        <f t="shared" si="4"/>
        <v>14840.245302900361</v>
      </c>
      <c r="H29" s="327">
        <f t="shared" si="21"/>
        <v>14840.245302900361</v>
      </c>
      <c r="I29" s="297"/>
      <c r="J29" s="260"/>
      <c r="K29" s="44"/>
      <c r="L29" s="347">
        <f t="shared" si="5"/>
        <v>1</v>
      </c>
      <c r="M29" s="348">
        <f>D29+M$19</f>
        <v>0.81</v>
      </c>
      <c r="N29" s="348">
        <f t="shared" si="20"/>
        <v>0.24</v>
      </c>
      <c r="O29" s="256">
        <f t="shared" si="22"/>
        <v>0.19440000000000002</v>
      </c>
      <c r="P29" s="254">
        <f t="shared" si="23"/>
        <v>0.19440000000000002</v>
      </c>
      <c r="Q29" s="247">
        <f t="shared" si="24"/>
        <v>12840.245302900361</v>
      </c>
      <c r="R29" s="296">
        <f t="shared" si="25"/>
        <v>14840.245302900361</v>
      </c>
      <c r="S29" s="284"/>
      <c r="T29" s="43"/>
      <c r="U29" s="9"/>
      <c r="X29" s="4"/>
    </row>
    <row r="30" spans="2:25" ht="17.399999999999999" x14ac:dyDescent="0.3">
      <c r="B30" s="325">
        <v>1</v>
      </c>
      <c r="C30" s="325" t="s">
        <v>170</v>
      </c>
      <c r="D30" s="326">
        <v>0.76</v>
      </c>
      <c r="E30" s="326">
        <v>0.39</v>
      </c>
      <c r="F30" s="325" t="s">
        <v>171</v>
      </c>
      <c r="G30" s="327">
        <f t="shared" si="4"/>
        <v>22865.398617213086</v>
      </c>
      <c r="H30" s="327">
        <f t="shared" si="21"/>
        <v>22865.398617213086</v>
      </c>
      <c r="I30" s="297"/>
      <c r="J30" s="260"/>
      <c r="K30" s="44"/>
      <c r="L30" s="347">
        <f t="shared" si="5"/>
        <v>1</v>
      </c>
      <c r="M30" s="348">
        <f>D30+M$19</f>
        <v>0.81</v>
      </c>
      <c r="N30" s="348">
        <f t="shared" si="20"/>
        <v>0.39</v>
      </c>
      <c r="O30" s="256">
        <f t="shared" si="22"/>
        <v>0.31590000000000001</v>
      </c>
      <c r="P30" s="254">
        <f t="shared" si="23"/>
        <v>0.31590000000000001</v>
      </c>
      <c r="Q30" s="247">
        <f t="shared" si="24"/>
        <v>20865.398617213086</v>
      </c>
      <c r="R30" s="296">
        <f t="shared" si="25"/>
        <v>22865.398617213086</v>
      </c>
      <c r="S30" s="284"/>
      <c r="T30" s="43"/>
      <c r="U30" s="9"/>
      <c r="X30" s="4"/>
    </row>
    <row r="31" spans="2:25" ht="17.399999999999999" x14ac:dyDescent="0.3">
      <c r="B31" s="325">
        <v>1</v>
      </c>
      <c r="C31" s="325" t="s">
        <v>170</v>
      </c>
      <c r="D31" s="326">
        <v>0.76</v>
      </c>
      <c r="E31" s="326">
        <v>0.25</v>
      </c>
      <c r="F31" s="325" t="s">
        <v>171</v>
      </c>
      <c r="G31" s="327">
        <f t="shared" si="4"/>
        <v>15375.255523854543</v>
      </c>
      <c r="H31" s="327">
        <f t="shared" si="21"/>
        <v>15375.255523854543</v>
      </c>
      <c r="I31" s="297"/>
      <c r="J31" s="260"/>
      <c r="K31" s="44"/>
      <c r="L31" s="347">
        <f t="shared" si="5"/>
        <v>1</v>
      </c>
      <c r="M31" s="348">
        <f>D31+M$19</f>
        <v>0.81</v>
      </c>
      <c r="N31" s="348">
        <f t="shared" si="20"/>
        <v>0.25</v>
      </c>
      <c r="O31" s="256">
        <f t="shared" si="22"/>
        <v>0.20250000000000001</v>
      </c>
      <c r="P31" s="254">
        <f t="shared" si="23"/>
        <v>0.20250000000000001</v>
      </c>
      <c r="Q31" s="247">
        <f t="shared" si="24"/>
        <v>13375.255523854543</v>
      </c>
      <c r="R31" s="296">
        <f t="shared" si="25"/>
        <v>15375.255523854543</v>
      </c>
      <c r="S31" s="284"/>
      <c r="T31" s="43"/>
      <c r="U31" s="9"/>
      <c r="X31" s="4"/>
    </row>
    <row r="32" spans="2:25" ht="17.399999999999999" x14ac:dyDescent="0.3">
      <c r="B32" s="325">
        <v>1</v>
      </c>
      <c r="C32" s="325" t="s">
        <v>170</v>
      </c>
      <c r="D32" s="326">
        <v>0.37</v>
      </c>
      <c r="E32" s="326">
        <v>0.45</v>
      </c>
      <c r="F32" s="325" t="s">
        <v>171</v>
      </c>
      <c r="G32" s="327">
        <f t="shared" si="4"/>
        <v>14483.571822264239</v>
      </c>
      <c r="H32" s="327">
        <f t="shared" si="21"/>
        <v>14483.571822264239</v>
      </c>
      <c r="I32" s="297"/>
      <c r="J32" s="260"/>
      <c r="K32" s="44"/>
      <c r="L32" s="349">
        <f t="shared" si="5"/>
        <v>1</v>
      </c>
      <c r="M32" s="350">
        <f>D32+M$19</f>
        <v>0.42</v>
      </c>
      <c r="N32" s="350">
        <f t="shared" si="20"/>
        <v>0.45</v>
      </c>
      <c r="O32" s="256">
        <f t="shared" si="22"/>
        <v>0.189</v>
      </c>
      <c r="P32" s="254">
        <f t="shared" si="23"/>
        <v>0.189</v>
      </c>
      <c r="Q32" s="247">
        <f t="shared" si="24"/>
        <v>12483.571822264239</v>
      </c>
      <c r="R32" s="296">
        <f t="shared" si="25"/>
        <v>14483.571822264239</v>
      </c>
      <c r="S32" s="284"/>
      <c r="T32" s="43"/>
      <c r="U32" s="9"/>
      <c r="X32" s="4"/>
    </row>
    <row r="33" spans="2:24" ht="17.399999999999999" x14ac:dyDescent="0.3">
      <c r="B33" s="325">
        <v>2</v>
      </c>
      <c r="C33" s="325" t="s">
        <v>170</v>
      </c>
      <c r="D33" s="326">
        <v>0.15</v>
      </c>
      <c r="E33" s="326">
        <v>0.72</v>
      </c>
      <c r="F33" s="325" t="s">
        <v>171</v>
      </c>
      <c r="G33" s="327">
        <f t="shared" si="4"/>
        <v>11511.292816963229</v>
      </c>
      <c r="H33" s="327">
        <f t="shared" si="21"/>
        <v>23022.585633926457</v>
      </c>
      <c r="I33" s="297"/>
      <c r="J33" s="260"/>
      <c r="K33" s="44"/>
      <c r="L33" s="44">
        <f t="shared" si="5"/>
        <v>2</v>
      </c>
      <c r="M33" s="36">
        <f>D33+M$19</f>
        <v>0.2</v>
      </c>
      <c r="N33" s="36">
        <f t="shared" si="20"/>
        <v>0.72</v>
      </c>
      <c r="O33" s="256">
        <f t="shared" si="22"/>
        <v>0.14399999999999999</v>
      </c>
      <c r="P33" s="254">
        <f t="shared" si="23"/>
        <v>0.28799999999999998</v>
      </c>
      <c r="Q33" s="247">
        <f t="shared" si="24"/>
        <v>9511.2928169632287</v>
      </c>
      <c r="R33" s="296">
        <f t="shared" si="25"/>
        <v>11511.292816963229</v>
      </c>
      <c r="S33" s="284"/>
      <c r="T33" s="43"/>
      <c r="U33" s="9"/>
      <c r="X33" s="4"/>
    </row>
    <row r="34" spans="2:24" ht="17.399999999999999" x14ac:dyDescent="0.3">
      <c r="B34" s="325">
        <v>1</v>
      </c>
      <c r="C34" s="325" t="s">
        <v>170</v>
      </c>
      <c r="D34" s="326">
        <v>0.45</v>
      </c>
      <c r="E34" s="326">
        <v>0.72</v>
      </c>
      <c r="F34" s="325" t="s">
        <v>171</v>
      </c>
      <c r="G34" s="327">
        <f t="shared" si="4"/>
        <v>25778.232042408072</v>
      </c>
      <c r="H34" s="327">
        <f t="shared" si="21"/>
        <v>25778.232042408072</v>
      </c>
      <c r="I34" s="297"/>
      <c r="J34" s="260"/>
      <c r="K34" s="44"/>
      <c r="L34" s="349">
        <f t="shared" si="5"/>
        <v>1</v>
      </c>
      <c r="M34" s="350">
        <f>D34+M$19</f>
        <v>0.5</v>
      </c>
      <c r="N34" s="350">
        <f t="shared" si="20"/>
        <v>0.72</v>
      </c>
      <c r="O34" s="256">
        <f t="shared" si="22"/>
        <v>0.36</v>
      </c>
      <c r="P34" s="254">
        <f t="shared" si="23"/>
        <v>0.36</v>
      </c>
      <c r="Q34" s="247">
        <f t="shared" si="24"/>
        <v>23778.232042408072</v>
      </c>
      <c r="R34" s="296">
        <f t="shared" si="25"/>
        <v>25778.232042408072</v>
      </c>
      <c r="S34" s="284"/>
      <c r="T34" s="43"/>
      <c r="U34" s="9"/>
      <c r="X34" s="4"/>
    </row>
    <row r="35" spans="2:24" ht="17.399999999999999" x14ac:dyDescent="0.3">
      <c r="B35" s="325">
        <v>4</v>
      </c>
      <c r="C35" s="325" t="s">
        <v>170</v>
      </c>
      <c r="D35" s="326">
        <v>0.15</v>
      </c>
      <c r="E35" s="326">
        <v>0.45</v>
      </c>
      <c r="F35" s="325" t="s">
        <v>171</v>
      </c>
      <c r="G35" s="327">
        <f t="shared" si="4"/>
        <v>7944.5580106020188</v>
      </c>
      <c r="H35" s="327">
        <f t="shared" si="21"/>
        <v>31778.232042408075</v>
      </c>
      <c r="I35" s="297"/>
      <c r="J35" s="260"/>
      <c r="K35" s="44"/>
      <c r="L35" s="349">
        <f t="shared" si="5"/>
        <v>4</v>
      </c>
      <c r="M35" s="350">
        <f>D35+M$19</f>
        <v>0.2</v>
      </c>
      <c r="N35" s="350">
        <f t="shared" si="20"/>
        <v>0.45</v>
      </c>
      <c r="O35" s="256">
        <f t="shared" si="22"/>
        <v>9.0000000000000011E-2</v>
      </c>
      <c r="P35" s="254">
        <f t="shared" si="23"/>
        <v>0.36000000000000004</v>
      </c>
      <c r="Q35" s="247">
        <f t="shared" si="24"/>
        <v>5944.5580106020188</v>
      </c>
      <c r="R35" s="296">
        <f t="shared" si="25"/>
        <v>7944.5580106020188</v>
      </c>
      <c r="S35" s="284"/>
      <c r="T35" s="43"/>
      <c r="U35" s="9"/>
      <c r="X35" s="4"/>
    </row>
    <row r="36" spans="2:24" ht="17.399999999999999" x14ac:dyDescent="0.3">
      <c r="B36" s="325">
        <v>1</v>
      </c>
      <c r="C36" s="325" t="s">
        <v>170</v>
      </c>
      <c r="D36" s="326">
        <v>0.76</v>
      </c>
      <c r="E36" s="326">
        <v>0.24</v>
      </c>
      <c r="F36" s="325" t="s">
        <v>171</v>
      </c>
      <c r="G36" s="327">
        <f t="shared" si="4"/>
        <v>14840.245302900361</v>
      </c>
      <c r="H36" s="327">
        <f t="shared" si="21"/>
        <v>14840.245302900361</v>
      </c>
      <c r="I36" s="297"/>
      <c r="J36" s="260"/>
      <c r="K36" s="44"/>
      <c r="L36" s="44">
        <f t="shared" si="5"/>
        <v>1</v>
      </c>
      <c r="M36" s="36">
        <f>D36+M$19</f>
        <v>0.81</v>
      </c>
      <c r="N36" s="36">
        <f t="shared" si="20"/>
        <v>0.24</v>
      </c>
      <c r="O36" s="256">
        <f t="shared" si="22"/>
        <v>0.19440000000000002</v>
      </c>
      <c r="P36" s="254">
        <f t="shared" si="23"/>
        <v>0.19440000000000002</v>
      </c>
      <c r="Q36" s="247">
        <f t="shared" si="24"/>
        <v>12840.245302900361</v>
      </c>
      <c r="R36" s="296">
        <f t="shared" si="25"/>
        <v>14840.245302900361</v>
      </c>
      <c r="S36" s="284"/>
      <c r="T36" s="43"/>
      <c r="U36" s="9"/>
      <c r="X36" s="4"/>
    </row>
    <row r="37" spans="2:24" ht="17.399999999999999" x14ac:dyDescent="0.3">
      <c r="B37" s="325">
        <v>1</v>
      </c>
      <c r="C37" s="325" t="s">
        <v>170</v>
      </c>
      <c r="D37" s="326">
        <v>0.76</v>
      </c>
      <c r="E37" s="326">
        <v>0.48</v>
      </c>
      <c r="F37" s="325" t="s">
        <v>171</v>
      </c>
      <c r="G37" s="327">
        <f t="shared" si="4"/>
        <v>27680.490605800722</v>
      </c>
      <c r="H37" s="327">
        <f t="shared" si="21"/>
        <v>27680.490605800722</v>
      </c>
      <c r="I37" s="297"/>
      <c r="J37" s="260"/>
      <c r="K37" s="44"/>
      <c r="L37" s="44">
        <f t="shared" si="5"/>
        <v>1</v>
      </c>
      <c r="M37" s="36">
        <f>D37+M$19</f>
        <v>0.81</v>
      </c>
      <c r="N37" s="36">
        <f t="shared" si="20"/>
        <v>0.48</v>
      </c>
      <c r="O37" s="256">
        <f t="shared" si="22"/>
        <v>0.38880000000000003</v>
      </c>
      <c r="P37" s="254">
        <f t="shared" si="23"/>
        <v>0.38880000000000003</v>
      </c>
      <c r="Q37" s="247">
        <f t="shared" si="24"/>
        <v>25680.490605800722</v>
      </c>
      <c r="R37" s="296">
        <f t="shared" si="25"/>
        <v>27680.490605800722</v>
      </c>
      <c r="S37" s="284"/>
      <c r="T37" s="43"/>
      <c r="U37" s="9"/>
      <c r="X37" s="4"/>
    </row>
    <row r="38" spans="2:24" ht="17.399999999999999" x14ac:dyDescent="0.3">
      <c r="B38" s="325">
        <v>4</v>
      </c>
      <c r="C38" s="325" t="s">
        <v>170</v>
      </c>
      <c r="D38" s="326">
        <v>0.9</v>
      </c>
      <c r="E38" s="326">
        <v>0.45</v>
      </c>
      <c r="F38" s="325" t="s">
        <v>171</v>
      </c>
      <c r="G38" s="327">
        <f t="shared" si="4"/>
        <v>30236.650550359591</v>
      </c>
      <c r="H38" s="327">
        <f t="shared" si="21"/>
        <v>120946.60220143836</v>
      </c>
      <c r="I38" s="297"/>
      <c r="J38" s="260"/>
      <c r="K38" s="44"/>
      <c r="L38" s="331">
        <f t="shared" si="5"/>
        <v>4</v>
      </c>
      <c r="M38" s="344">
        <f>D38+M$19</f>
        <v>0.95000000000000007</v>
      </c>
      <c r="N38" s="344">
        <f t="shared" si="20"/>
        <v>0.45</v>
      </c>
      <c r="O38" s="256">
        <f t="shared" si="22"/>
        <v>0.42750000000000005</v>
      </c>
      <c r="P38" s="254">
        <f t="shared" si="23"/>
        <v>1.7100000000000002</v>
      </c>
      <c r="Q38" s="247">
        <f t="shared" si="24"/>
        <v>28236.650550359591</v>
      </c>
      <c r="R38" s="296">
        <f t="shared" si="25"/>
        <v>30236.650550359591</v>
      </c>
      <c r="S38" s="284"/>
      <c r="T38" s="43"/>
      <c r="U38" s="9"/>
      <c r="X38" s="4"/>
    </row>
    <row r="39" spans="2:24" ht="17.399999999999999" x14ac:dyDescent="0.3">
      <c r="B39" s="325">
        <v>2</v>
      </c>
      <c r="C39" s="325" t="s">
        <v>170</v>
      </c>
      <c r="D39" s="326">
        <v>0.9</v>
      </c>
      <c r="E39" s="326">
        <v>0.46500000000000002</v>
      </c>
      <c r="F39" s="325" t="s">
        <v>171</v>
      </c>
      <c r="G39" s="327">
        <f t="shared" si="4"/>
        <v>31177.872235371575</v>
      </c>
      <c r="H39" s="327">
        <f t="shared" si="21"/>
        <v>62355.74447074315</v>
      </c>
      <c r="I39" s="297"/>
      <c r="J39" s="260"/>
      <c r="K39" s="44"/>
      <c r="L39" s="331">
        <f t="shared" si="5"/>
        <v>2</v>
      </c>
      <c r="M39" s="344">
        <f>D39+M$19</f>
        <v>0.95000000000000007</v>
      </c>
      <c r="N39" s="344">
        <f t="shared" si="20"/>
        <v>0.46500000000000002</v>
      </c>
      <c r="O39" s="256">
        <f t="shared" si="22"/>
        <v>0.44175000000000003</v>
      </c>
      <c r="P39" s="254">
        <f t="shared" si="23"/>
        <v>0.88350000000000006</v>
      </c>
      <c r="Q39" s="247">
        <f t="shared" si="24"/>
        <v>29177.872235371575</v>
      </c>
      <c r="R39" s="296">
        <f t="shared" si="25"/>
        <v>31177.872235371575</v>
      </c>
      <c r="S39" s="284"/>
      <c r="T39" s="43"/>
      <c r="U39" s="9"/>
      <c r="X39" s="4"/>
    </row>
    <row r="40" spans="2:24" ht="17.399999999999999" x14ac:dyDescent="0.3">
      <c r="B40" s="325">
        <v>2</v>
      </c>
      <c r="C40" s="325" t="s">
        <v>170</v>
      </c>
      <c r="D40" s="326">
        <v>0.9</v>
      </c>
      <c r="E40" s="326">
        <v>0.34</v>
      </c>
      <c r="F40" s="325" t="s">
        <v>171</v>
      </c>
      <c r="G40" s="327">
        <f t="shared" si="4"/>
        <v>23334.358193605025</v>
      </c>
      <c r="H40" s="327">
        <f t="shared" si="21"/>
        <v>46668.71638721005</v>
      </c>
      <c r="I40" s="297"/>
      <c r="J40" s="260"/>
      <c r="K40" s="44"/>
      <c r="L40" s="345">
        <f t="shared" si="5"/>
        <v>2</v>
      </c>
      <c r="M40" s="346">
        <f>D40+M$19</f>
        <v>0.95000000000000007</v>
      </c>
      <c r="N40" s="346">
        <f t="shared" si="20"/>
        <v>0.34</v>
      </c>
      <c r="O40" s="256">
        <f t="shared" si="22"/>
        <v>0.32300000000000006</v>
      </c>
      <c r="P40" s="254">
        <f t="shared" si="23"/>
        <v>0.64600000000000013</v>
      </c>
      <c r="Q40" s="247">
        <f t="shared" si="24"/>
        <v>21334.358193605025</v>
      </c>
      <c r="R40" s="296">
        <f t="shared" si="25"/>
        <v>23334.358193605025</v>
      </c>
      <c r="S40" s="284"/>
      <c r="T40" s="43"/>
      <c r="U40" s="9"/>
      <c r="X40" s="4"/>
    </row>
    <row r="41" spans="2:24" ht="17.399999999999999" x14ac:dyDescent="0.3">
      <c r="B41" s="325">
        <v>3</v>
      </c>
      <c r="C41" s="325" t="s">
        <v>170</v>
      </c>
      <c r="D41" s="326">
        <v>0.9</v>
      </c>
      <c r="E41" s="326">
        <v>0.48499999999999999</v>
      </c>
      <c r="F41" s="325" t="s">
        <v>171</v>
      </c>
      <c r="G41" s="327">
        <f t="shared" si="4"/>
        <v>32432.834482054222</v>
      </c>
      <c r="H41" s="327">
        <f t="shared" si="21"/>
        <v>97298.503446162664</v>
      </c>
      <c r="I41" s="297"/>
      <c r="J41" s="260"/>
      <c r="K41" s="44"/>
      <c r="L41" s="345">
        <f t="shared" si="5"/>
        <v>3</v>
      </c>
      <c r="M41" s="346">
        <f>D41+M$19</f>
        <v>0.95000000000000007</v>
      </c>
      <c r="N41" s="346">
        <f t="shared" si="20"/>
        <v>0.48499999999999999</v>
      </c>
      <c r="O41" s="256">
        <f t="shared" si="22"/>
        <v>0.46074999999999999</v>
      </c>
      <c r="P41" s="254">
        <f t="shared" si="23"/>
        <v>1.38225</v>
      </c>
      <c r="Q41" s="247">
        <f t="shared" si="24"/>
        <v>30432.834482054222</v>
      </c>
      <c r="R41" s="296">
        <f t="shared" si="25"/>
        <v>32432.834482054222</v>
      </c>
      <c r="S41" s="284"/>
      <c r="T41" s="43"/>
      <c r="U41" s="9"/>
      <c r="X41" s="4"/>
    </row>
    <row r="42" spans="2:24" ht="17.399999999999999" x14ac:dyDescent="0.3">
      <c r="B42" s="325">
        <v>1</v>
      </c>
      <c r="C42" s="325" t="s">
        <v>170</v>
      </c>
      <c r="D42" s="326">
        <v>0.9</v>
      </c>
      <c r="E42" s="326">
        <v>0.25</v>
      </c>
      <c r="F42" s="325" t="s">
        <v>171</v>
      </c>
      <c r="G42" s="327">
        <f t="shared" si="4"/>
        <v>17687.028083533107</v>
      </c>
      <c r="H42" s="327">
        <f t="shared" si="21"/>
        <v>17687.028083533107</v>
      </c>
      <c r="I42" s="297"/>
      <c r="J42" s="260"/>
      <c r="K42" s="44"/>
      <c r="L42" s="345">
        <f t="shared" si="5"/>
        <v>1</v>
      </c>
      <c r="M42" s="346">
        <f>D42+M$19</f>
        <v>0.95000000000000007</v>
      </c>
      <c r="N42" s="346">
        <f t="shared" si="20"/>
        <v>0.25</v>
      </c>
      <c r="O42" s="256">
        <f t="shared" si="22"/>
        <v>0.23750000000000002</v>
      </c>
      <c r="P42" s="254">
        <f t="shared" si="23"/>
        <v>0.23750000000000002</v>
      </c>
      <c r="Q42" s="247">
        <f t="shared" si="24"/>
        <v>15687.028083533105</v>
      </c>
      <c r="R42" s="296">
        <f t="shared" si="25"/>
        <v>17687.028083533107</v>
      </c>
      <c r="S42" s="284"/>
      <c r="T42" s="43"/>
      <c r="U42" s="9"/>
      <c r="X42" s="4"/>
    </row>
    <row r="43" spans="2:24" ht="17.399999999999999" x14ac:dyDescent="0.3">
      <c r="B43" s="278"/>
      <c r="C43" s="278"/>
      <c r="D43" s="279"/>
      <c r="E43" s="279"/>
      <c r="F43" s="278"/>
      <c r="G43" s="297"/>
      <c r="H43" s="297"/>
      <c r="I43" s="297"/>
      <c r="J43" s="260"/>
      <c r="K43" s="44"/>
      <c r="L43" s="44"/>
      <c r="M43" s="36"/>
      <c r="N43" s="36"/>
      <c r="O43" s="256"/>
      <c r="P43" s="254"/>
      <c r="Q43" s="247"/>
      <c r="R43" s="296"/>
      <c r="S43" s="284"/>
      <c r="T43" s="43"/>
      <c r="U43" s="9"/>
      <c r="X43" s="4"/>
    </row>
    <row r="44" spans="2:24" ht="18" thickBot="1" x14ac:dyDescent="0.35">
      <c r="B44" s="278"/>
      <c r="C44" s="278"/>
      <c r="D44" s="279"/>
      <c r="E44" s="279"/>
      <c r="F44" s="278"/>
      <c r="G44" s="260"/>
      <c r="H44" s="298"/>
      <c r="I44" s="300"/>
      <c r="J44" s="229"/>
      <c r="K44" s="44"/>
      <c r="L44" s="44"/>
      <c r="M44" s="36"/>
      <c r="N44" s="36"/>
      <c r="O44" s="256"/>
      <c r="P44" s="254"/>
      <c r="Q44" s="247"/>
      <c r="R44" s="253"/>
      <c r="S44" s="284"/>
      <c r="T44" s="14"/>
      <c r="U44" s="9"/>
      <c r="X44" s="4"/>
    </row>
    <row r="45" spans="2:24" ht="17.399999999999999" x14ac:dyDescent="0.3">
      <c r="B45" s="278"/>
      <c r="C45" s="278"/>
      <c r="D45" s="279"/>
      <c r="E45" s="279"/>
      <c r="F45" s="278"/>
      <c r="G45" s="301" t="s">
        <v>28</v>
      </c>
      <c r="H45" s="328">
        <f>SUM(H21:H44)</f>
        <v>756677.679</v>
      </c>
      <c r="I45" s="299"/>
      <c r="J45" s="260"/>
      <c r="K45" s="315"/>
      <c r="L45" s="44"/>
      <c r="M45" s="36"/>
      <c r="N45" s="36"/>
      <c r="O45" s="256"/>
      <c r="P45" s="254"/>
      <c r="Q45" s="247"/>
      <c r="R45" s="253"/>
      <c r="S45" s="284"/>
      <c r="T45" s="43">
        <f>SUM(T21:T44)</f>
        <v>1.6</v>
      </c>
      <c r="U45" s="9"/>
      <c r="X45" s="4"/>
    </row>
    <row r="46" spans="2:24" ht="17.399999999999999" x14ac:dyDescent="0.3">
      <c r="B46" s="272"/>
      <c r="C46" s="275"/>
      <c r="D46" s="276"/>
      <c r="E46" s="276"/>
      <c r="F46" s="277"/>
      <c r="G46" s="283" t="s">
        <v>51</v>
      </c>
      <c r="H46" s="329"/>
      <c r="I46" s="299"/>
      <c r="J46" s="260"/>
      <c r="K46" s="315"/>
      <c r="L46" s="44"/>
      <c r="M46" s="36">
        <f>SUM(M21:M23)</f>
        <v>3.1999999999999997</v>
      </c>
      <c r="N46" s="12"/>
      <c r="O46" s="12"/>
      <c r="P46" s="248">
        <f>SUM(P21:P44)</f>
        <v>10.365950000000002</v>
      </c>
      <c r="Q46" s="14"/>
      <c r="R46" s="12"/>
      <c r="S46" s="235">
        <f>SUM(S21:S45)</f>
        <v>4.8049999999999997</v>
      </c>
      <c r="T46" s="43"/>
      <c r="U46" s="9"/>
      <c r="X46" s="4"/>
    </row>
    <row r="47" spans="2:24" ht="18" thickBot="1" x14ac:dyDescent="0.35">
      <c r="B47" s="270"/>
      <c r="C47" s="274"/>
      <c r="D47" s="267"/>
      <c r="E47" s="267"/>
      <c r="F47" s="268"/>
      <c r="G47" s="273" t="s">
        <v>6</v>
      </c>
      <c r="H47" s="330">
        <f>H45+H46</f>
        <v>756677.679</v>
      </c>
      <c r="I47" s="299"/>
      <c r="J47" s="260"/>
      <c r="K47" s="315"/>
      <c r="L47" s="44"/>
      <c r="M47" s="36"/>
      <c r="N47" s="12"/>
      <c r="O47" s="12"/>
      <c r="P47" s="248">
        <f>P46</f>
        <v>10.365950000000002</v>
      </c>
      <c r="Q47" s="14"/>
      <c r="R47" s="12"/>
      <c r="S47" s="235"/>
      <c r="T47" s="43"/>
      <c r="U47" s="9"/>
      <c r="X47" s="4"/>
    </row>
    <row r="48" spans="2:24" ht="17.399999999999999" x14ac:dyDescent="0.3">
      <c r="B48" s="270"/>
      <c r="C48" s="266"/>
      <c r="D48" s="267"/>
      <c r="E48" s="267"/>
      <c r="F48" s="268"/>
      <c r="J48" s="260"/>
      <c r="K48" s="315"/>
      <c r="L48" s="44"/>
      <c r="M48" s="14"/>
      <c r="N48" s="12"/>
      <c r="O48" s="12"/>
      <c r="P48" s="36">
        <f>P47*20%</f>
        <v>2.0731900000000003</v>
      </c>
      <c r="Q48" s="36" t="s">
        <v>129</v>
      </c>
      <c r="R48" s="39"/>
      <c r="S48" s="236"/>
      <c r="T48" s="14"/>
      <c r="U48" s="9"/>
      <c r="X48" s="4"/>
    </row>
    <row r="49" spans="1:24" ht="17.399999999999999" x14ac:dyDescent="0.35">
      <c r="B49" s="264"/>
      <c r="C49" s="226"/>
      <c r="D49" s="226"/>
      <c r="E49" s="229"/>
      <c r="F49" s="230"/>
      <c r="G49" s="226"/>
      <c r="H49" s="269"/>
      <c r="I49" s="269"/>
      <c r="J49" s="260"/>
      <c r="K49" s="44"/>
      <c r="L49" s="44"/>
      <c r="M49" s="14"/>
      <c r="N49" s="12"/>
      <c r="O49" s="12"/>
      <c r="P49" s="43">
        <f>P47+P48</f>
        <v>12.439140000000002</v>
      </c>
      <c r="Q49" s="14"/>
      <c r="R49" s="14"/>
      <c r="S49" s="234"/>
      <c r="T49" s="14"/>
      <c r="U49" s="9"/>
      <c r="X49" s="4"/>
    </row>
    <row r="50" spans="1:24" ht="17.399999999999999" x14ac:dyDescent="0.35">
      <c r="B50" s="231"/>
      <c r="C50" s="232"/>
      <c r="D50" s="233"/>
      <c r="E50" s="231"/>
      <c r="F50" s="226"/>
      <c r="G50" s="226"/>
      <c r="I50" s="269"/>
      <c r="J50" s="260"/>
      <c r="K50" s="44"/>
      <c r="L50" s="44"/>
      <c r="M50" s="14"/>
      <c r="N50" s="14"/>
      <c r="O50" s="14"/>
      <c r="P50" s="14"/>
      <c r="Q50" s="14"/>
      <c r="R50" s="14"/>
      <c r="S50" s="236"/>
      <c r="T50" s="14"/>
      <c r="U50" s="288" t="s">
        <v>21</v>
      </c>
      <c r="V50" s="285" t="s">
        <v>149</v>
      </c>
      <c r="W50" s="289">
        <v>44971</v>
      </c>
      <c r="X50" s="290"/>
    </row>
    <row r="51" spans="1:24" ht="17.399999999999999" x14ac:dyDescent="0.35">
      <c r="B51" s="226"/>
      <c r="C51" s="226"/>
      <c r="D51" s="226"/>
      <c r="E51" s="226"/>
      <c r="F51" s="226"/>
      <c r="G51" s="226"/>
      <c r="J51" s="260"/>
      <c r="K51" s="44"/>
      <c r="L51" s="44"/>
      <c r="M51" s="36">
        <f>P49</f>
        <v>12.439140000000002</v>
      </c>
      <c r="N51" s="12">
        <v>3500</v>
      </c>
      <c r="O51" s="12">
        <f t="shared" ref="O51:O56" si="26">M51*N51</f>
        <v>43536.990000000005</v>
      </c>
      <c r="P51" s="14" t="s">
        <v>21</v>
      </c>
      <c r="Q51" s="14"/>
      <c r="R51" s="14"/>
      <c r="S51" s="237"/>
      <c r="T51" s="14"/>
      <c r="U51" s="288" t="s">
        <v>150</v>
      </c>
      <c r="V51" s="285">
        <v>3625</v>
      </c>
      <c r="W51" s="56" t="s">
        <v>151</v>
      </c>
      <c r="X51" s="290"/>
    </row>
    <row r="52" spans="1:24" ht="17.399999999999999" x14ac:dyDescent="0.35">
      <c r="A52" s="226"/>
      <c r="B52" s="226"/>
      <c r="C52" s="226"/>
      <c r="D52" s="226"/>
      <c r="E52" s="226"/>
      <c r="F52" s="226"/>
      <c r="G52" s="226"/>
      <c r="H52" s="226"/>
      <c r="J52" s="260"/>
      <c r="K52" s="44"/>
      <c r="L52" s="44"/>
      <c r="M52" s="244">
        <v>3.5</v>
      </c>
      <c r="N52" s="12">
        <v>40000</v>
      </c>
      <c r="O52" s="12">
        <f t="shared" si="26"/>
        <v>140000</v>
      </c>
      <c r="P52" s="36" t="s">
        <v>169</v>
      </c>
      <c r="Q52" s="39"/>
      <c r="R52" s="14"/>
      <c r="S52" s="236"/>
      <c r="T52" s="14"/>
      <c r="U52" s="288"/>
      <c r="V52" s="56">
        <v>906.25</v>
      </c>
      <c r="W52" s="56" t="s">
        <v>152</v>
      </c>
      <c r="X52" s="290"/>
    </row>
    <row r="53" spans="1:24" s="226" customFormat="1" ht="17.399999999999999" x14ac:dyDescent="0.35">
      <c r="B53" s="21" t="s">
        <v>148</v>
      </c>
      <c r="J53" s="257"/>
      <c r="K53" s="228"/>
      <c r="L53" s="245"/>
      <c r="M53" s="14"/>
      <c r="N53" s="245">
        <v>80000</v>
      </c>
      <c r="O53" s="12">
        <f t="shared" si="26"/>
        <v>0</v>
      </c>
      <c r="P53" s="36" t="s">
        <v>30</v>
      </c>
      <c r="Q53" s="39"/>
      <c r="S53" s="236"/>
      <c r="T53" s="251"/>
      <c r="U53" s="56"/>
      <c r="V53" s="56">
        <f>V52*20%</f>
        <v>181.25</v>
      </c>
      <c r="W53" s="290" t="s">
        <v>153</v>
      </c>
      <c r="X53" s="56"/>
    </row>
    <row r="54" spans="1:24" s="226" customFormat="1" ht="17.399999999999999" x14ac:dyDescent="0.35">
      <c r="B54" s="21" t="s">
        <v>164</v>
      </c>
      <c r="C54"/>
      <c r="D54"/>
      <c r="E54"/>
      <c r="F54"/>
      <c r="J54" s="257">
        <v>46000</v>
      </c>
      <c r="K54" s="228"/>
      <c r="L54" s="245"/>
      <c r="M54" s="14">
        <v>5</v>
      </c>
      <c r="N54" s="245">
        <v>28500</v>
      </c>
      <c r="O54" s="12">
        <f t="shared" si="26"/>
        <v>142500</v>
      </c>
      <c r="P54" s="14" t="s">
        <v>139</v>
      </c>
      <c r="Q54" s="17"/>
      <c r="S54" s="234"/>
      <c r="T54" s="251"/>
      <c r="U54" s="56"/>
      <c r="V54" s="56">
        <f>V52+V53</f>
        <v>1087.5</v>
      </c>
      <c r="W54" s="290" t="s">
        <v>154</v>
      </c>
      <c r="X54" s="56"/>
    </row>
    <row r="55" spans="1:24" s="226" customFormat="1" ht="17.399999999999999" x14ac:dyDescent="0.35">
      <c r="B55" s="26" t="s">
        <v>124</v>
      </c>
      <c r="C55"/>
      <c r="D55"/>
      <c r="E55"/>
      <c r="F55" s="225" t="s">
        <v>15</v>
      </c>
      <c r="J55" s="257">
        <f>J54/1.19</f>
        <v>38655.462184873948</v>
      </c>
      <c r="K55" s="255"/>
      <c r="L55" s="245"/>
      <c r="M55" s="244"/>
      <c r="N55" s="245">
        <v>900</v>
      </c>
      <c r="O55" s="12">
        <f t="shared" si="26"/>
        <v>0</v>
      </c>
      <c r="P55" s="14" t="s">
        <v>32</v>
      </c>
      <c r="Q55" s="14"/>
      <c r="R55" s="226">
        <v>1.52</v>
      </c>
      <c r="S55" s="234"/>
      <c r="T55" s="234"/>
    </row>
    <row r="56" spans="1:24" s="226" customFormat="1" ht="17.399999999999999" x14ac:dyDescent="0.35">
      <c r="J56" s="282"/>
      <c r="K56" s="255"/>
      <c r="L56" s="245"/>
      <c r="M56" s="261"/>
      <c r="N56" s="12">
        <v>1500</v>
      </c>
      <c r="O56" s="12">
        <f t="shared" si="26"/>
        <v>0</v>
      </c>
      <c r="P56" s="14" t="s">
        <v>22</v>
      </c>
      <c r="Q56" s="14"/>
      <c r="R56">
        <v>2.44</v>
      </c>
      <c r="S56"/>
      <c r="T56" s="234"/>
      <c r="X56" s="227"/>
    </row>
    <row r="57" spans="1:24" s="226" customFormat="1" ht="17.399999999999999" x14ac:dyDescent="0.35">
      <c r="K57" s="255"/>
      <c r="L57" s="245"/>
      <c r="M57" s="14"/>
      <c r="N57" s="12"/>
      <c r="O57" s="12">
        <f>SUM(O51:O56)</f>
        <v>326036.99</v>
      </c>
      <c r="P57" s="36" t="s">
        <v>23</v>
      </c>
      <c r="Q57" s="14"/>
      <c r="R57">
        <f>R55*R56</f>
        <v>3.7088000000000001</v>
      </c>
      <c r="S57"/>
      <c r="T57" s="234"/>
      <c r="X57" s="227"/>
    </row>
    <row r="58" spans="1:24" s="226" customFormat="1" ht="17.399999999999999" x14ac:dyDescent="0.35">
      <c r="L58" s="245"/>
      <c r="M58" s="249" t="s">
        <v>33</v>
      </c>
      <c r="N58" s="12"/>
      <c r="O58" s="250">
        <f>O57*2.1</f>
        <v>684677.679</v>
      </c>
      <c r="P58" s="14" t="s">
        <v>138</v>
      </c>
      <c r="Q58" s="14"/>
      <c r="R58" s="37">
        <f>P49/R57</f>
        <v>3.3539527610008633</v>
      </c>
      <c r="S58"/>
      <c r="T58" s="252"/>
    </row>
    <row r="59" spans="1:24" s="226" customFormat="1" ht="17.399999999999999" x14ac:dyDescent="0.35">
      <c r="G59"/>
      <c r="H59" s="255"/>
      <c r="I59" s="255"/>
      <c r="J59" s="255"/>
      <c r="L59" s="245"/>
      <c r="M59" s="14"/>
      <c r="N59" s="12"/>
      <c r="O59" s="12">
        <f>O58/P47</f>
        <v>66050.644562244648</v>
      </c>
      <c r="P59" s="42" t="s">
        <v>24</v>
      </c>
      <c r="Q59" s="14"/>
      <c r="R59" s="14"/>
      <c r="S59"/>
      <c r="T59" s="234"/>
      <c r="U59" s="56" t="s">
        <v>155</v>
      </c>
      <c r="V59" s="285">
        <v>43650</v>
      </c>
    </row>
    <row r="60" spans="1:24" s="226" customFormat="1" ht="17.399999999999999" x14ac:dyDescent="0.35">
      <c r="G60"/>
      <c r="L60" s="245"/>
      <c r="M60" s="13"/>
      <c r="N60" s="14"/>
      <c r="O60" s="17">
        <f>O58/O57</f>
        <v>2.1</v>
      </c>
      <c r="P60" s="15"/>
      <c r="Q60"/>
      <c r="R60"/>
      <c r="S60"/>
      <c r="T60" s="234"/>
      <c r="U60" s="56" t="s">
        <v>157</v>
      </c>
      <c r="V60" s="286" t="s">
        <v>156</v>
      </c>
      <c r="W60" s="56">
        <v>2.4</v>
      </c>
    </row>
    <row r="61" spans="1:24" s="226" customFormat="1" ht="17.399999999999999" x14ac:dyDescent="0.35">
      <c r="D61" s="279"/>
      <c r="E61" s="279"/>
      <c r="F61" s="278"/>
      <c r="G61" s="316"/>
      <c r="H61" s="323"/>
      <c r="L61" s="12"/>
      <c r="T61" s="234"/>
      <c r="U61" s="56" t="s">
        <v>158</v>
      </c>
      <c r="V61" s="287">
        <v>395.37</v>
      </c>
    </row>
    <row r="62" spans="1:24" s="226" customFormat="1" ht="17.399999999999999" x14ac:dyDescent="0.35">
      <c r="B62"/>
      <c r="C62" s="324"/>
      <c r="D62" s="279"/>
      <c r="E62" s="279"/>
      <c r="F62" s="278"/>
      <c r="G62" s="316"/>
      <c r="H62" s="323"/>
      <c r="L62" s="12"/>
      <c r="T62" s="234"/>
      <c r="U62" s="56" t="s">
        <v>153</v>
      </c>
      <c r="V62" s="56">
        <v>474.45</v>
      </c>
    </row>
    <row r="63" spans="1:24" ht="14.4" customHeight="1" x14ac:dyDescent="0.35">
      <c r="D63" s="279"/>
      <c r="E63" s="279"/>
      <c r="F63" s="278"/>
      <c r="G63" s="316"/>
      <c r="H63" s="323"/>
      <c r="L63" s="12"/>
      <c r="U63" s="56"/>
      <c r="V63" s="56"/>
    </row>
    <row r="64" spans="1:24" ht="17.399999999999999" x14ac:dyDescent="0.35">
      <c r="D64" s="279"/>
      <c r="E64" s="279"/>
      <c r="F64" s="278"/>
      <c r="G64" s="316"/>
      <c r="H64" s="323"/>
      <c r="L64" s="245"/>
    </row>
    <row r="65" spans="4:20" ht="17.399999999999999" x14ac:dyDescent="0.35">
      <c r="D65" s="279"/>
      <c r="E65" s="279"/>
      <c r="F65" s="278"/>
      <c r="G65" s="316"/>
      <c r="H65" s="323"/>
      <c r="L65" s="245"/>
      <c r="T65" s="265"/>
    </row>
    <row r="66" spans="4:20" ht="17.399999999999999" x14ac:dyDescent="0.35">
      <c r="D66" s="279"/>
      <c r="E66" s="279"/>
      <c r="F66" s="278"/>
      <c r="G66" s="316"/>
      <c r="H66" s="323"/>
      <c r="L66" s="245"/>
    </row>
    <row r="67" spans="4:20" ht="15" customHeight="1" x14ac:dyDescent="0.35">
      <c r="D67" s="279"/>
      <c r="E67" s="279"/>
      <c r="F67" s="278"/>
      <c r="G67" s="316"/>
      <c r="H67" s="323"/>
    </row>
    <row r="68" spans="4:20" ht="17.399999999999999" x14ac:dyDescent="0.35">
      <c r="D68" s="279"/>
      <c r="E68" s="279"/>
      <c r="F68" s="278"/>
      <c r="G68" s="316"/>
      <c r="H68" s="323"/>
    </row>
    <row r="69" spans="4:20" ht="17.399999999999999" x14ac:dyDescent="0.35">
      <c r="D69" s="279"/>
      <c r="E69" s="279"/>
      <c r="F69" s="278"/>
      <c r="G69" s="316"/>
      <c r="H69" s="323"/>
      <c r="O69">
        <v>40935</v>
      </c>
      <c r="P69" t="s">
        <v>16</v>
      </c>
      <c r="Q69" t="s">
        <v>26</v>
      </c>
    </row>
    <row r="70" spans="4:20" ht="17.399999999999999" x14ac:dyDescent="0.35">
      <c r="D70" s="279"/>
      <c r="E70" s="279"/>
      <c r="F70" s="278"/>
      <c r="G70" s="316"/>
      <c r="H70" s="323"/>
    </row>
    <row r="71" spans="4:20" ht="17.399999999999999" x14ac:dyDescent="0.35">
      <c r="D71" s="279"/>
      <c r="E71" s="279"/>
      <c r="F71" s="278"/>
      <c r="G71" s="316"/>
      <c r="H71" s="323"/>
      <c r="O71" s="51"/>
      <c r="P71" s="51"/>
    </row>
    <row r="72" spans="4:20" ht="17.399999999999999" x14ac:dyDescent="0.35">
      <c r="D72" s="279"/>
      <c r="E72" s="279"/>
      <c r="F72" s="278"/>
      <c r="G72" s="316"/>
      <c r="H72" s="323"/>
      <c r="S72" s="18"/>
      <c r="T72" s="18"/>
    </row>
    <row r="73" spans="4:20" ht="17.399999999999999" x14ac:dyDescent="0.35">
      <c r="D73" s="279"/>
      <c r="E73" s="279"/>
      <c r="F73" s="278"/>
      <c r="G73" s="316"/>
      <c r="H73" s="323"/>
      <c r="S73" s="18"/>
      <c r="T73" s="18"/>
    </row>
    <row r="74" spans="4:20" ht="17.399999999999999" x14ac:dyDescent="0.35">
      <c r="D74" s="279"/>
      <c r="E74" s="279"/>
      <c r="F74" s="278"/>
      <c r="G74" s="316"/>
      <c r="H74" s="323"/>
      <c r="S74" s="18"/>
      <c r="T74" s="18"/>
    </row>
    <row r="75" spans="4:20" x14ac:dyDescent="0.3">
      <c r="S75" s="18"/>
      <c r="T75" s="18"/>
    </row>
    <row r="76" spans="4:20" x14ac:dyDescent="0.3">
      <c r="S76" s="18"/>
      <c r="T76" s="18"/>
    </row>
    <row r="77" spans="4:20" x14ac:dyDescent="0.3">
      <c r="S77" s="18"/>
      <c r="T77" s="18"/>
    </row>
    <row r="78" spans="4:20" x14ac:dyDescent="0.3">
      <c r="S78" s="18"/>
      <c r="T78" s="18"/>
    </row>
    <row r="79" spans="4:20" x14ac:dyDescent="0.3">
      <c r="S79" s="18"/>
      <c r="T79" s="18"/>
    </row>
    <row r="80" spans="4:20" x14ac:dyDescent="0.3">
      <c r="S80" s="18"/>
      <c r="T80" s="18"/>
    </row>
    <row r="83" spans="3:15" x14ac:dyDescent="0.3">
      <c r="O83" s="40"/>
    </row>
    <row r="84" spans="3:15" x14ac:dyDescent="0.3">
      <c r="O84" s="40"/>
    </row>
    <row r="85" spans="3:15" x14ac:dyDescent="0.3">
      <c r="O85" s="6"/>
    </row>
    <row r="86" spans="3:15" x14ac:dyDescent="0.3">
      <c r="O86" s="6"/>
    </row>
    <row r="94" spans="3:15" x14ac:dyDescent="0.3">
      <c r="C94" t="s">
        <v>145</v>
      </c>
    </row>
    <row r="95" spans="3:15" x14ac:dyDescent="0.3">
      <c r="C95" t="s">
        <v>144</v>
      </c>
    </row>
    <row r="98" spans="3:3" x14ac:dyDescent="0.3">
      <c r="C98" t="s">
        <v>144</v>
      </c>
    </row>
    <row r="175" spans="3:3" x14ac:dyDescent="0.3">
      <c r="C175" t="s">
        <v>144</v>
      </c>
    </row>
    <row r="176" spans="3:3" x14ac:dyDescent="0.3">
      <c r="C176" t="s">
        <v>146</v>
      </c>
    </row>
    <row r="177" spans="3:3" x14ac:dyDescent="0.3">
      <c r="C177" t="s">
        <v>147</v>
      </c>
    </row>
    <row r="602" spans="3:3" x14ac:dyDescent="0.3">
      <c r="C602" t="s">
        <v>144</v>
      </c>
    </row>
  </sheetData>
  <mergeCells count="2">
    <mergeCell ref="F17:H17"/>
    <mergeCell ref="B19:H19"/>
  </mergeCells>
  <phoneticPr fontId="34" type="noConversion"/>
  <hyperlinks>
    <hyperlink ref="F5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45869</v>
      </c>
    </row>
    <row r="6" spans="1:31" ht="16.2" thickBot="1" x14ac:dyDescent="0.35">
      <c r="B6" s="137" t="s">
        <v>2</v>
      </c>
      <c r="C6" s="136" t="str">
        <f>'2229'!C10</f>
        <v>MUEBLERIA VALENTINA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98</v>
      </c>
      <c r="I7" s="339"/>
      <c r="J7" s="339"/>
      <c r="K7" s="340"/>
      <c r="N7" s="72"/>
      <c r="O7" s="337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11553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7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-71842.039759903375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'2229'!H45</f>
        <v>756677.679</v>
      </c>
      <c r="E11" s="129">
        <f>D11*0.19</f>
        <v>143768.75901000001</v>
      </c>
      <c r="F11" s="128">
        <f>E11+D11</f>
        <v>900446.43801000004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34147.960240096625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203515.90027536231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16147.960240096625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553161.7787246377</v>
      </c>
      <c r="E13" s="218">
        <f>(D11/D12)-1</f>
        <v>2.7180273284603089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7147.9602400966251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-31852.039759903375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387494.27412428986</v>
      </c>
      <c r="C15" s="210" t="s">
        <v>121</v>
      </c>
      <c r="D15" s="211">
        <v>0.6</v>
      </c>
      <c r="E15" s="212">
        <f>(100%+D15)*D12</f>
        <v>325625.44044057972</v>
      </c>
      <c r="F15" s="213">
        <f>E15-D12</f>
        <v>122109.54016521742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-31852.039759903375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8147.9602400966251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'2229'!O53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'2229'!O52</f>
        <v>140000</v>
      </c>
      <c r="E19" s="120">
        <f>D19*0.19</f>
        <v>26600</v>
      </c>
      <c r="F19" s="117">
        <f>SUM(D19:E19)</f>
        <v>166600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'2229'!O51</f>
        <v>43536.990000000005</v>
      </c>
      <c r="E20" s="118">
        <f>D20*0.19</f>
        <v>8272.0281000000014</v>
      </c>
      <c r="F20" s="117">
        <f>SUM(D20:E20)</f>
        <v>51809.018100000008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183536.99</v>
      </c>
      <c r="E21" s="113">
        <f>SUM(E18:E20)</f>
        <v>34872.028100000003</v>
      </c>
      <c r="F21" s="112">
        <f>SUM(F18:F20)</f>
        <v>218409.01810000002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108896.73091000001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756677.679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183536.99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553161.7787246377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553161.7787246377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2025-08-01T01:54:11Z</cp:lastPrinted>
  <dcterms:created xsi:type="dcterms:W3CDTF">2013-03-18T13:35:42Z</dcterms:created>
  <dcterms:modified xsi:type="dcterms:W3CDTF">2025-08-01T13:13:06Z</dcterms:modified>
</cp:coreProperties>
</file>