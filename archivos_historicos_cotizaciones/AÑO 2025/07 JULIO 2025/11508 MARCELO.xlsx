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94A219F1-19FA-45DE-995F-4C16FFFA6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8" i="3"/>
  <c r="O41" i="1"/>
  <c r="L23" i="1" l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2" i="1"/>
  <c r="M22" i="1"/>
  <c r="S22" i="1" s="1"/>
  <c r="N22" i="1"/>
  <c r="L21" i="1"/>
  <c r="M21" i="1"/>
  <c r="N21" i="1"/>
  <c r="J15" i="1"/>
  <c r="J10" i="1"/>
  <c r="O22" i="1" l="1"/>
  <c r="P22" i="1" s="1"/>
  <c r="O21" i="1"/>
  <c r="P21" i="1" s="1"/>
  <c r="S21" i="1"/>
  <c r="M29" i="1"/>
  <c r="T28" i="1"/>
  <c r="K43" i="1"/>
  <c r="S30" i="1" l="1"/>
  <c r="S31" i="1" s="1"/>
  <c r="S32" i="1" s="1"/>
  <c r="S33" i="1" s="1"/>
  <c r="P29" i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9" i="1"/>
  <c r="O38" i="1"/>
  <c r="F18" i="3" l="1"/>
  <c r="O34" i="1" l="1"/>
  <c r="O40" i="1" s="1"/>
  <c r="D20" i="3" l="1"/>
  <c r="E20" i="3" s="1"/>
  <c r="E21" i="3" s="1"/>
  <c r="O42" i="1" l="1"/>
  <c r="Q20" i="1" s="1"/>
  <c r="D21" i="3"/>
  <c r="M43" i="3" s="1"/>
  <c r="F20" i="3"/>
  <c r="F21" i="3" s="1"/>
  <c r="Q22" i="1" l="1"/>
  <c r="Q23" i="1"/>
  <c r="Q24" i="1"/>
  <c r="Q25" i="1"/>
  <c r="Q21" i="1"/>
  <c r="O43" i="1"/>
  <c r="E15" i="3"/>
  <c r="G22" i="1" l="1"/>
  <c r="H22" i="1" s="1"/>
  <c r="R22" i="1"/>
  <c r="R25" i="1"/>
  <c r="H25" i="1"/>
  <c r="R24" i="1"/>
  <c r="G24" i="1"/>
  <c r="H24" i="1" s="1"/>
  <c r="R23" i="1"/>
  <c r="H23" i="1"/>
  <c r="R21" i="1"/>
  <c r="H21" i="1"/>
  <c r="F15" i="3"/>
  <c r="H28" i="1" l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<sst xmlns="http://schemas.openxmlformats.org/spreadsheetml/2006/main" count="238" uniqueCount="174">
  <si>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</si>
  <si>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</si>
  <si>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</si>
  <si>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</si>
  <si>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</si>
  <si>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</si>
  <si>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</si>
  <si>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</si>
  <si>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</si>
  <si>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</si>
  <si>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</si>
  <si>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</si>
  <si>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</si>
  <si>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</si>
  <si>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</si>
  <si>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</si>
  <si>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</si>
  <si>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</si>
  <si>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</si>
  <si>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</si>
  <si>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</si>
  <si>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</si>
  <si>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</si>
  <si>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</si>
  <si>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</si>
  <si>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</si>
  <si>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</si>
  <si>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</si>
  <si>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</si>
  <si>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</si>
  <si>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</si>
  <si>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</si>
  <si>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</si>
  <si>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</si>
  <si>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</si>
  <si>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</si>
  <si>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</si>
  <si>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</si>
  <si>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</si>
  <si>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</si>
  <si>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</si>
  <si>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</si>
  <si>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</si>
  <si>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</si>
  <si>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</si>
  <si>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</si>
  <si>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</si>
  <si>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</si>
  <si>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</si>
  <si>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</si>
  <si>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</si>
  <si>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</si>
  <si>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</si>
  <si>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</si>
  <si>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</si>
  <si>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</si>
  <si>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</si>
  <si>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</si>
  <si>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</si>
  <si>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</si>
  <si>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</si>
  <si>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</si>
  <si>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</si>
  <si>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</si>
  <si>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</si>
  <si>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</si>
  <si>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</si>
  <si>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</si>
  <si>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</si>
  <si>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</si>
  <si>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</si>
  <si>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</si>
  <si>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</si>
  <si>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</si>
  <si>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</si>
  <si>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</si>
  <si>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</si>
  <si>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</si>
  <si>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</si>
  <si>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</si>
  <si>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</si>
  <si>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</si>
  <si>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</si>
  <si>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</si>
  <si>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</si>
  <si>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</si>
  <si>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</si>
  <si>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</si>
  <si>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</si>
  <si>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</si>
  <si>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</si>
  <si>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</si>
  <si>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</si>
  <si>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</si>
  <si>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</si>
  <si>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</si>
  <si>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</si>
  <si>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</si>
  <si>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</si>
  <si>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</si>
  <si>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</si>
  <si>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</si>
  <si>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</si>
  <si>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</si>
  <si>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</si>
  <si>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</si>
  <si>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</si>
  <si>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</si>
  <si>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</si>
  <si>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</si>
  <si>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</si>
  <si>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</si>
  <si>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</si>
  <si>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</si>
  <si>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</si>
  <si>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</si>
  <si>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</si>
  <si>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</si>
  <si>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</si>
  <si>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</si>
  <si>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</si>
  <si>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</si>
  <si>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</si>
  <si>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</si>
  <si>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</si>
  <si>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</si>
  <si>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</si>
  <si>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</si>
  <si>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</si>
  <si>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</si>
  <si>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</si>
  <si>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</si>
  <si>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</si>
  <si>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</si>
  <si>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</si>
  <si>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</si>
  <si>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</si>
  <si>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</si>
  <si>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</si>
  <si>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</si>
  <si>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</si>
  <si>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</si>
  <si>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</si>
  <si>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</si>
  <si>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</si>
  <si>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</si>
  <si>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</si>
  <si>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</si>
  <si>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</si>
  <si>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</si>
  <si>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</si>
  <si>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</si>
  <si>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</si>
  <si>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</si>
  <si>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</si>
  <si>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</si>
  <si>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</si>
  <si>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</si>
  <si>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</si>
  <si>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</si>
  <si>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</si>
  <si>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</si>
  <si>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</si>
  <si>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</si>
  <si>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</si>
  <si>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</si>
  <si>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</si>
  <si>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</si>
  <si>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3 DIAS HABILES</t>
  </si>
  <si>
    <t>N° 11508</t>
  </si>
  <si>
    <t>GRIS NUBE 2189</t>
  </si>
  <si>
    <t>CUB SIN RESPALDO FRENTE ESPAÑOL</t>
  </si>
  <si>
    <t>MARCELO</t>
  </si>
  <si>
    <t>+56 9 9057 2396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</si>
</sst>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31</xdr:row>
      <xdr:rowOff>9525</xdr:rowOff>
    </xdr:from>
    <xdr:to>
      <xdr:col>5</xdr:col>
      <xdr:colOff>1769808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27</xdr:row>
      <xdr:rowOff>9525</xdr:rowOff>
    </xdr:from>
    <xdr:to>
      <xdr:col>5</xdr:col>
      <xdr:colOff>1753421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7" zoomScale="93" zoomScaleNormal="93" workbookViewId="0">
      <selection activeCell="G37" sqref="G37"/>
    </sheetView>
  </sheetViews>
  <sheetFormatPr baseColWidth="10" defaultRowHeight="14.4" x14ac:dyDescent="0.3"/>
  <cols>
    <col min="1" max="1" width="6" customWidth="1"/>
    <col min="2" max="2" width="10.5546875" customWidth="1"/>
    <col min="3" max="3" width="36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172</v>
      </c>
      <c r="D10" s="243"/>
      <c r="E10" s="243"/>
      <c r="F10" s="244" t="s">
        <v>0</v>
      </c>
      <c r="G10" s="276">
        <v>45846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173</v>
      </c>
      <c r="D15" s="310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56629.068093150461</v>
      </c>
      <c r="R20" s="258">
        <v>2000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3">
        <v>2.5</v>
      </c>
      <c r="E21" s="333">
        <v>0.61</v>
      </c>
      <c r="F21" s="330" t="s">
        <v>170</v>
      </c>
      <c r="G21" s="331">
        <v>89060</v>
      </c>
      <c r="H21" s="331">
        <f t="shared" ref="H21:H25" si="1">G21*B21</f>
        <v>89060</v>
      </c>
      <c r="I21" s="320"/>
      <c r="J21" s="265">
        <v>19</v>
      </c>
      <c r="K21" s="47"/>
      <c r="L21" s="332">
        <f t="shared" ref="L21" si="2">B21</f>
        <v>1</v>
      </c>
      <c r="M21" s="39">
        <f t="shared" ref="M21" si="3">D21+M$19</f>
        <v>2.58</v>
      </c>
      <c r="N21" s="39">
        <f t="shared" ref="N21" si="4">E21+$N$19</f>
        <v>0.61</v>
      </c>
      <c r="O21" s="261">
        <f t="shared" ref="O21" si="5">M21*N21</f>
        <v>1.5738000000000001</v>
      </c>
      <c r="P21" s="259">
        <f t="shared" ref="P21" si="6">O21*L21</f>
        <v>1.5738000000000001</v>
      </c>
      <c r="Q21" s="252">
        <f t="shared" ref="Q21" si="7">Q$20*O21</f>
        <v>89122.827365000194</v>
      </c>
      <c r="R21" s="319">
        <f t="shared" ref="R21" si="8">Q21+R$20</f>
        <v>91122.827365000194</v>
      </c>
      <c r="S21" s="297">
        <f t="shared" ref="S21" si="9">M21*L21</f>
        <v>2.58</v>
      </c>
      <c r="T21" s="46"/>
      <c r="U21" s="9"/>
      <c r="X21" s="4"/>
    </row>
    <row r="22" spans="2:25" ht="17.399999999999999" x14ac:dyDescent="0.3">
      <c r="B22" s="330">
        <v>1</v>
      </c>
      <c r="C22" s="330" t="s">
        <v>171</v>
      </c>
      <c r="D22" s="333">
        <v>2</v>
      </c>
      <c r="E22" s="333">
        <v>0.57999999999999996</v>
      </c>
      <c r="F22" s="330" t="s">
        <v>170</v>
      </c>
      <c r="G22" s="331">
        <f t="shared" ref="G22:G24" si="10">Q22</f>
        <v>68317.307747576706</v>
      </c>
      <c r="H22" s="331">
        <f t="shared" si="1"/>
        <v>68317.307747576706</v>
      </c>
      <c r="I22" s="320"/>
      <c r="J22" s="265"/>
      <c r="K22" s="47"/>
      <c r="L22" s="332">
        <f t="shared" ref="L22" si="11">B22</f>
        <v>1</v>
      </c>
      <c r="M22" s="39">
        <f t="shared" ref="M22" si="12">D22+M$19</f>
        <v>2.08</v>
      </c>
      <c r="N22" s="39">
        <f t="shared" ref="N22" si="13">E22+$N$19</f>
        <v>0.57999999999999996</v>
      </c>
      <c r="O22" s="261">
        <f t="shared" ref="O22" si="14">M22*N22</f>
        <v>1.2063999999999999</v>
      </c>
      <c r="P22" s="259">
        <f t="shared" ref="P22" si="15">O22*L22</f>
        <v>1.2063999999999999</v>
      </c>
      <c r="Q22" s="252">
        <f t="shared" ref="Q22" si="16">Q$20*O22</f>
        <v>68317.307747576706</v>
      </c>
      <c r="R22" s="319">
        <f t="shared" ref="R22" si="17">Q22+R$20</f>
        <v>70317.307747576706</v>
      </c>
      <c r="S22" s="297">
        <f t="shared" ref="S22" si="18">M22*L22</f>
        <v>2.08</v>
      </c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3">
        <v>0.92</v>
      </c>
      <c r="E23" s="333">
        <v>0.52</v>
      </c>
      <c r="F23" s="330" t="s">
        <v>170</v>
      </c>
      <c r="G23" s="331">
        <v>29116</v>
      </c>
      <c r="H23" s="331">
        <f t="shared" si="1"/>
        <v>29116</v>
      </c>
      <c r="I23" s="320"/>
      <c r="J23" s="265"/>
      <c r="K23" s="47"/>
      <c r="L23" s="332">
        <f t="shared" ref="L23:L25" si="19">B23</f>
        <v>1</v>
      </c>
      <c r="M23" s="39">
        <f t="shared" ref="M23:M25" si="20">D23+M$19</f>
        <v>1</v>
      </c>
      <c r="N23" s="39">
        <f t="shared" ref="N23:N25" si="21">E23+$N$19</f>
        <v>0.52</v>
      </c>
      <c r="O23" s="261">
        <f t="shared" ref="O23:O25" si="22">M23*N23</f>
        <v>0.52</v>
      </c>
      <c r="P23" s="259">
        <f t="shared" ref="P23:P25" si="23">O23*L23</f>
        <v>0.52</v>
      </c>
      <c r="Q23" s="252">
        <f t="shared" ref="Q23:Q25" si="24">Q$20*O23</f>
        <v>29447.11540843824</v>
      </c>
      <c r="R23" s="319">
        <f t="shared" ref="R23:R25" si="25">Q23+R$20</f>
        <v>31447.11540843824</v>
      </c>
      <c r="S23" s="297">
        <f t="shared" ref="S23:S25" si="26">M23*L23</f>
        <v>1</v>
      </c>
      <c r="T23" s="46"/>
      <c r="U23" s="9"/>
      <c r="X23" s="4"/>
    </row>
    <row r="24" spans="2:25" ht="17.399999999999999" x14ac:dyDescent="0.3">
      <c r="B24" s="330">
        <v>1</v>
      </c>
      <c r="C24" s="330" t="s">
        <v>171</v>
      </c>
      <c r="D24" s="333">
        <v>0.92</v>
      </c>
      <c r="E24" s="333">
        <v>0.64</v>
      </c>
      <c r="F24" s="330" t="s">
        <v>170</v>
      </c>
      <c r="G24" s="331">
        <f t="shared" si="10"/>
        <v>36242.603579616298</v>
      </c>
      <c r="H24" s="331">
        <f t="shared" si="1"/>
        <v>36242.603579616298</v>
      </c>
      <c r="I24" s="320"/>
      <c r="J24" s="265"/>
      <c r="K24" s="47"/>
      <c r="L24" s="332">
        <f t="shared" si="19"/>
        <v>1</v>
      </c>
      <c r="M24" s="39">
        <f t="shared" si="20"/>
        <v>1</v>
      </c>
      <c r="N24" s="39">
        <f t="shared" si="21"/>
        <v>0.64</v>
      </c>
      <c r="O24" s="261">
        <f t="shared" si="22"/>
        <v>0.64</v>
      </c>
      <c r="P24" s="259">
        <f t="shared" si="23"/>
        <v>0.64</v>
      </c>
      <c r="Q24" s="252">
        <f t="shared" si="24"/>
        <v>36242.603579616298</v>
      </c>
      <c r="R24" s="319">
        <f t="shared" si="25"/>
        <v>38242.603579616298</v>
      </c>
      <c r="S24" s="297">
        <f t="shared" si="26"/>
        <v>1</v>
      </c>
      <c r="T24" s="46"/>
      <c r="U24" s="9"/>
      <c r="X24" s="4"/>
    </row>
    <row r="25" spans="2:25" ht="17.399999999999999" x14ac:dyDescent="0.3">
      <c r="B25" s="330">
        <v>1</v>
      </c>
      <c r="C25" s="330" t="s">
        <v>171</v>
      </c>
      <c r="D25" s="333">
        <v>1.7</v>
      </c>
      <c r="E25" s="333">
        <v>0.57999999999999996</v>
      </c>
      <c r="F25" s="330" t="s">
        <v>170</v>
      </c>
      <c r="G25" s="331">
        <v>58246</v>
      </c>
      <c r="H25" s="331">
        <f t="shared" si="1"/>
        <v>58246</v>
      </c>
      <c r="I25" s="320"/>
      <c r="J25" s="265"/>
      <c r="K25" s="47"/>
      <c r="L25" s="332">
        <f t="shared" si="19"/>
        <v>1</v>
      </c>
      <c r="M25" s="39">
        <f t="shared" si="20"/>
        <v>1.78</v>
      </c>
      <c r="N25" s="39">
        <f t="shared" si="21"/>
        <v>0.57999999999999996</v>
      </c>
      <c r="O25" s="261">
        <f t="shared" si="22"/>
        <v>1.0324</v>
      </c>
      <c r="P25" s="259">
        <f t="shared" si="23"/>
        <v>1.0324</v>
      </c>
      <c r="Q25" s="252">
        <f t="shared" si="24"/>
        <v>58463.849899368535</v>
      </c>
      <c r="R25" s="319">
        <f t="shared" si="25"/>
        <v>60463.849899368535</v>
      </c>
      <c r="S25" s="297">
        <f t="shared" si="26"/>
        <v>1.78</v>
      </c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332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280981.91132719303</v>
      </c>
      <c r="I28" s="322"/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0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53386.563152166673</v>
      </c>
      <c r="I29" s="322"/>
      <c r="J29" s="265"/>
      <c r="K29" s="47"/>
      <c r="L29" s="47"/>
      <c r="M29" s="39">
        <f>SUM(M21:M28)</f>
        <v>8.44</v>
      </c>
      <c r="N29" s="12"/>
      <c r="O29" s="12"/>
      <c r="P29" s="253">
        <f>SUM(P21:P27)</f>
        <v>4.9725999999999999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334368.47447935969</v>
      </c>
      <c r="I30" s="322"/>
      <c r="J30" s="265"/>
      <c r="K30" s="47"/>
      <c r="L30" s="47"/>
      <c r="M30" s="39"/>
      <c r="N30" s="12"/>
      <c r="O30" s="12"/>
      <c r="P30" s="253">
        <f>P29</f>
        <v>4.9725999999999999</v>
      </c>
      <c r="Q30" s="14"/>
      <c r="R30" s="12"/>
      <c r="S30" s="239">
        <f>SUM(S21:S29)</f>
        <v>8.44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0.99452000000000007</v>
      </c>
      <c r="Q31" s="39" t="s">
        <v>130</v>
      </c>
      <c r="R31" s="42"/>
      <c r="S31" s="240">
        <f>S30+T28</f>
        <v>8.44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5.9671199999999995</v>
      </c>
      <c r="Q32" s="14"/>
      <c r="R32" s="14"/>
      <c r="S32" s="238">
        <f>S31*20%</f>
        <v>1.6879999999999999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10.128</v>
      </c>
      <c r="T33" s="14"/>
      <c r="U33" s="302" t="s">
        <v>21</v>
      </c>
      <c r="V33" s="299" t="s">
        <v>152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5.9671199999999995</v>
      </c>
      <c r="N34" s="12">
        <v>2000</v>
      </c>
      <c r="O34" s="12">
        <f t="shared" ref="O34:O39" si="27">M34*N34</f>
        <v>11934.24</v>
      </c>
      <c r="P34" s="14" t="s">
        <v>21</v>
      </c>
      <c r="Q34" s="14"/>
      <c r="R34" s="14"/>
      <c r="S34" s="241"/>
      <c r="T34" s="14"/>
      <c r="U34" s="302" t="s">
        <v>153</v>
      </c>
      <c r="V34" s="299">
        <v>3625</v>
      </c>
      <c r="W34" s="59" t="s">
        <v>154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1.6</v>
      </c>
      <c r="N35" s="12">
        <v>23500</v>
      </c>
      <c r="O35" s="12">
        <f t="shared" si="27"/>
        <v>37600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155</v>
      </c>
      <c r="X35" s="304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67000</v>
      </c>
      <c r="O36" s="12">
        <f t="shared" si="27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/>
      <c r="L37" s="250"/>
      <c r="M37" s="14">
        <v>3</v>
      </c>
      <c r="N37" s="250">
        <v>28186</v>
      </c>
      <c r="O37" s="12">
        <f t="shared" si="27"/>
        <v>84558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27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/>
      <c r="N39" s="12">
        <v>500</v>
      </c>
      <c r="O39" s="12">
        <f t="shared" si="27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134092.24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O40*2.1</f>
        <v>281593.70399999997</v>
      </c>
      <c r="P41" s="14" t="s">
        <v>140</v>
      </c>
      <c r="Q41" s="14"/>
      <c r="R41" s="40">
        <f>P32/R40</f>
        <v>1.6089085418464191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40000</v>
      </c>
      <c r="L42" s="250"/>
      <c r="M42" s="14"/>
      <c r="N42" s="12"/>
      <c r="O42" s="12">
        <f>O41/P30</f>
        <v>56629.068093150461</v>
      </c>
      <c r="P42" s="45" t="s">
        <v>24</v>
      </c>
      <c r="Q42" s="14"/>
      <c r="R42" s="14"/>
      <c r="S42"/>
      <c r="T42" s="238"/>
      <c r="U42" s="59" t="s">
        <v>158</v>
      </c>
      <c r="V42" s="299">
        <v>43650</v>
      </c>
    </row>
    <row r="43" spans="1:24" s="230" customFormat="1" ht="17.399999999999999" x14ac:dyDescent="0.35">
      <c r="G43"/>
      <c r="K43" s="230">
        <f>K42/1.19</f>
        <v>33613.445378151264</v>
      </c>
      <c r="L43" s="250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160</v>
      </c>
      <c r="V43" s="300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45846</v>
      </c>
    </row>
    <row r="6" spans="2:31" ht="16.2" thickBot="1" x14ac:dyDescent="0.35">
      <c r="B6" s="140" t="s">
        <v>2</v>
      </c>
      <c r="C6" s="139" t="str">
        <f>'2229'!C10</f>
        <v>MARCELO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-25004.027587986278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280981.91132719303</v>
      </c>
      <c r="E11" s="132">
        <f>D11*0.19</f>
        <v>53386.563152166673</v>
      </c>
      <c r="F11" s="131">
        <f>E11+D11</f>
        <v>334368.47447935969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80985.972412013725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79368.330787439612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62985.972412013725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201613.58053975343</v>
      </c>
      <c r="E13" s="221">
        <f>(D11/D12)-1</f>
        <v>2.5402270469780328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53985.972412013725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14985.972412013722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130957.74579927535</v>
      </c>
      <c r="F15" s="216">
        <f>E15-D12</f>
        <v>51589.415011835736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14985.972412013722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54985.972412013725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37600</v>
      </c>
      <c r="E19" s="123">
        <f>D19*0.19</f>
        <v>7144</v>
      </c>
      <c r="F19" s="120">
        <f>SUM(D19:E19)</f>
        <v>44744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11934.24</v>
      </c>
      <c r="E20" s="121">
        <f>D20*0.19</f>
        <v>2267.5056</v>
      </c>
      <c r="F20" s="120">
        <f>SUM(D20:E20)</f>
        <v>14201.7456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49534.239999999998</v>
      </c>
      <c r="E21" s="116">
        <f>SUM(E18:E20)</f>
        <v>9411.5056000000004</v>
      </c>
      <c r="F21" s="115">
        <f>SUM(F18:F20)</f>
        <v>58945.745600000002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43975.057552166676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280981.91132719303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49534.239999999998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201613.58053975343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201613.58053975343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2025-07-08T18:53:50Z</cp:lastPrinted>
  <dcterms:created xsi:type="dcterms:W3CDTF">2013-03-18T13:35:42Z</dcterms:created>
  <dcterms:modified xsi:type="dcterms:W3CDTF">2025-07-08T20:21:55Z</dcterms:modified>
</cp:coreProperties>
</file>