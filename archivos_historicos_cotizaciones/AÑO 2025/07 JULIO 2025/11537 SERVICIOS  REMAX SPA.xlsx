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1DEF693A-4171-453E-BC06-416ABDDC1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M24" i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Q21" i="1" s="1"/>
  <c r="D21" i="3"/>
  <c r="M43" i="3" s="1"/>
  <c r="D12" i="3" s="1"/>
  <c r="E15" i="3" s="1"/>
  <c r="A15" i="3" s="1"/>
  <c r="F20" i="3"/>
  <c r="F21" i="3" s="1"/>
  <c r="R21" i="1" l="1"/>
  <c r="H21" i="1"/>
  <c r="O38" i="1"/>
  <c r="F15" i="3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<sst xmlns="http://schemas.openxmlformats.org/spreadsheetml/2006/main" count="231" uniqueCount="176">
  <si>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</si>
  <si>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</si>
  <si>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</si>
  <si>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</si>
  <si>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</si>
  <si>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</si>
  <si>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</si>
  <si>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</si>
  <si>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</si>
  <si>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</si>
  <si>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</si>
  <si>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</si>
  <si>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</si>
  <si>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</si>
  <si>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</si>
  <si>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</si>
  <si>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</si>
  <si>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</si>
  <si>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</si>
  <si>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</si>
  <si>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</si>
  <si>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</si>
  <si>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</si>
  <si>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</si>
  <si>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</si>
  <si>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</si>
  <si>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</si>
  <si>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</si>
  <si>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</si>
  <si>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</si>
  <si>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</si>
  <si>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</si>
  <si>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</si>
  <si>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</si>
  <si>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</si>
  <si>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</si>
  <si>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</si>
  <si>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</si>
  <si>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</si>
  <si>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</si>
  <si>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</si>
  <si>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</si>
  <si>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</si>
  <si>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</si>
  <si>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</si>
  <si>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</si>
  <si>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</si>
  <si>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</si>
  <si>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</si>
  <si>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</si>
  <si>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</si>
  <si>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</si>
  <si>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</si>
  <si>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</si>
  <si>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</si>
  <si>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</si>
  <si>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</si>
  <si>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</si>
  <si>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</si>
  <si>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</si>
  <si>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</si>
  <si>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</si>
  <si>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</si>
  <si>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</si>
  <si>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</si>
  <si>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</si>
  <si>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</si>
  <si>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</si>
  <si>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</si>
  <si>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</si>
  <si>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</si>
  <si>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</si>
  <si>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</si>
  <si>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</si>
  <si>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</si>
  <si>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</si>
  <si>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</si>
  <si>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</si>
  <si>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</si>
  <si>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</si>
  <si>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</si>
  <si>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</si>
  <si>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</si>
  <si>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</si>
  <si>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</si>
  <si>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</si>
  <si>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</si>
  <si>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</si>
  <si>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</si>
  <si>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</si>
  <si>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</si>
  <si>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</si>
  <si>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</si>
  <si>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</si>
  <si>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</si>
  <si>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</si>
  <si>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</si>
  <si>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</si>
  <si>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</si>
  <si>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</si>
  <si>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</si>
  <si>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</si>
  <si>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</si>
  <si>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</si>
  <si>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</si>
  <si>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</si>
  <si>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</si>
  <si>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</si>
  <si>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</si>
  <si>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</si>
  <si>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</si>
  <si>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</si>
  <si>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</si>
  <si>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</si>
  <si>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</si>
  <si>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</si>
  <si>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</si>
  <si>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</si>
  <si>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</si>
  <si>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</si>
  <si>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</si>
  <si>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</si>
  <si>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</si>
  <si>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</si>
  <si>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</si>
  <si>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</si>
  <si>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</si>
  <si>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</si>
  <si>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</si>
  <si>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</si>
  <si>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</si>
  <si>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</si>
  <si>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</si>
  <si>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</si>
  <si>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</si>
  <si>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</si>
  <si>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</si>
  <si>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</si>
  <si>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</si>
  <si>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</si>
  <si>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</si>
  <si>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</si>
  <si>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</si>
  <si>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</si>
  <si>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</si>
  <si>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</si>
  <si>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</si>
  <si>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</si>
  <si>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</si>
  <si>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</si>
  <si>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</si>
  <si>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</si>
  <si>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</si>
  <si>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</si>
  <si>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</si>
  <si>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</si>
  <si>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</si>
  <si>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</si>
  <si>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</si>
  <si>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</si>
  <si>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</si>
  <si>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</si>
  <si>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</si>
  <si>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</si>
  <si>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</si>
  <si>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</si>
  <si>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</si>
  <si>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</si>
  <si>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</si>
  <si>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</si>
  <si>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</si>
  <si>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</si>
  <si>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N° 11537</t>
  </si>
  <si>
    <t>BLANCO BRILLO</t>
  </si>
  <si>
    <t>SERVICIOS REMAX SPA</t>
  </si>
  <si>
    <t>78.020.430-7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</si>
</sst>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174</v>
      </c>
      <c r="D10" s="239"/>
      <c r="E10" s="239"/>
      <c r="F10" s="240" t="s">
        <v>167</v>
      </c>
      <c r="G10" s="271">
        <v>45861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 t="s">
        <v>175</v>
      </c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192504.375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5">
      <c r="B21" s="330">
        <v>1</v>
      </c>
      <c r="C21" s="331" t="s">
        <v>171</v>
      </c>
      <c r="D21" s="332">
        <v>1.2</v>
      </c>
      <c r="E21" s="332">
        <v>0.5</v>
      </c>
      <c r="F21" s="331" t="s">
        <v>173</v>
      </c>
      <c r="G21" s="333">
        <v>28888</v>
      </c>
      <c r="H21" s="334">
        <f>G21*B21</f>
        <v>28888</v>
      </c>
      <c r="I21" s="299"/>
      <c r="J21" s="260"/>
      <c r="K21" s="44"/>
      <c r="L21" s="44">
        <f>B21</f>
        <v>1</v>
      </c>
      <c r="M21" s="36">
        <f>D21+M$19</f>
        <v>1.28</v>
      </c>
      <c r="N21" s="36">
        <f>E21+$N$19</f>
        <v>0.5</v>
      </c>
      <c r="O21" s="256">
        <f t="shared" ref="O21" si="1">M21*N21</f>
        <v>0.64</v>
      </c>
      <c r="P21" s="254">
        <f t="shared" ref="P21" si="2">O21*L21</f>
        <v>0.64</v>
      </c>
      <c r="Q21" s="247">
        <f t="shared" ref="Q21" si="3">Q$20*O21</f>
        <v>123202.8</v>
      </c>
      <c r="R21" s="298">
        <f t="shared" ref="R21" si="4">Q21+R$20</f>
        <v>126202.8</v>
      </c>
      <c r="S21" s="286"/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28888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5488.72</v>
      </c>
      <c r="I24" s="301"/>
      <c r="J24" s="260"/>
      <c r="K24" s="319"/>
      <c r="L24" s="44"/>
      <c r="M24" s="36" t="e">
        <f>SUM(#REF!)</f>
        <v>#REF!</v>
      </c>
      <c r="N24" s="12"/>
      <c r="O24" s="12"/>
      <c r="P24" s="248">
        <f>SUM(P21:P22)</f>
        <v>0.64</v>
      </c>
      <c r="Q24" s="14"/>
      <c r="R24" s="12"/>
      <c r="S24" s="235">
        <f>SUM(S21:S23)</f>
        <v>0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34376.720000000001</v>
      </c>
      <c r="I25" s="301"/>
      <c r="J25" s="260"/>
      <c r="K25" s="319"/>
      <c r="L25" s="44"/>
      <c r="M25" s="36"/>
      <c r="N25" s="12"/>
      <c r="O25" s="12"/>
      <c r="P25" s="248">
        <f>P24</f>
        <v>0.64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0.128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29"/>
      <c r="K27" s="44"/>
      <c r="L27" s="44"/>
      <c r="M27" s="14"/>
      <c r="N27" s="12"/>
      <c r="O27" s="12"/>
      <c r="P27" s="43">
        <f>P25+P26</f>
        <v>0.76800000000000002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0.76800000000000002</v>
      </c>
      <c r="N29" s="12">
        <v>3500</v>
      </c>
      <c r="O29" s="12">
        <f t="shared" ref="O29:O34" si="5">M29*N29</f>
        <v>2688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0.7</v>
      </c>
      <c r="N30" s="12">
        <v>23500</v>
      </c>
      <c r="O30" s="12">
        <f t="shared" si="5"/>
        <v>16450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2</v>
      </c>
      <c r="N32" s="245">
        <v>18650</v>
      </c>
      <c r="O32" s="12">
        <f t="shared" si="5"/>
        <v>37300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2.23</v>
      </c>
      <c r="N34" s="12">
        <v>1000</v>
      </c>
      <c r="O34" s="12">
        <f t="shared" si="5"/>
        <v>2230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58668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123202.8</v>
      </c>
      <c r="P36" s="14" t="s">
        <v>138</v>
      </c>
      <c r="Q36" s="14"/>
      <c r="R36" s="37">
        <f>P27/R35</f>
        <v>0.20707506471095771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192504.375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45861</v>
      </c>
    </row>
    <row r="6" spans="1:31" ht="16.2" thickBot="1" x14ac:dyDescent="0.35">
      <c r="B6" s="137" t="s">
        <v>2</v>
      </c>
      <c r="C6" s="136" t="str">
        <f>'2229'!C10</f>
        <v>SERVICIOS REMAX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5616.5094067632845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28888</v>
      </c>
      <c r="E11" s="129">
        <f>D11*0.19</f>
        <v>5488.72</v>
      </c>
      <c r="F11" s="128">
        <f>E11+D11</f>
        <v>34376.720000000001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111606.50940676329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39116.910275362316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93606.509406763289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-10228.910275362316</v>
      </c>
      <c r="E13" s="218">
        <f>(D11/D12)-1</f>
        <v>-0.26149586466201469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84606.509406763289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45606.509406763282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74478.597164289851</v>
      </c>
      <c r="C15" s="210" t="s">
        <v>121</v>
      </c>
      <c r="D15" s="211">
        <v>0.6</v>
      </c>
      <c r="E15" s="212">
        <f>(100%+D15)*D12</f>
        <v>62587.056440579705</v>
      </c>
      <c r="F15" s="213">
        <f>E15-D12</f>
        <v>23470.146165217389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45606.509406763282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85606.509406763289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16450</v>
      </c>
      <c r="E19" s="120">
        <f>D19*0.19</f>
        <v>3125.5</v>
      </c>
      <c r="F19" s="117">
        <f>SUM(D19:E19)</f>
        <v>19575.5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2688</v>
      </c>
      <c r="E20" s="118">
        <f>D20*0.19</f>
        <v>510.72</v>
      </c>
      <c r="F20" s="117">
        <f>SUM(D20:E20)</f>
        <v>3198.7200000000003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19138</v>
      </c>
      <c r="E21" s="113">
        <f>SUM(E18:E20)</f>
        <v>3636.2200000000003</v>
      </c>
      <c r="F21" s="112">
        <f>SUM(F18:F20)</f>
        <v>22774.22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1852.5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28888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19138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-10228.910275362316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-10228.910275362316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2025-07-23T15:37:24Z</cp:lastPrinted>
  <dcterms:created xsi:type="dcterms:W3CDTF">2013-03-18T13:35:42Z</dcterms:created>
  <dcterms:modified xsi:type="dcterms:W3CDTF">2025-07-24T14:20:46Z</dcterms:modified>
</cp:coreProperties>
</file>