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7D82BAA-314F-49BE-BD40-8E701FA13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H21" i="1"/>
  <c r="L21" i="1"/>
  <c r="M21" i="1"/>
  <c r="N21" i="1"/>
  <c r="J15" i="1"/>
  <c r="J10" i="1"/>
  <c r="H24" i="1" l="1"/>
  <c r="O21" i="1"/>
  <c r="P21" i="1" s="1"/>
  <c r="P25" i="1" s="1"/>
  <c r="S21" i="1"/>
  <c r="M25" i="1"/>
  <c r="T24" i="1"/>
  <c r="K39" i="1"/>
  <c r="S26" i="1" l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R36" i="1"/>
  <c r="M30" i="1" l="1"/>
  <c r="R37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s="1"/>
  <c r="D20" i="3" l="1"/>
  <c r="E20" i="3" s="1"/>
  <c r="E21" i="3" s="1"/>
  <c r="Q20" i="1" l="1"/>
  <c r="D21" i="3"/>
  <c r="M43" i="3" s="1"/>
  <c r="D12" i="3" s="1"/>
  <c r="F20" i="3"/>
  <c r="F21" i="3" s="1"/>
  <c r="Q21" i="1" l="1"/>
  <c r="R21" i="1" s="1"/>
  <c r="O39" i="1"/>
  <c r="E15" i="3"/>
  <c r="F15" i="3" l="1"/>
  <c r="H25" i="1" l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<sst xmlns="http://schemas.openxmlformats.org/spreadsheetml/2006/main" count="229" uniqueCount="175">
  <si>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</si>
  <si>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</si>
  <si>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</si>
  <si>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</si>
  <si>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</si>
  <si>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</si>
  <si>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</si>
  <si>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</si>
  <si>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</si>
  <si>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</si>
  <si>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</si>
  <si>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</si>
  <si>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</si>
  <si>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</si>
  <si>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</si>
  <si>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</si>
  <si>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</si>
  <si>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</si>
  <si>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</si>
  <si>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</si>
  <si>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</si>
  <si>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</si>
  <si>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</si>
  <si>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</si>
  <si>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</si>
  <si>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</si>
  <si>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</si>
  <si>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</si>
  <si>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</si>
  <si>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</si>
  <si>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</si>
  <si>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</si>
  <si>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</si>
  <si>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</si>
  <si>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</si>
  <si>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</si>
  <si>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</si>
  <si>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</si>
  <si>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</si>
  <si>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</si>
  <si>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</si>
  <si>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</si>
  <si>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</si>
  <si>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</si>
  <si>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</si>
  <si>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</si>
  <si>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</si>
  <si>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</si>
  <si>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</si>
  <si>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</si>
  <si>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</si>
  <si>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</si>
  <si>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</si>
  <si>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</si>
  <si>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</si>
  <si>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</si>
  <si>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</si>
  <si>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</si>
  <si>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</si>
  <si>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</si>
  <si>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</si>
  <si>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</si>
  <si>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</si>
  <si>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</si>
  <si>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</si>
  <si>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</si>
  <si>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</si>
  <si>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</si>
  <si>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</si>
  <si>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</si>
  <si>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</si>
  <si>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</si>
  <si>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</si>
  <si>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</si>
  <si>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</si>
  <si>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</si>
  <si>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</si>
  <si>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</si>
  <si>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</si>
  <si>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</si>
  <si>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</si>
  <si>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</si>
  <si>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</si>
  <si>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</si>
  <si>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</si>
  <si>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</si>
  <si>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</si>
  <si>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</si>
  <si>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</si>
  <si>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</si>
  <si>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</si>
  <si>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</si>
  <si>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</si>
  <si>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</si>
  <si>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</si>
  <si>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</si>
  <si>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</si>
  <si>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</si>
  <si>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</si>
  <si>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</si>
  <si>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</si>
  <si>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</si>
  <si>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</si>
  <si>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</si>
  <si>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</si>
  <si>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</si>
  <si>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</si>
  <si>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</si>
  <si>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</si>
  <si>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</si>
  <si>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</si>
  <si>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</si>
  <si>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</si>
  <si>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</si>
  <si>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</si>
  <si>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</si>
  <si>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</si>
  <si>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</si>
  <si>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</si>
  <si>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</si>
  <si>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</si>
  <si>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</si>
  <si>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</si>
  <si>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</si>
  <si>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</si>
  <si>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</si>
  <si>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</si>
  <si>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</si>
  <si>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</si>
  <si>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</si>
  <si>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</si>
  <si>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</si>
  <si>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</si>
  <si>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</si>
  <si>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</si>
  <si>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</si>
  <si>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</si>
  <si>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</si>
  <si>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</si>
  <si>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</si>
  <si>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</si>
  <si>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</si>
  <si>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</si>
  <si>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</si>
  <si>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</si>
  <si>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</si>
  <si>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</si>
  <si>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</si>
  <si>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</si>
  <si>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</si>
  <si>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</si>
  <si>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</si>
  <si>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</si>
  <si>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</si>
  <si>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</si>
  <si>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</si>
  <si>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</si>
  <si>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</si>
  <si>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</si>
  <si>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</si>
  <si>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</si>
  <si>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</si>
  <si>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</si>
  <si>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</si>
  <si>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</si>
  <si>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</si>
  <si>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</si>
  <si>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</si>
  <si>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</si>
  <si>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</si>
  <si>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</si>
  <si>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N° 11543</t>
  </si>
  <si>
    <t>CUB S/R FRENTE 90° R8</t>
  </si>
  <si>
    <t>WHITE ASHWOOD SF</t>
  </si>
  <si>
    <t>30-0-2025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</si>
</sst>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D17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>
        <v>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84427.705627705625</v>
      </c>
      <c r="R20" s="258">
        <v>1000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172</v>
      </c>
      <c r="D21" s="333">
        <v>1.6</v>
      </c>
      <c r="E21" s="333">
        <v>0.7</v>
      </c>
      <c r="F21" s="330" t="s">
        <v>173</v>
      </c>
      <c r="G21" s="331">
        <v>97514</v>
      </c>
      <c r="H21" s="331">
        <f t="shared" ref="H21" si="1">G21*B21</f>
        <v>195028</v>
      </c>
      <c r="I21" s="320"/>
      <c r="J21" s="265">
        <v>19</v>
      </c>
      <c r="K21" s="47"/>
      <c r="L21" s="332">
        <f t="shared" ref="L21" si="2">B21</f>
        <v>2</v>
      </c>
      <c r="M21" s="39">
        <f t="shared" ref="M21" si="3">D21+M$19</f>
        <v>1.6500000000000001</v>
      </c>
      <c r="N21" s="39">
        <f t="shared" ref="N21" si="4">E21+$N$19</f>
        <v>0.7</v>
      </c>
      <c r="O21" s="261">
        <f t="shared" ref="O21" si="5">M21*N21</f>
        <v>1.155</v>
      </c>
      <c r="P21" s="259">
        <f t="shared" ref="P21" si="6">O21*L21</f>
        <v>2.31</v>
      </c>
      <c r="Q21" s="252">
        <f t="shared" ref="Q21" si="7">Q$20*O21</f>
        <v>97514</v>
      </c>
      <c r="R21" s="319">
        <f t="shared" ref="R21" si="8">Q21+R$20</f>
        <v>98514</v>
      </c>
      <c r="S21" s="297">
        <f t="shared" ref="S21" si="9">M21*L21</f>
        <v>3.3000000000000003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>
        <v>74000</v>
      </c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195028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37055.32</v>
      </c>
      <c r="I25" s="322"/>
      <c r="J25" s="265"/>
      <c r="K25" s="47"/>
      <c r="L25" s="47"/>
      <c r="M25" s="39">
        <f>SUM(M21:M24)</f>
        <v>1.6500000000000001</v>
      </c>
      <c r="N25" s="12"/>
      <c r="O25" s="12"/>
      <c r="P25" s="253">
        <f>SUM(P21:P23)</f>
        <v>2.31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232083.32</v>
      </c>
      <c r="I26" s="322"/>
      <c r="J26" s="265"/>
      <c r="K26" s="47"/>
      <c r="L26" s="47"/>
      <c r="M26" s="39"/>
      <c r="N26" s="12"/>
      <c r="O26" s="12"/>
      <c r="P26" s="253">
        <f>P25</f>
        <v>2.31</v>
      </c>
      <c r="Q26" s="14"/>
      <c r="R26" s="12"/>
      <c r="S26" s="239">
        <f>SUM(S21:S25)</f>
        <v>3.3000000000000003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0.46200000000000002</v>
      </c>
      <c r="Q27" s="39" t="s">
        <v>130</v>
      </c>
      <c r="R27" s="42"/>
      <c r="S27" s="240">
        <f>S26+T24</f>
        <v>3.3000000000000003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2.7720000000000002</v>
      </c>
      <c r="Q28" s="14"/>
      <c r="R28" s="14"/>
      <c r="S28" s="238">
        <f>S27*20%</f>
        <v>0.66000000000000014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3.9600000000000004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2.7720000000000002</v>
      </c>
      <c r="N30" s="12">
        <v>2000</v>
      </c>
      <c r="O30" s="12">
        <f t="shared" ref="O30:O35" si="10">M30*N30</f>
        <v>5544.0000000000009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23500</v>
      </c>
      <c r="O31" s="12">
        <f t="shared" si="10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67000</v>
      </c>
      <c r="O32" s="12">
        <f t="shared" si="10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34235</v>
      </c>
      <c r="O33" s="12">
        <f t="shared" si="10"/>
        <v>68470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0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10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97514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</f>
        <v>195028</v>
      </c>
      <c r="P37" s="14" t="s">
        <v>140</v>
      </c>
      <c r="Q37" s="14"/>
      <c r="R37" s="40">
        <f>P28/R36</f>
        <v>0.74741156169111311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84427.705627705625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30-0-2025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-16313.191700120775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195028</v>
      </c>
      <c r="E11" s="132">
        <f>D11*0.19</f>
        <v>37055.32</v>
      </c>
      <c r="F11" s="131">
        <f>E11+D11</f>
        <v>232083.32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89676.808299879223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58878.090787439614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71676.808299879223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136149.90921256039</v>
      </c>
      <c r="E13" s="221">
        <f>(D11/D12)-1</f>
        <v>2.3124036019456846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62676.808299879223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23676.808299879223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97148.849799275355</v>
      </c>
      <c r="F15" s="216">
        <f>E15-D12</f>
        <v>38270.75901183574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23676.808299879223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63676.808299879223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5544.0000000000009</v>
      </c>
      <c r="E20" s="121">
        <f>D20*0.19</f>
        <v>1053.3600000000001</v>
      </c>
      <c r="F20" s="120">
        <f>SUM(D20:E20)</f>
        <v>6597.3600000000006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29044</v>
      </c>
      <c r="E21" s="116">
        <f>SUM(E18:E20)</f>
        <v>5518.3600000000006</v>
      </c>
      <c r="F21" s="115">
        <f>SUM(F18:F20)</f>
        <v>34562.36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31536.959999999999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195028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29044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136149.90921256039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136149.90921256039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2025-05-22T21:24:31Z</cp:lastPrinted>
  <dcterms:created xsi:type="dcterms:W3CDTF">2013-03-18T13:35:42Z</dcterms:created>
  <dcterms:modified xsi:type="dcterms:W3CDTF">2025-08-31T13:16:25Z</dcterms:modified>
</cp:coreProperties>
</file>