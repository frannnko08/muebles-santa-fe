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ropbox\PC\Desktop\POSTFORMADO 2020\COTIZACIONES MUEBLES SANTA FE\07 JULIO 2025\"/>
    </mc:Choice>
  </mc:AlternateContent>
  <xr:revisionPtr revIDLastSave="0" documentId="13_ncr:1_{7770CE2B-B17E-44C2-93DA-529F08B36F18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1" i="1"/>
  <c r="M26" i="1"/>
  <c r="L22" i="1"/>
  <c r="M22" i="1"/>
  <c r="N22" i="1"/>
  <c r="O22" i="1"/>
  <c r="P22" i="1" s="1"/>
  <c r="L23" i="1"/>
  <c r="M23" i="1"/>
  <c r="O23" i="1" s="1"/>
  <c r="P23" i="1" s="1"/>
  <c r="N23" i="1"/>
  <c r="L21" i="1"/>
  <c r="N21" i="1"/>
  <c r="M21" i="1" l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3" i="1" l="1"/>
  <c r="Q22" i="1"/>
  <c r="O40" i="1"/>
  <c r="R22" i="1" l="1"/>
  <c r="H22" i="1"/>
  <c r="R23" i="1"/>
  <c r="H23" i="1"/>
  <c r="Q21" i="1"/>
  <c r="F15" i="3"/>
  <c r="R21" i="1" l="1"/>
  <c r="H21" i="1" l="1"/>
  <c r="H25" i="1" l="1"/>
  <c r="H26" i="1" s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<sst xmlns="http://schemas.openxmlformats.org/spreadsheetml/2006/main" count="235" uniqueCount="176">
  <si>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</si>
  <si>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</si>
  <si>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</si>
  <si>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</si>
  <si>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</si>
  <si>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</si>
  <si>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</si>
  <si>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</si>
  <si>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</si>
  <si>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</si>
  <si>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</si>
  <si>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</si>
  <si>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</si>
  <si>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</si>
  <si>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</si>
  <si>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</si>
  <si>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</si>
  <si>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</si>
  <si>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</si>
  <si>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</si>
  <si>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</si>
  <si>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</si>
  <si>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</si>
  <si>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</si>
  <si>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</si>
  <si>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</si>
  <si>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</si>
  <si>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</si>
  <si>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</si>
  <si>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</si>
  <si>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</si>
  <si>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</si>
  <si>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</si>
  <si>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</si>
  <si>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</si>
  <si>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</si>
  <si>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</si>
  <si>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</si>
  <si>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</si>
  <si>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</si>
  <si>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</si>
  <si>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</si>
  <si>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</si>
  <si>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</si>
  <si>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</si>
  <si>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</si>
  <si>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</si>
  <si>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</si>
  <si>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</si>
  <si>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</si>
  <si>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</si>
  <si>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</si>
  <si>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</si>
  <si>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</si>
  <si>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</si>
  <si>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</si>
  <si>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</si>
  <si>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</si>
  <si>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</si>
  <si>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</si>
  <si>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</si>
  <si>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</si>
  <si>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</si>
  <si>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</si>
  <si>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</si>
  <si>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</si>
  <si>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</si>
  <si>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</si>
  <si>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</si>
  <si>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</si>
  <si>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</si>
  <si>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</si>
  <si>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</si>
  <si>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</si>
  <si>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</si>
  <si>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</si>
  <si>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</si>
  <si>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</si>
  <si>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</si>
  <si>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</si>
  <si>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</si>
  <si>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</si>
  <si>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</si>
  <si>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</si>
  <si>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</si>
  <si>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</si>
  <si>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</si>
  <si>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</si>
  <si>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</si>
  <si>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</si>
  <si>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</si>
  <si>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</si>
  <si>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</si>
  <si>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</si>
  <si>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</si>
  <si>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</si>
  <si>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</si>
  <si>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</si>
  <si>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</si>
  <si>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</si>
  <si>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</si>
  <si>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</si>
  <si>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</si>
  <si>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</si>
  <si>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</si>
  <si>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</si>
  <si>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</si>
  <si>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</si>
  <si>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</si>
  <si>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</si>
  <si>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</si>
  <si>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</si>
  <si>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</si>
  <si>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</si>
  <si>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</si>
  <si>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</si>
  <si>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</si>
  <si>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</si>
  <si>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</si>
  <si>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</si>
  <si>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</si>
  <si>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</si>
  <si>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</si>
  <si>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</si>
  <si>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</si>
  <si>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</si>
  <si>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</si>
  <si>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</si>
  <si>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</si>
  <si>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</si>
  <si>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</si>
  <si>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</si>
  <si>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</si>
  <si>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</si>
  <si>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</si>
  <si>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</si>
  <si>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</si>
  <si>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</si>
  <si>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</si>
  <si>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</si>
  <si>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</si>
  <si>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</si>
  <si>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</si>
  <si>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</si>
  <si>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</si>
  <si>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</si>
  <si>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</si>
  <si>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</si>
  <si>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</si>
  <si>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</si>
  <si>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</si>
  <si>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</si>
  <si>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</si>
  <si>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</si>
  <si>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</si>
  <si>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</si>
  <si>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</si>
  <si>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</si>
  <si>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</si>
  <si>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</si>
  <si>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</si>
  <si>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</si>
  <si>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</si>
  <si>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</si>
  <si>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</si>
  <si>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</si>
  <si>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</si>
  <si>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</si>
  <si>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</si>
  <si>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</si>
  <si>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</si>
  <si>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 xml:space="preserve">CLARY </t>
  </si>
  <si>
    <t>+569 2161 1022</t>
  </si>
  <si>
    <t>CUB CON RESPALDO FRENTE 90°</t>
  </si>
  <si>
    <t>NEGRO BRILLANTE</t>
  </si>
  <si>
    <t>N° 11527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</si>
</sst>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CORTADAS A LA MEDIDA Y ENCHAPADAS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G24" sqref="G24"/>
    </sheetView>
  </sheetViews>
  <sheetFormatPr baseColWidth="10" defaultRowHeight="15" x14ac:dyDescent="0.25"/>
  <cols>
    <col min="1" max="1" width="6" customWidth="1"/>
    <col min="2" max="2" width="10.5703125" customWidth="1"/>
    <col min="3" max="3" width="40.28515625" customWidth="1"/>
    <col min="4" max="4" width="11.140625" customWidth="1"/>
    <col min="5" max="5" width="14.42578125" customWidth="1"/>
    <col min="6" max="6" width="27.28515625" customWidth="1"/>
    <col min="7" max="7" width="14" customWidth="1"/>
    <col min="8" max="8" width="14.28515625" customWidth="1"/>
    <col min="9" max="9" width="15.42578125" customWidth="1"/>
    <col min="10" max="10" width="13.42578125" customWidth="1"/>
    <col min="12" max="12" width="9.5703125" style="18" customWidth="1"/>
    <col min="13" max="13" width="8.85546875" customWidth="1"/>
    <col min="14" max="14" width="8.28515625" customWidth="1"/>
    <col min="15" max="15" width="9.42578125" customWidth="1"/>
    <col min="16" max="16" width="7.7109375" customWidth="1"/>
    <col min="17" max="17" width="9.42578125" customWidth="1"/>
    <col min="18" max="18" width="10.140625" customWidth="1"/>
    <col min="19" max="19" width="8.85546875" customWidth="1"/>
    <col min="20" max="20" width="9.7109375" customWidth="1"/>
    <col min="21" max="21" width="9.28515625" customWidth="1"/>
    <col min="22" max="22" width="9.7109375" customWidth="1"/>
    <col min="23" max="23" width="10.85546875" customWidth="1"/>
    <col min="24" max="24" width="10.42578125" customWidth="1"/>
    <col min="25" max="25" width="9" customWidth="1"/>
  </cols>
  <sheetData>
    <row r="2" spans="2:24" ht="15.75" x14ac:dyDescent="0.25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25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25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25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75" x14ac:dyDescent="0.25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.75" thickBot="1" x14ac:dyDescent="0.3">
      <c r="F7" s="56" t="s">
        <v>123</v>
      </c>
      <c r="Q7" s="2"/>
      <c r="R7" s="2"/>
      <c r="S7" s="3"/>
      <c r="T7" s="3"/>
      <c r="U7" s="2"/>
      <c r="V7" s="2"/>
      <c r="W7" s="3"/>
    </row>
    <row r="8" spans="2:24" ht="21.75" thickBot="1" x14ac:dyDescent="0.4">
      <c r="B8" s="325" t="s">
        <v>125</v>
      </c>
      <c r="C8" s="326"/>
      <c r="D8" s="327" t="s">
        <v>175</v>
      </c>
      <c r="F8" s="56"/>
      <c r="K8" s="49"/>
      <c r="R8" s="2"/>
      <c r="S8" s="3"/>
      <c r="T8" s="3"/>
      <c r="U8" s="2"/>
      <c r="V8" s="2"/>
      <c r="W8" s="3"/>
    </row>
    <row r="9" spans="2:24" ht="15.75" thickBot="1" x14ac:dyDescent="0.3">
      <c r="R9" s="2"/>
      <c r="S9" s="3"/>
      <c r="T9" s="3"/>
      <c r="U9" s="4"/>
      <c r="V9" s="2"/>
      <c r="W9" s="3"/>
    </row>
    <row r="10" spans="2:24" x14ac:dyDescent="0.25">
      <c r="B10" s="293" t="s">
        <v>159</v>
      </c>
      <c r="C10" s="308" t="s">
        <v>171</v>
      </c>
      <c r="D10" s="239"/>
      <c r="E10" s="239"/>
      <c r="F10" s="240" t="s">
        <v>167</v>
      </c>
      <c r="G10" s="271">
        <v>45855</v>
      </c>
      <c r="H10" s="241"/>
      <c r="K10" s="1"/>
      <c r="R10" s="2"/>
      <c r="S10" s="3"/>
      <c r="T10" s="3"/>
      <c r="U10" s="4"/>
      <c r="V10" s="2"/>
      <c r="W10" s="3"/>
    </row>
    <row r="11" spans="2:24" ht="16.5" x14ac:dyDescent="0.3">
      <c r="B11" s="280" t="s">
        <v>12</v>
      </c>
      <c r="C11" s="309"/>
      <c r="F11" t="s">
        <v>166</v>
      </c>
      <c r="G11" s="310" t="s">
        <v>169</v>
      </c>
      <c r="H11" s="281"/>
      <c r="Q11" s="19"/>
      <c r="R11" s="22" t="s">
        <v>18</v>
      </c>
      <c r="S11" s="19"/>
    </row>
    <row r="12" spans="2:24" x14ac:dyDescent="0.25">
      <c r="B12" s="242" t="s">
        <v>142</v>
      </c>
      <c r="C12" s="311"/>
      <c r="D12" s="312"/>
      <c r="E12" s="312"/>
      <c r="F12" s="312" t="s">
        <v>126</v>
      </c>
      <c r="G12" s="313" t="s">
        <v>133</v>
      </c>
      <c r="H12" s="243"/>
      <c r="Q12" s="19"/>
      <c r="R12" s="22"/>
      <c r="S12" s="19"/>
    </row>
    <row r="13" spans="2:24" x14ac:dyDescent="0.25">
      <c r="B13" s="280" t="s">
        <v>143</v>
      </c>
      <c r="F13" t="s">
        <v>165</v>
      </c>
      <c r="G13" s="314" t="s">
        <v>133</v>
      </c>
      <c r="H13" s="281"/>
      <c r="Q13" s="19"/>
      <c r="R13" s="22"/>
      <c r="S13" s="19"/>
    </row>
    <row r="14" spans="2:24" x14ac:dyDescent="0.25">
      <c r="B14" s="242" t="s">
        <v>137</v>
      </c>
      <c r="C14" s="315"/>
      <c r="D14" s="312"/>
      <c r="E14" s="312"/>
      <c r="F14" s="312" t="s">
        <v>134</v>
      </c>
      <c r="G14" s="316" t="s">
        <v>133</v>
      </c>
      <c r="H14" s="243"/>
      <c r="K14" s="26"/>
      <c r="Q14" s="20"/>
      <c r="R14" s="23" t="s">
        <v>17</v>
      </c>
      <c r="S14" s="20"/>
    </row>
    <row r="15" spans="2:24" ht="15.75" x14ac:dyDescent="0.25">
      <c r="B15" s="280" t="s">
        <v>4</v>
      </c>
      <c r="C15" s="317" t="s">
        <v>172</v>
      </c>
      <c r="D15" s="318"/>
      <c r="F15" t="s">
        <v>168</v>
      </c>
      <c r="G15" s="319" t="s">
        <v>133</v>
      </c>
      <c r="H15" s="281"/>
    </row>
    <row r="16" spans="2:24" ht="16.5" x14ac:dyDescent="0.3">
      <c r="B16" s="297" t="s">
        <v>3</v>
      </c>
      <c r="C16" s="320"/>
      <c r="D16" s="312"/>
      <c r="E16" s="312"/>
      <c r="F16" s="321" t="s">
        <v>128</v>
      </c>
      <c r="G16" s="322" t="s">
        <v>160</v>
      </c>
      <c r="H16" s="243"/>
    </row>
    <row r="17" spans="1:25" ht="15.75" thickBot="1" x14ac:dyDescent="0.3">
      <c r="B17" s="294" t="s">
        <v>13</v>
      </c>
      <c r="C17" s="295" t="s">
        <v>163</v>
      </c>
      <c r="D17" s="296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1:25" ht="15.75" customHeight="1" thickBot="1" x14ac:dyDescent="0.3">
      <c r="J18" s="44"/>
      <c r="K18" s="5"/>
      <c r="V18" s="9"/>
      <c r="X18" s="6"/>
      <c r="Y18" s="6"/>
    </row>
    <row r="19" spans="1:25" ht="13.5" customHeight="1" thickBot="1" x14ac:dyDescent="0.3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">
      <c r="B20" s="328" t="s">
        <v>7</v>
      </c>
      <c r="C20" s="329" t="s">
        <v>1</v>
      </c>
      <c r="D20" s="329" t="s">
        <v>130</v>
      </c>
      <c r="E20" s="329" t="s">
        <v>11</v>
      </c>
      <c r="F20" s="329" t="s">
        <v>8</v>
      </c>
      <c r="G20" s="329" t="s">
        <v>5</v>
      </c>
      <c r="H20" s="330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59121.649076517155</v>
      </c>
      <c r="R20" s="253">
        <v>3000</v>
      </c>
      <c r="S20" s="35"/>
      <c r="T20" s="14" t="s">
        <v>127</v>
      </c>
      <c r="U20" s="9"/>
      <c r="X20" s="4"/>
    </row>
    <row r="21" spans="1:25" ht="17.25" x14ac:dyDescent="0.25">
      <c r="B21" s="345">
        <v>1</v>
      </c>
      <c r="C21" s="346" t="s">
        <v>173</v>
      </c>
      <c r="D21" s="347">
        <v>1.45</v>
      </c>
      <c r="E21" s="347">
        <v>0.6</v>
      </c>
      <c r="F21" s="346" t="s">
        <v>174</v>
      </c>
      <c r="G21" s="348">
        <f>R21</f>
        <v>57273.67385224274</v>
      </c>
      <c r="H21" s="349">
        <f>G21*B21</f>
        <v>57273.67385224274</v>
      </c>
      <c r="I21" s="299"/>
      <c r="J21" s="260"/>
      <c r="K21" s="44"/>
      <c r="L21" s="44">
        <f>B21</f>
        <v>1</v>
      </c>
      <c r="M21" s="36">
        <f>D21+M$19</f>
        <v>1.53</v>
      </c>
      <c r="N21" s="36">
        <f>E21+$N$19</f>
        <v>0.6</v>
      </c>
      <c r="O21" s="256">
        <f t="shared" ref="O21" si="1">M21*N21</f>
        <v>0.91799999999999993</v>
      </c>
      <c r="P21" s="254">
        <f t="shared" ref="P21" si="2">O21*L21</f>
        <v>0.91799999999999993</v>
      </c>
      <c r="Q21" s="247">
        <f t="shared" ref="Q21" si="3">Q$20*O21</f>
        <v>54273.67385224274</v>
      </c>
      <c r="R21" s="298">
        <f t="shared" ref="R21" si="4">Q21+R$20</f>
        <v>57273.67385224274</v>
      </c>
      <c r="S21" s="286">
        <f>M21*L21</f>
        <v>1.53</v>
      </c>
      <c r="T21" s="43">
        <f>N21*2*L21*2</f>
        <v>2.4</v>
      </c>
      <c r="U21" s="9"/>
      <c r="X21" s="4"/>
    </row>
    <row r="22" spans="1:25" ht="17.25" x14ac:dyDescent="0.25">
      <c r="B22" s="350">
        <v>1</v>
      </c>
      <c r="C22" s="305" t="s">
        <v>173</v>
      </c>
      <c r="D22" s="306">
        <v>0.45</v>
      </c>
      <c r="E22" s="306">
        <v>0.6</v>
      </c>
      <c r="F22" s="305" t="s">
        <v>174</v>
      </c>
      <c r="G22" s="307">
        <f>R22</f>
        <v>21800.684406332457</v>
      </c>
      <c r="H22" s="351">
        <f t="shared" ref="H22:H23" si="5">G22*B22</f>
        <v>21800.684406332457</v>
      </c>
      <c r="I22" s="299"/>
      <c r="J22" s="260"/>
      <c r="K22" s="44"/>
      <c r="L22" s="44">
        <f t="shared" ref="L22:L23" si="6">B22</f>
        <v>1</v>
      </c>
      <c r="M22" s="36">
        <f t="shared" ref="M22:M23" si="7">D22+M$19</f>
        <v>0.53</v>
      </c>
      <c r="N22" s="36">
        <f t="shared" ref="N22:N23" si="8">E22+$N$19</f>
        <v>0.6</v>
      </c>
      <c r="O22" s="256">
        <f t="shared" ref="O22:O23" si="9">M22*N22</f>
        <v>0.318</v>
      </c>
      <c r="P22" s="254">
        <f t="shared" ref="P22:P23" si="10">O22*L22</f>
        <v>0.318</v>
      </c>
      <c r="Q22" s="247">
        <f t="shared" ref="Q22:Q23" si="11">Q$20*O22</f>
        <v>18800.684406332457</v>
      </c>
      <c r="R22" s="298">
        <f t="shared" ref="R22:R23" si="12">Q22+R$20</f>
        <v>21800.684406332457</v>
      </c>
      <c r="S22" s="286"/>
      <c r="T22" s="43"/>
      <c r="U22" s="9"/>
      <c r="X22" s="4"/>
    </row>
    <row r="23" spans="1:25" ht="18" thickBot="1" x14ac:dyDescent="0.3">
      <c r="B23" s="352">
        <v>1</v>
      </c>
      <c r="C23" s="353" t="s">
        <v>173</v>
      </c>
      <c r="D23" s="354">
        <v>1.65</v>
      </c>
      <c r="E23" s="354">
        <v>0.6</v>
      </c>
      <c r="F23" s="353" t="s">
        <v>174</v>
      </c>
      <c r="G23" s="355">
        <v>63664</v>
      </c>
      <c r="H23" s="356">
        <f t="shared" si="5"/>
        <v>63664</v>
      </c>
      <c r="I23" s="299"/>
      <c r="J23" s="260"/>
      <c r="K23" s="44"/>
      <c r="L23" s="44">
        <f t="shared" si="6"/>
        <v>1</v>
      </c>
      <c r="M23" s="36">
        <f t="shared" si="7"/>
        <v>1.73</v>
      </c>
      <c r="N23" s="36">
        <f t="shared" si="8"/>
        <v>0.6</v>
      </c>
      <c r="O23" s="256">
        <f t="shared" si="9"/>
        <v>1.038</v>
      </c>
      <c r="P23" s="254">
        <f t="shared" si="10"/>
        <v>1.038</v>
      </c>
      <c r="Q23" s="247">
        <f t="shared" si="11"/>
        <v>61368.271741424811</v>
      </c>
      <c r="R23" s="298">
        <f t="shared" si="12"/>
        <v>64368.271741424811</v>
      </c>
      <c r="S23" s="286"/>
      <c r="T23" s="43"/>
      <c r="U23" s="9"/>
      <c r="X23" s="4"/>
    </row>
    <row r="24" spans="1:25" ht="18" thickBot="1" x14ac:dyDescent="0.3">
      <c r="B24" s="278"/>
      <c r="C24" s="278"/>
      <c r="D24" s="279"/>
      <c r="E24" s="279"/>
      <c r="F24" s="278"/>
      <c r="G24" s="260"/>
      <c r="H24" s="300"/>
      <c r="I24" s="302"/>
      <c r="J24" s="229"/>
      <c r="K24" s="44"/>
      <c r="L24" s="44"/>
      <c r="M24" s="36"/>
      <c r="N24" s="36"/>
      <c r="O24" s="256"/>
      <c r="P24" s="254"/>
      <c r="Q24" s="247"/>
      <c r="R24" s="253"/>
      <c r="S24" s="286"/>
      <c r="T24" s="14"/>
      <c r="U24" s="9"/>
      <c r="X24" s="4"/>
    </row>
    <row r="25" spans="1:25" ht="17.25" x14ac:dyDescent="0.25">
      <c r="B25" s="278"/>
      <c r="C25" s="278"/>
      <c r="D25" s="279"/>
      <c r="E25" s="279"/>
      <c r="F25" s="278"/>
      <c r="G25" s="303" t="s">
        <v>28</v>
      </c>
      <c r="H25" s="304">
        <f>SUM(H21:H24)</f>
        <v>142738.3582585752</v>
      </c>
      <c r="I25" s="301"/>
      <c r="J25" s="260"/>
      <c r="K25" s="323"/>
      <c r="L25" s="44"/>
      <c r="M25" s="36"/>
      <c r="N25" s="36"/>
      <c r="O25" s="256"/>
      <c r="P25" s="254"/>
      <c r="Q25" s="247"/>
      <c r="R25" s="253"/>
      <c r="S25" s="286"/>
      <c r="T25" s="43">
        <f>SUM(T21:T24)</f>
        <v>2.4</v>
      </c>
      <c r="U25" s="9"/>
      <c r="X25" s="4"/>
    </row>
    <row r="26" spans="1:25" ht="17.25" x14ac:dyDescent="0.25">
      <c r="B26" s="272"/>
      <c r="C26" s="275"/>
      <c r="D26" s="276"/>
      <c r="E26" s="276"/>
      <c r="F26" s="277"/>
      <c r="G26" s="285" t="s">
        <v>51</v>
      </c>
      <c r="H26" s="283">
        <f>H25*19%</f>
        <v>27120.288069129288</v>
      </c>
      <c r="I26" s="301"/>
      <c r="J26" s="260"/>
      <c r="K26" s="323"/>
      <c r="L26" s="44"/>
      <c r="M26" s="36">
        <f>SUM(M21:M23)</f>
        <v>3.79</v>
      </c>
      <c r="N26" s="12"/>
      <c r="O26" s="12"/>
      <c r="P26" s="248">
        <f>SUM(P21:P24)</f>
        <v>2.274</v>
      </c>
      <c r="Q26" s="14"/>
      <c r="R26" s="12"/>
      <c r="S26" s="235">
        <f>SUM(S21:S25)</f>
        <v>1.53</v>
      </c>
      <c r="T26" s="43"/>
      <c r="U26" s="9"/>
      <c r="X26" s="4"/>
    </row>
    <row r="27" spans="1:25" ht="18" thickBot="1" x14ac:dyDescent="0.3">
      <c r="B27" s="270"/>
      <c r="C27" s="274"/>
      <c r="D27" s="267"/>
      <c r="E27" s="267"/>
      <c r="F27" s="268"/>
      <c r="G27" s="273" t="s">
        <v>6</v>
      </c>
      <c r="H27" s="284">
        <f>H25+H26</f>
        <v>169858.64632770448</v>
      </c>
      <c r="I27" s="301"/>
      <c r="J27" s="260"/>
      <c r="K27" s="323"/>
      <c r="L27" s="44"/>
      <c r="M27" s="36"/>
      <c r="N27" s="12"/>
      <c r="O27" s="12"/>
      <c r="P27" s="248">
        <f>P26</f>
        <v>2.274</v>
      </c>
      <c r="Q27" s="14"/>
      <c r="R27" s="12"/>
      <c r="S27" s="235"/>
      <c r="T27" s="43"/>
      <c r="U27" s="9"/>
      <c r="X27" s="4"/>
    </row>
    <row r="28" spans="1:25" ht="17.25" x14ac:dyDescent="0.25">
      <c r="B28" s="270"/>
      <c r="C28" s="266"/>
      <c r="D28" s="267"/>
      <c r="E28" s="267"/>
      <c r="F28" s="268"/>
      <c r="J28" s="260"/>
      <c r="K28" s="323"/>
      <c r="L28" s="44"/>
      <c r="M28" s="14"/>
      <c r="N28" s="12"/>
      <c r="O28" s="12"/>
      <c r="P28" s="36">
        <f>P27*20%</f>
        <v>0.45480000000000004</v>
      </c>
      <c r="Q28" s="36" t="s">
        <v>129</v>
      </c>
      <c r="R28" s="39"/>
      <c r="S28" s="236"/>
      <c r="T28" s="14"/>
      <c r="U28" s="9"/>
      <c r="X28" s="4"/>
    </row>
    <row r="29" spans="1:25" ht="17.25" x14ac:dyDescent="0.3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2.7288000000000001</v>
      </c>
      <c r="Q29" s="14"/>
      <c r="R29" s="14"/>
      <c r="S29" s="234"/>
      <c r="T29" s="14"/>
      <c r="U29" s="9"/>
      <c r="X29" s="4"/>
    </row>
    <row r="30" spans="1:25" ht="17.25" x14ac:dyDescent="0.3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90" t="s">
        <v>21</v>
      </c>
      <c r="V30" s="287" t="s">
        <v>149</v>
      </c>
      <c r="W30" s="291">
        <v>44971</v>
      </c>
      <c r="X30" s="292"/>
    </row>
    <row r="31" spans="1:25" ht="17.25" x14ac:dyDescent="0.3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2.7288000000000001</v>
      </c>
      <c r="N31" s="12">
        <v>3500</v>
      </c>
      <c r="O31" s="12">
        <f t="shared" ref="O31:O36" si="13">M31*N31</f>
        <v>9550.8000000000011</v>
      </c>
      <c r="P31" s="14" t="s">
        <v>21</v>
      </c>
      <c r="Q31" s="14"/>
      <c r="R31" s="14"/>
      <c r="S31" s="237"/>
      <c r="T31" s="14"/>
      <c r="U31" s="290" t="s">
        <v>150</v>
      </c>
      <c r="V31" s="287">
        <v>3625</v>
      </c>
      <c r="W31" s="56" t="s">
        <v>151</v>
      </c>
      <c r="X31" s="292"/>
    </row>
    <row r="32" spans="1:25" ht="17.25" x14ac:dyDescent="0.3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0.73599999999999999</v>
      </c>
      <c r="N32" s="12">
        <v>23500</v>
      </c>
      <c r="O32" s="12">
        <f t="shared" si="13"/>
        <v>17296</v>
      </c>
      <c r="P32" s="36" t="s">
        <v>170</v>
      </c>
      <c r="Q32" s="39"/>
      <c r="R32" s="14"/>
      <c r="S32" s="236"/>
      <c r="T32" s="14"/>
      <c r="U32" s="290"/>
      <c r="V32" s="56">
        <v>906.25</v>
      </c>
      <c r="W32" s="56" t="s">
        <v>152</v>
      </c>
      <c r="X32" s="292"/>
    </row>
    <row r="33" spans="2:24" s="226" customFormat="1" ht="17.25" x14ac:dyDescent="0.3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13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2" t="s">
        <v>153</v>
      </c>
      <c r="X33" s="56"/>
    </row>
    <row r="34" spans="2:24" s="226" customFormat="1" ht="17.25" x14ac:dyDescent="0.3">
      <c r="B34" s="21" t="s">
        <v>164</v>
      </c>
      <c r="C34"/>
      <c r="D34"/>
      <c r="E34"/>
      <c r="F34"/>
      <c r="J34" s="257"/>
      <c r="K34" s="228"/>
      <c r="L34" s="245"/>
      <c r="M34" s="14">
        <v>1.5</v>
      </c>
      <c r="N34" s="245">
        <v>23519</v>
      </c>
      <c r="O34" s="12">
        <f t="shared" si="13"/>
        <v>35278.5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2" t="s">
        <v>154</v>
      </c>
      <c r="X34" s="56"/>
    </row>
    <row r="35" spans="2:24" s="226" customFormat="1" ht="17.25" x14ac:dyDescent="0.3">
      <c r="B35" s="26" t="s">
        <v>124</v>
      </c>
      <c r="C35"/>
      <c r="D35"/>
      <c r="E35"/>
      <c r="F35" s="225" t="s">
        <v>15</v>
      </c>
      <c r="J35" s="257"/>
      <c r="K35" s="255"/>
      <c r="L35" s="245"/>
      <c r="M35" s="244"/>
      <c r="N35" s="245">
        <v>900</v>
      </c>
      <c r="O35" s="12">
        <f t="shared" si="13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25" x14ac:dyDescent="0.3">
      <c r="J36" s="282"/>
      <c r="K36" s="255"/>
      <c r="L36" s="245"/>
      <c r="M36" s="261">
        <v>3.79</v>
      </c>
      <c r="N36" s="12">
        <v>500</v>
      </c>
      <c r="O36" s="12">
        <f t="shared" si="13"/>
        <v>1895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25" x14ac:dyDescent="0.3">
      <c r="K37" s="255"/>
      <c r="L37" s="245"/>
      <c r="M37" s="14"/>
      <c r="N37" s="12"/>
      <c r="O37" s="12">
        <f>SUM(O31:O36)</f>
        <v>64020.3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25" x14ac:dyDescent="0.3">
      <c r="L38" s="245"/>
      <c r="M38" s="249" t="s">
        <v>33</v>
      </c>
      <c r="N38" s="12"/>
      <c r="O38" s="250">
        <f>O37*2.1</f>
        <v>134442.63</v>
      </c>
      <c r="P38" s="14" t="s">
        <v>138</v>
      </c>
      <c r="Q38" s="14"/>
      <c r="R38" s="37">
        <f>P29/R37</f>
        <v>0.73576358930112162</v>
      </c>
      <c r="S38"/>
      <c r="T38" s="252"/>
    </row>
    <row r="39" spans="2:24" s="226" customFormat="1" ht="17.25" x14ac:dyDescent="0.3">
      <c r="G39"/>
      <c r="H39" s="255"/>
      <c r="I39" s="255"/>
      <c r="J39" s="255"/>
      <c r="L39" s="245"/>
      <c r="M39" s="14"/>
      <c r="N39" s="12"/>
      <c r="O39" s="12">
        <f>O38/P27</f>
        <v>59121.649076517155</v>
      </c>
      <c r="P39" s="42" t="s">
        <v>24</v>
      </c>
      <c r="Q39" s="14"/>
      <c r="R39" s="14"/>
      <c r="S39"/>
      <c r="T39" s="234"/>
      <c r="U39" s="56" t="s">
        <v>155</v>
      </c>
      <c r="V39" s="287">
        <v>43650</v>
      </c>
    </row>
    <row r="40" spans="2:24" s="226" customFormat="1" ht="17.25" x14ac:dyDescent="0.3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8" t="s">
        <v>156</v>
      </c>
      <c r="W40" s="56">
        <v>2.4</v>
      </c>
    </row>
    <row r="41" spans="2:24" s="226" customFormat="1" ht="17.25" x14ac:dyDescent="0.3">
      <c r="D41" s="279"/>
      <c r="E41" s="279"/>
      <c r="F41" s="278"/>
      <c r="G41" s="324"/>
      <c r="H41" s="331"/>
      <c r="L41" s="12"/>
      <c r="T41" s="234"/>
      <c r="U41" s="56" t="s">
        <v>158</v>
      </c>
      <c r="V41" s="289">
        <v>395.37</v>
      </c>
    </row>
    <row r="42" spans="2:24" s="226" customFormat="1" ht="17.25" x14ac:dyDescent="0.3">
      <c r="B42"/>
      <c r="C42" s="332"/>
      <c r="D42" s="279"/>
      <c r="E42" s="279"/>
      <c r="F42" s="278"/>
      <c r="G42" s="324"/>
      <c r="H42" s="331"/>
      <c r="L42" s="12"/>
      <c r="T42" s="234"/>
      <c r="U42" s="56" t="s">
        <v>153</v>
      </c>
      <c r="V42" s="56">
        <v>474.45</v>
      </c>
    </row>
    <row r="43" spans="2:24" ht="14.45" customHeight="1" x14ac:dyDescent="0.3">
      <c r="D43" s="279"/>
      <c r="E43" s="279"/>
      <c r="F43" s="278"/>
      <c r="G43" s="324"/>
      <c r="H43" s="331"/>
      <c r="L43" s="12"/>
      <c r="U43" s="56"/>
      <c r="V43" s="56"/>
    </row>
    <row r="44" spans="2:24" ht="17.25" x14ac:dyDescent="0.3">
      <c r="D44" s="279"/>
      <c r="E44" s="279"/>
      <c r="F44" s="278"/>
      <c r="G44" s="324"/>
      <c r="H44" s="331"/>
      <c r="L44" s="245"/>
    </row>
    <row r="45" spans="2:24" ht="17.25" x14ac:dyDescent="0.3">
      <c r="D45" s="279"/>
      <c r="E45" s="279"/>
      <c r="F45" s="278"/>
      <c r="G45" s="324"/>
      <c r="H45" s="331"/>
      <c r="L45" s="245"/>
      <c r="T45" s="265"/>
    </row>
    <row r="46" spans="2:24" ht="17.25" x14ac:dyDescent="0.3">
      <c r="D46" s="279"/>
      <c r="E46" s="279"/>
      <c r="F46" s="278"/>
      <c r="G46" s="324"/>
      <c r="H46" s="331"/>
      <c r="L46" s="245"/>
    </row>
    <row r="47" spans="2:24" ht="15" customHeight="1" x14ac:dyDescent="0.3">
      <c r="D47" s="279"/>
      <c r="E47" s="279"/>
      <c r="F47" s="278"/>
      <c r="G47" s="324"/>
      <c r="H47" s="331"/>
    </row>
    <row r="48" spans="2:24" ht="17.25" x14ac:dyDescent="0.3">
      <c r="D48" s="279"/>
      <c r="E48" s="279"/>
      <c r="F48" s="278"/>
      <c r="G48" s="324"/>
      <c r="H48" s="331"/>
    </row>
    <row r="49" spans="4:20" ht="17.25" x14ac:dyDescent="0.3">
      <c r="D49" s="279"/>
      <c r="E49" s="279"/>
      <c r="F49" s="278"/>
      <c r="G49" s="324"/>
      <c r="H49" s="331"/>
      <c r="O49">
        <v>40935</v>
      </c>
      <c r="P49" t="s">
        <v>16</v>
      </c>
      <c r="Q49" t="s">
        <v>26</v>
      </c>
    </row>
    <row r="50" spans="4:20" ht="17.25" x14ac:dyDescent="0.3">
      <c r="D50" s="279"/>
      <c r="E50" s="279"/>
      <c r="F50" s="278"/>
      <c r="G50" s="324"/>
      <c r="H50" s="331"/>
    </row>
    <row r="51" spans="4:20" ht="17.25" x14ac:dyDescent="0.3">
      <c r="D51" s="279"/>
      <c r="E51" s="279"/>
      <c r="F51" s="278"/>
      <c r="G51" s="324"/>
      <c r="H51" s="331"/>
      <c r="O51" s="51"/>
      <c r="P51" s="51"/>
    </row>
    <row r="52" spans="4:20" ht="17.25" x14ac:dyDescent="0.3">
      <c r="D52" s="279"/>
      <c r="E52" s="279"/>
      <c r="F52" s="278"/>
      <c r="G52" s="324"/>
      <c r="H52" s="331"/>
      <c r="S52" s="18"/>
      <c r="T52" s="18"/>
    </row>
    <row r="53" spans="4:20" ht="17.25" x14ac:dyDescent="0.3">
      <c r="D53" s="279"/>
      <c r="E53" s="279"/>
      <c r="F53" s="278"/>
      <c r="G53" s="324"/>
      <c r="H53" s="331"/>
      <c r="S53" s="18"/>
      <c r="T53" s="18"/>
    </row>
    <row r="54" spans="4:20" ht="17.25" x14ac:dyDescent="0.3">
      <c r="D54" s="279"/>
      <c r="E54" s="279"/>
      <c r="F54" s="278"/>
      <c r="G54" s="324"/>
      <c r="H54" s="331"/>
      <c r="S54" s="18"/>
      <c r="T54" s="18"/>
    </row>
    <row r="55" spans="4:20" x14ac:dyDescent="0.25">
      <c r="S55" s="18"/>
      <c r="T55" s="18"/>
    </row>
    <row r="56" spans="4:20" x14ac:dyDescent="0.25">
      <c r="S56" s="18"/>
      <c r="T56" s="18"/>
    </row>
    <row r="57" spans="4:20" x14ac:dyDescent="0.25">
      <c r="S57" s="18"/>
      <c r="T57" s="18"/>
    </row>
    <row r="58" spans="4:20" x14ac:dyDescent="0.25">
      <c r="S58" s="18"/>
      <c r="T58" s="18"/>
    </row>
    <row r="59" spans="4:20" x14ac:dyDescent="0.25">
      <c r="S59" s="18"/>
      <c r="T59" s="18"/>
    </row>
    <row r="60" spans="4:20" x14ac:dyDescent="0.25">
      <c r="S60" s="18"/>
      <c r="T60" s="18"/>
    </row>
    <row r="63" spans="4:20" x14ac:dyDescent="0.25">
      <c r="O63" s="40"/>
    </row>
    <row r="64" spans="4:20" x14ac:dyDescent="0.25">
      <c r="O64" s="40"/>
    </row>
    <row r="65" spans="3:15" x14ac:dyDescent="0.25">
      <c r="O65" s="6"/>
    </row>
    <row r="66" spans="3:15" x14ac:dyDescent="0.25">
      <c r="O66" s="6"/>
    </row>
    <row r="74" spans="3:15" x14ac:dyDescent="0.25">
      <c r="C74" t="s">
        <v>145</v>
      </c>
    </row>
    <row r="75" spans="3:15" x14ac:dyDescent="0.25">
      <c r="C75" t="s">
        <v>144</v>
      </c>
    </row>
    <row r="78" spans="3:15" x14ac:dyDescent="0.25">
      <c r="C78" t="s">
        <v>144</v>
      </c>
    </row>
    <row r="155" spans="3:3" x14ac:dyDescent="0.25">
      <c r="C155" t="s">
        <v>144</v>
      </c>
    </row>
    <row r="156" spans="3:3" x14ac:dyDescent="0.25">
      <c r="C156" t="s">
        <v>146</v>
      </c>
    </row>
    <row r="157" spans="3:3" x14ac:dyDescent="0.25">
      <c r="C157" t="s">
        <v>147</v>
      </c>
    </row>
    <row r="582" spans="3:3" x14ac:dyDescent="0.25">
      <c r="C582" t="s">
        <v>144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2578125" defaultRowHeight="15" x14ac:dyDescent="0.25"/>
  <cols>
    <col min="2" max="2" width="15.5703125" customWidth="1"/>
    <col min="3" max="3" width="20.7109375" bestFit="1" customWidth="1"/>
    <col min="5" max="5" width="11.28515625" customWidth="1"/>
    <col min="8" max="8" width="9.140625" customWidth="1"/>
    <col min="9" max="9" width="9.7109375" customWidth="1"/>
    <col min="10" max="10" width="24.85546875" bestFit="1" customWidth="1"/>
    <col min="11" max="11" width="12.7109375" bestFit="1" customWidth="1"/>
    <col min="16" max="16" width="12" bestFit="1" customWidth="1"/>
    <col min="18" max="18" width="17" customWidth="1"/>
    <col min="24" max="25" width="12.7109375" bestFit="1" customWidth="1"/>
  </cols>
  <sheetData>
    <row r="2" spans="1:31" ht="18.75" x14ac:dyDescent="0.3">
      <c r="B2" s="144" t="s">
        <v>105</v>
      </c>
      <c r="C2" s="45"/>
      <c r="D2" s="45"/>
      <c r="E2" s="143"/>
      <c r="F2" s="6"/>
    </row>
    <row r="3" spans="1:31" ht="18.75" x14ac:dyDescent="0.3">
      <c r="E3" s="142"/>
      <c r="F3" s="141"/>
    </row>
    <row r="5" spans="1:31" ht="15.75" x14ac:dyDescent="0.25">
      <c r="B5" s="137" t="s">
        <v>0</v>
      </c>
      <c r="C5" s="140">
        <f>'2229'!G10</f>
        <v>45855</v>
      </c>
    </row>
    <row r="6" spans="1:31" ht="16.5" thickBot="1" x14ac:dyDescent="0.3">
      <c r="B6" s="137" t="s">
        <v>2</v>
      </c>
      <c r="C6" s="136" t="str">
        <f>'2229'!C10</f>
        <v xml:space="preserve">CLARY 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5" thickBot="1" x14ac:dyDescent="0.3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5" thickBot="1" x14ac:dyDescent="0.3">
      <c r="B8" s="137" t="s">
        <v>100</v>
      </c>
      <c r="C8" s="136" t="str">
        <f>'2229'!D8</f>
        <v>N° 11527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.75" thickBot="1" x14ac:dyDescent="0.3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-11302.870302999248</v>
      </c>
    </row>
    <row r="10" spans="1:31" ht="16.5" thickBot="1" x14ac:dyDescent="0.3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5" thickBot="1" x14ac:dyDescent="0.3">
      <c r="C11" s="208" t="s">
        <v>93</v>
      </c>
      <c r="D11" s="130">
        <f>'2229'!H25</f>
        <v>142738.3582585752</v>
      </c>
      <c r="E11" s="129">
        <f>D11*0.19</f>
        <v>27120.288069129288</v>
      </c>
      <c r="F11" s="128">
        <f>E11+D11</f>
        <v>169858.64632770448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94687.129697000753</v>
      </c>
      <c r="Y11" s="172">
        <v>108990</v>
      </c>
      <c r="AA11" s="6"/>
      <c r="AB11" s="6"/>
      <c r="AC11" s="222"/>
      <c r="AD11" s="50"/>
      <c r="AE11" s="219"/>
    </row>
    <row r="12" spans="1:31" ht="16.5" thickBot="1" x14ac:dyDescent="0.3">
      <c r="C12" s="134" t="s">
        <v>97</v>
      </c>
      <c r="D12" s="133">
        <f>SUM(M43:M45)</f>
        <v>46825.710275362318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76687.129697000753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5" thickBot="1" x14ac:dyDescent="0.3">
      <c r="C13" s="209" t="s">
        <v>91</v>
      </c>
      <c r="D13" s="214">
        <f>D11-D12</f>
        <v>95912.647983212883</v>
      </c>
      <c r="E13" s="218">
        <f>(D11/D12)-1</f>
        <v>2.0482902964886365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67687.129697000753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.75" thickBot="1" x14ac:dyDescent="0.3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28687.129697000753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.75" thickBot="1" x14ac:dyDescent="0.3">
      <c r="A15" s="58">
        <f>E15*1.19</f>
        <v>89156.152364289854</v>
      </c>
      <c r="C15" s="210" t="s">
        <v>121</v>
      </c>
      <c r="D15" s="211">
        <v>0.6</v>
      </c>
      <c r="E15" s="212">
        <f>(100%+D15)*D12</f>
        <v>74921.136440579707</v>
      </c>
      <c r="F15" s="213">
        <f>E15-D12</f>
        <v>28095.426165217388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28687.129697000753</v>
      </c>
      <c r="Y15" s="172">
        <v>39990</v>
      </c>
      <c r="Z15" s="98"/>
      <c r="AA15" s="98"/>
      <c r="AB15" s="121"/>
      <c r="AD15" s="37"/>
      <c r="AE15" s="38"/>
    </row>
    <row r="16" spans="1:31" ht="15.75" thickBot="1" x14ac:dyDescent="0.3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68687.129697000753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.75" thickBot="1" x14ac:dyDescent="0.3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25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25">
      <c r="C19" s="76" t="s">
        <v>31</v>
      </c>
      <c r="D19" s="119">
        <f>'2229'!O32</f>
        <v>17296</v>
      </c>
      <c r="E19" s="120">
        <f>D19*0.19</f>
        <v>3286.2400000000002</v>
      </c>
      <c r="F19" s="117">
        <f>SUM(D19:E19)</f>
        <v>20582.240000000002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.75" thickBot="1" x14ac:dyDescent="0.3">
      <c r="C20" s="71" t="s">
        <v>21</v>
      </c>
      <c r="D20" s="119">
        <f>'2229'!O31</f>
        <v>9550.8000000000011</v>
      </c>
      <c r="E20" s="118">
        <f>D20*0.19</f>
        <v>1814.6520000000003</v>
      </c>
      <c r="F20" s="117">
        <f>SUM(D20:E20)</f>
        <v>11365.452000000001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.75" thickBot="1" x14ac:dyDescent="0.3">
      <c r="A21" s="77">
        <f>450000*1.2</f>
        <v>540000</v>
      </c>
      <c r="B21" s="116"/>
      <c r="C21" s="115" t="s">
        <v>6</v>
      </c>
      <c r="D21" s="114">
        <f>SUM(D18:D20)</f>
        <v>26846.800000000003</v>
      </c>
      <c r="E21" s="113">
        <f>SUM(E18:E20)</f>
        <v>5100.8920000000007</v>
      </c>
      <c r="F21" s="112">
        <f>SUM(F18:F20)</f>
        <v>31947.692000000003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.75" thickBot="1" x14ac:dyDescent="0.3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.75" thickBot="1" x14ac:dyDescent="0.3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.75" thickBot="1" x14ac:dyDescent="0.3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25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25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25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25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25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25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25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.75" thickBot="1" x14ac:dyDescent="0.3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.75" thickBot="1" x14ac:dyDescent="0.3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.75" thickBot="1" x14ac:dyDescent="0.3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.75" thickBot="1" x14ac:dyDescent="0.3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.75" thickBot="1" x14ac:dyDescent="0.3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.75" thickBot="1" x14ac:dyDescent="0.3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.75" thickBot="1" x14ac:dyDescent="0.3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.75" thickBot="1" x14ac:dyDescent="0.3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.75" thickBot="1" x14ac:dyDescent="0.3">
      <c r="B40" s="65" t="s">
        <v>52</v>
      </c>
      <c r="C40" s="64" t="s">
        <v>51</v>
      </c>
      <c r="D40" s="63">
        <f>E11-E21</f>
        <v>22019.396069129289</v>
      </c>
    </row>
    <row r="41" spans="2:16" ht="15.75" thickBot="1" x14ac:dyDescent="0.3">
      <c r="H41" s="342" t="s">
        <v>60</v>
      </c>
      <c r="I41" s="343"/>
      <c r="J41" s="343"/>
      <c r="K41" s="343"/>
      <c r="L41" s="343"/>
      <c r="M41" s="344"/>
    </row>
    <row r="42" spans="2:16" ht="15.75" thickBot="1" x14ac:dyDescent="0.3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142738.3582585752</v>
      </c>
    </row>
    <row r="43" spans="2:16" ht="15.75" thickBot="1" x14ac:dyDescent="0.3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26846.800000000003</v>
      </c>
    </row>
    <row r="44" spans="2:16" x14ac:dyDescent="0.25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.75" thickBot="1" x14ac:dyDescent="0.3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.75" thickBot="1" x14ac:dyDescent="0.3">
      <c r="D46" s="57"/>
      <c r="I46" s="168" t="s">
        <v>50</v>
      </c>
      <c r="J46" s="169"/>
      <c r="K46" s="169"/>
      <c r="L46" s="170"/>
      <c r="M46" s="59">
        <f>M42-(SUM(M43:M45))</f>
        <v>95912.647983212883</v>
      </c>
    </row>
    <row r="47" spans="2:16" x14ac:dyDescent="0.25">
      <c r="I47" s="159" t="s">
        <v>49</v>
      </c>
      <c r="J47" s="160"/>
      <c r="K47" s="160"/>
      <c r="L47" s="161"/>
      <c r="M47" s="61"/>
    </row>
    <row r="48" spans="2:16" ht="15.75" thickBot="1" x14ac:dyDescent="0.3">
      <c r="D48" s="57"/>
      <c r="I48" s="165" t="s">
        <v>48</v>
      </c>
      <c r="J48" s="166"/>
      <c r="K48" s="166"/>
      <c r="L48" s="167"/>
      <c r="M48" s="60"/>
    </row>
    <row r="49" spans="3:13" ht="15.75" thickBot="1" x14ac:dyDescent="0.3">
      <c r="C49" s="56"/>
      <c r="D49" s="55"/>
      <c r="I49" s="168" t="s">
        <v>47</v>
      </c>
      <c r="J49" s="169"/>
      <c r="K49" s="169"/>
      <c r="L49" s="170"/>
      <c r="M49" s="59">
        <f>M46-SUM(M47:M48)</f>
        <v>95912.647983212883</v>
      </c>
    </row>
    <row r="52" spans="3:13" x14ac:dyDescent="0.25">
      <c r="D52" s="54"/>
    </row>
    <row r="54" spans="3:13" x14ac:dyDescent="0.25">
      <c r="D54" s="54"/>
    </row>
    <row r="56" spans="3:13" x14ac:dyDescent="0.25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2025-07-17T20:54:49Z</cp:lastPrinted>
  <dcterms:created xsi:type="dcterms:W3CDTF">2013-03-18T13:35:42Z</dcterms:created>
  <dcterms:modified xsi:type="dcterms:W3CDTF">2025-07-17T21:00:13Z</dcterms:modified>
</cp:coreProperties>
</file>