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2CFC9B35-683D-4184-8850-BDE394DF981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P29" i="1" l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K31" i="1"/>
  <c r="N22" i="1"/>
  <c r="M22" i="1"/>
  <c r="L22" i="1"/>
  <c r="L21" i="1"/>
  <c r="N21" i="1"/>
  <c r="S22" i="1" l="1"/>
  <c r="O22" i="1"/>
  <c r="P22" i="1" s="1"/>
  <c r="M21" i="1"/>
  <c r="M29" i="1" s="1"/>
  <c r="S21" i="1" l="1"/>
  <c r="S29" i="1" s="1"/>
  <c r="T21" i="1"/>
  <c r="T28" i="1" s="1"/>
  <c r="O21" i="1"/>
  <c r="P21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2" i="1" l="1"/>
  <c r="D20" i="3"/>
  <c r="E20" i="3" s="1"/>
  <c r="E21" i="3" s="1"/>
  <c r="Q20" i="1" l="1"/>
  <c r="D21" i="3"/>
  <c r="M43" i="3" s="1"/>
  <c r="D12" i="3" s="1"/>
  <c r="F20" i="3"/>
  <c r="F21" i="3" s="1"/>
  <c r="Q23" i="1" l="1"/>
  <c r="Q24" i="1"/>
  <c r="Q25" i="1"/>
  <c r="Q26" i="1"/>
  <c r="Q22" i="1"/>
  <c r="O43" i="1"/>
  <c r="E15" i="3"/>
  <c r="R26" i="1" l="1"/>
  <c r="G26" i="1"/>
  <c r="H26" i="1" s="1"/>
  <c r="R25" i="1"/>
  <c r="G25" i="1"/>
  <c r="H25" i="1" s="1"/>
  <c r="R24" i="1"/>
  <c r="G24" i="1"/>
  <c r="H24" i="1" s="1"/>
  <c r="R22" i="1"/>
  <c r="G22" i="1"/>
  <c r="H22" i="1" s="1"/>
  <c r="R23" i="1"/>
  <c r="G23" i="1"/>
  <c r="H23" i="1" s="1"/>
  <c r="Q21" i="1"/>
  <c r="G21" i="1" s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<sst xmlns="http://schemas.openxmlformats.org/spreadsheetml/2006/main" count="241" uniqueCount="177">
  <si>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</si>
  <si>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</si>
  <si>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</si>
  <si>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</si>
  <si>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</si>
  <si>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</si>
  <si>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</si>
  <si>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</si>
  <si>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</si>
  <si>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</si>
  <si>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</si>
  <si>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</si>
  <si>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</si>
  <si>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</si>
  <si>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</si>
  <si>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</si>
  <si>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</si>
  <si>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</si>
  <si>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</si>
  <si>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</si>
  <si>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</si>
  <si>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</si>
  <si>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</si>
  <si>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</si>
  <si>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</si>
  <si>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</si>
  <si>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</si>
  <si>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</si>
  <si>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</si>
  <si>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</si>
  <si>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</si>
  <si>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</si>
  <si>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</si>
  <si>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</si>
  <si>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</si>
  <si>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</si>
  <si>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</si>
  <si>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</si>
  <si>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</si>
  <si>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</si>
  <si>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</si>
  <si>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</si>
  <si>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</si>
  <si>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</si>
  <si>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</si>
  <si>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</si>
  <si>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</si>
  <si>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</si>
  <si>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</si>
  <si>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</si>
  <si>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</si>
  <si>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</si>
  <si>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</si>
  <si>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</si>
  <si>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</si>
  <si>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</si>
  <si>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</si>
  <si>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</si>
  <si>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</si>
  <si>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</si>
  <si>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</si>
  <si>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</si>
  <si>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</si>
  <si>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</si>
  <si>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</si>
  <si>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</si>
  <si>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</si>
  <si>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</si>
  <si>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</si>
  <si>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</si>
  <si>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</si>
  <si>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</si>
  <si>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</si>
  <si>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</si>
  <si>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</si>
  <si>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</si>
  <si>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</si>
  <si>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</si>
  <si>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</si>
  <si>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</si>
  <si>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</si>
  <si>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</si>
  <si>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</si>
  <si>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</si>
  <si>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</si>
  <si>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</si>
  <si>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</si>
  <si>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</si>
  <si>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</si>
  <si>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</si>
  <si>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</si>
  <si>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</si>
  <si>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</si>
  <si>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</si>
  <si>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</si>
  <si>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</si>
  <si>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</si>
  <si>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</si>
  <si>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</si>
  <si>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</si>
  <si>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</si>
  <si>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</si>
  <si>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</si>
  <si>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</si>
  <si>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</si>
  <si>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</si>
  <si>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</si>
  <si>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</si>
  <si>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</si>
  <si>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</si>
  <si>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</si>
  <si>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</si>
  <si>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</si>
  <si>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</si>
  <si>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</si>
  <si>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</si>
  <si>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</si>
  <si>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</si>
  <si>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</si>
  <si>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</si>
  <si>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</si>
  <si>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</si>
  <si>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</si>
  <si>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</si>
  <si>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</si>
  <si>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</si>
  <si>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</si>
  <si>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</si>
  <si>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</si>
  <si>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</si>
  <si>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</si>
  <si>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</si>
  <si>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</si>
  <si>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</si>
  <si>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</si>
  <si>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</si>
  <si>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</si>
  <si>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</si>
  <si>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</si>
  <si>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</si>
  <si>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</si>
  <si>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</si>
  <si>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</si>
  <si>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</si>
  <si>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</si>
  <si>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</si>
  <si>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</si>
  <si>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</si>
  <si>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</si>
  <si>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</si>
  <si>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</si>
  <si>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</si>
  <si>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</si>
  <si>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</si>
  <si>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</si>
  <si>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</si>
  <si>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</si>
  <si>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</si>
  <si>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</si>
  <si>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</si>
  <si>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</si>
  <si>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</si>
  <si>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</si>
  <si>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</si>
  <si>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</si>
  <si>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</si>
  <si>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</si>
  <si>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</si>
  <si>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</si>
  <si>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PUERTA POSTFORMADA R8</t>
  </si>
  <si>
    <t>CARIBE 2182 BR</t>
  </si>
  <si>
    <t>CARIBE 2282 BR</t>
  </si>
  <si>
    <t>N° 11505</t>
  </si>
  <si>
    <t>ELENA MARTINEZ</t>
  </si>
  <si>
    <t>569 87397624</t>
  </si>
  <si>
    <t>SI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</si>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</sst>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173</v>
      </c>
      <c r="D10" s="243"/>
      <c r="E10" s="243"/>
      <c r="F10" s="244" t="s">
        <v>167</v>
      </c>
      <c r="G10" s="275">
        <v>45845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176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175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174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4" t="s">
        <v>162</v>
      </c>
      <c r="G17" s="334"/>
      <c r="H17" s="335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O42</f>
        <v>80104.403669724779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1</v>
      </c>
      <c r="C21" s="315" t="s">
        <v>169</v>
      </c>
      <c r="D21" s="316">
        <v>0.9</v>
      </c>
      <c r="E21" s="316">
        <v>0.6</v>
      </c>
      <c r="F21" s="315" t="s">
        <v>170</v>
      </c>
      <c r="G21" s="317">
        <f>Q21+5000</f>
        <v>52101.389357798165</v>
      </c>
      <c r="H21" s="317">
        <f>G21*B21</f>
        <v>52101.389357798165</v>
      </c>
      <c r="I21" s="305"/>
      <c r="J21" s="264"/>
      <c r="K21" s="47"/>
      <c r="L21" s="47">
        <f>B21</f>
        <v>1</v>
      </c>
      <c r="M21" s="39">
        <f>D21+M$19</f>
        <v>0.98</v>
      </c>
      <c r="N21" s="39">
        <f>E21+$N$19</f>
        <v>0.6</v>
      </c>
      <c r="O21" s="260">
        <f t="shared" ref="O21" si="1">M21*N21</f>
        <v>0.58799999999999997</v>
      </c>
      <c r="P21" s="258">
        <f t="shared" ref="P21" si="2">O21*L21</f>
        <v>0.58799999999999997</v>
      </c>
      <c r="Q21" s="251">
        <f t="shared" ref="Q21" si="3">Q$20*O21</f>
        <v>47101.389357798165</v>
      </c>
      <c r="R21" s="304">
        <f t="shared" ref="R21" si="4">Q21+R$20</f>
        <v>50101.389357798165</v>
      </c>
      <c r="S21" s="292">
        <f>M21*L21</f>
        <v>0.98</v>
      </c>
      <c r="T21" s="46">
        <f>N21*2*L21*2</f>
        <v>2.4</v>
      </c>
      <c r="U21" s="9"/>
      <c r="X21" s="4"/>
    </row>
    <row r="22" spans="2:25" ht="17.399999999999999" x14ac:dyDescent="0.3">
      <c r="B22" s="315">
        <v>1</v>
      </c>
      <c r="C22" s="315" t="s">
        <v>169</v>
      </c>
      <c r="D22" s="316">
        <v>0.7</v>
      </c>
      <c r="E22" s="316">
        <v>0.6</v>
      </c>
      <c r="F22" s="315" t="s">
        <v>171</v>
      </c>
      <c r="G22" s="317">
        <f t="shared" ref="G22:G26" si="5">Q22+5000</f>
        <v>42488.860917431193</v>
      </c>
      <c r="H22" s="317">
        <f t="shared" ref="H22:H26" si="6">G22*B22</f>
        <v>42488.860917431193</v>
      </c>
      <c r="I22" s="305"/>
      <c r="J22" s="264"/>
      <c r="K22" s="47"/>
      <c r="L22" s="47">
        <f t="shared" ref="L22" si="7">B22</f>
        <v>1</v>
      </c>
      <c r="M22" s="39">
        <f t="shared" ref="M22" si="8">D22+M$19</f>
        <v>0.77999999999999992</v>
      </c>
      <c r="N22" s="39">
        <f t="shared" ref="N22" si="9">E22+$N$19</f>
        <v>0.6</v>
      </c>
      <c r="O22" s="260">
        <f t="shared" ref="O22" si="10">M22*N22</f>
        <v>0.46799999999999992</v>
      </c>
      <c r="P22" s="258">
        <f t="shared" ref="P22" si="11">O22*L22</f>
        <v>0.46799999999999992</v>
      </c>
      <c r="Q22" s="251">
        <f t="shared" ref="Q22" si="12">Q$20*O22</f>
        <v>37488.860917431193</v>
      </c>
      <c r="R22" s="304">
        <f t="shared" ref="R22" si="13">Q22+R$20</f>
        <v>40488.860917431193</v>
      </c>
      <c r="S22" s="292">
        <f t="shared" ref="S22" si="14">M22*L22</f>
        <v>0.77999999999999992</v>
      </c>
      <c r="T22" s="46"/>
      <c r="U22" s="9"/>
      <c r="X22" s="4"/>
    </row>
    <row r="23" spans="2:25" ht="17.399999999999999" x14ac:dyDescent="0.3">
      <c r="B23" s="315">
        <v>2</v>
      </c>
      <c r="C23" s="315" t="s">
        <v>169</v>
      </c>
      <c r="D23" s="316">
        <v>0.7</v>
      </c>
      <c r="E23" s="316">
        <v>0.4</v>
      </c>
      <c r="F23" s="315" t="s">
        <v>171</v>
      </c>
      <c r="G23" s="317">
        <f t="shared" si="5"/>
        <v>29992.573944954132</v>
      </c>
      <c r="H23" s="317">
        <f t="shared" si="6"/>
        <v>59985.147889908265</v>
      </c>
      <c r="I23" s="305"/>
      <c r="J23" s="264"/>
      <c r="K23" s="47"/>
      <c r="L23" s="47">
        <f t="shared" ref="L23:L26" si="15">B23</f>
        <v>2</v>
      </c>
      <c r="M23" s="39">
        <f t="shared" ref="M23:M26" si="16">D23+M$19</f>
        <v>0.77999999999999992</v>
      </c>
      <c r="N23" s="39">
        <f t="shared" ref="N23:N26" si="17">E23+$N$19</f>
        <v>0.4</v>
      </c>
      <c r="O23" s="260">
        <f t="shared" ref="O23:O26" si="18">M23*N23</f>
        <v>0.312</v>
      </c>
      <c r="P23" s="258">
        <f t="shared" ref="P23:P26" si="19">O23*L23</f>
        <v>0.624</v>
      </c>
      <c r="Q23" s="251">
        <f t="shared" ref="Q23:Q26" si="20">Q$20*O23</f>
        <v>24992.573944954132</v>
      </c>
      <c r="R23" s="304">
        <f t="shared" ref="R23:R26" si="21">Q23+R$20</f>
        <v>27992.573944954132</v>
      </c>
      <c r="S23" s="292">
        <f t="shared" ref="S23:S26" si="22">M23*L23</f>
        <v>1.5599999999999998</v>
      </c>
      <c r="T23" s="46"/>
      <c r="U23" s="9"/>
      <c r="X23" s="4"/>
    </row>
    <row r="24" spans="2:25" ht="17.399999999999999" x14ac:dyDescent="0.3">
      <c r="B24" s="315">
        <v>1</v>
      </c>
      <c r="C24" s="315" t="s">
        <v>169</v>
      </c>
      <c r="D24" s="316">
        <v>0.7</v>
      </c>
      <c r="E24" s="316">
        <v>0.2</v>
      </c>
      <c r="F24" s="315" t="s">
        <v>171</v>
      </c>
      <c r="G24" s="317">
        <f t="shared" si="5"/>
        <v>17496.286972477064</v>
      </c>
      <c r="H24" s="317">
        <f t="shared" si="6"/>
        <v>17496.286972477064</v>
      </c>
      <c r="I24" s="305"/>
      <c r="J24" s="264"/>
      <c r="K24" s="47"/>
      <c r="L24" s="47">
        <f t="shared" si="15"/>
        <v>1</v>
      </c>
      <c r="M24" s="39">
        <f t="shared" si="16"/>
        <v>0.77999999999999992</v>
      </c>
      <c r="N24" s="39">
        <f t="shared" si="17"/>
        <v>0.2</v>
      </c>
      <c r="O24" s="260">
        <f t="shared" si="18"/>
        <v>0.156</v>
      </c>
      <c r="P24" s="258">
        <f t="shared" si="19"/>
        <v>0.156</v>
      </c>
      <c r="Q24" s="251">
        <f t="shared" si="20"/>
        <v>12496.286972477066</v>
      </c>
      <c r="R24" s="304">
        <f t="shared" si="21"/>
        <v>15496.286972477066</v>
      </c>
      <c r="S24" s="292">
        <f t="shared" si="22"/>
        <v>0.77999999999999992</v>
      </c>
      <c r="T24" s="46"/>
      <c r="U24" s="9"/>
      <c r="X24" s="4"/>
    </row>
    <row r="25" spans="2:25" ht="17.399999999999999" x14ac:dyDescent="0.3">
      <c r="B25" s="315">
        <v>1</v>
      </c>
      <c r="C25" s="315" t="s">
        <v>169</v>
      </c>
      <c r="D25" s="316">
        <v>0.7</v>
      </c>
      <c r="E25" s="316">
        <v>0.2</v>
      </c>
      <c r="F25" s="315" t="s">
        <v>170</v>
      </c>
      <c r="G25" s="317">
        <f t="shared" si="5"/>
        <v>17496.286972477064</v>
      </c>
      <c r="H25" s="317">
        <f t="shared" si="6"/>
        <v>17496.286972477064</v>
      </c>
      <c r="I25" s="305"/>
      <c r="J25" s="264"/>
      <c r="K25" s="47"/>
      <c r="L25" s="47">
        <f t="shared" si="15"/>
        <v>1</v>
      </c>
      <c r="M25" s="39">
        <f t="shared" si="16"/>
        <v>0.77999999999999992</v>
      </c>
      <c r="N25" s="39">
        <f t="shared" si="17"/>
        <v>0.2</v>
      </c>
      <c r="O25" s="260">
        <f t="shared" si="18"/>
        <v>0.156</v>
      </c>
      <c r="P25" s="258">
        <f t="shared" si="19"/>
        <v>0.156</v>
      </c>
      <c r="Q25" s="251">
        <f t="shared" si="20"/>
        <v>12496.286972477066</v>
      </c>
      <c r="R25" s="304">
        <f t="shared" si="21"/>
        <v>15496.286972477066</v>
      </c>
      <c r="S25" s="292">
        <f t="shared" si="22"/>
        <v>0.77999999999999992</v>
      </c>
      <c r="T25" s="46"/>
      <c r="U25" s="9"/>
      <c r="X25" s="4"/>
    </row>
    <row r="26" spans="2:25" ht="17.399999999999999" x14ac:dyDescent="0.3">
      <c r="B26" s="315">
        <v>2</v>
      </c>
      <c r="C26" s="315" t="s">
        <v>169</v>
      </c>
      <c r="D26" s="316">
        <v>0.7</v>
      </c>
      <c r="E26" s="316">
        <v>0.4</v>
      </c>
      <c r="F26" s="315" t="s">
        <v>171</v>
      </c>
      <c r="G26" s="317">
        <f t="shared" si="5"/>
        <v>29992.573944954132</v>
      </c>
      <c r="H26" s="317">
        <f t="shared" si="6"/>
        <v>59985.147889908265</v>
      </c>
      <c r="I26" s="305"/>
      <c r="J26" s="264"/>
      <c r="K26" s="47"/>
      <c r="L26" s="47">
        <f t="shared" si="15"/>
        <v>2</v>
      </c>
      <c r="M26" s="39">
        <f t="shared" si="16"/>
        <v>0.77999999999999992</v>
      </c>
      <c r="N26" s="39">
        <f t="shared" si="17"/>
        <v>0.4</v>
      </c>
      <c r="O26" s="260">
        <f t="shared" si="18"/>
        <v>0.312</v>
      </c>
      <c r="P26" s="258">
        <f t="shared" si="19"/>
        <v>0.624</v>
      </c>
      <c r="Q26" s="251">
        <f t="shared" si="20"/>
        <v>24992.573944954132</v>
      </c>
      <c r="R26" s="304">
        <f t="shared" si="21"/>
        <v>27992.573944954132</v>
      </c>
      <c r="S26" s="292">
        <f t="shared" si="22"/>
        <v>1.5599999999999998</v>
      </c>
      <c r="T26" s="46"/>
      <c r="U26" s="9"/>
      <c r="X26" s="4"/>
    </row>
    <row r="27" spans="2:25" ht="18" thickBot="1" x14ac:dyDescent="0.35">
      <c r="B27" s="282"/>
      <c r="C27" s="282"/>
      <c r="D27" s="283"/>
      <c r="E27" s="283"/>
      <c r="F27" s="282"/>
      <c r="G27" s="264"/>
      <c r="H27" s="306"/>
      <c r="I27" s="308"/>
      <c r="J27" s="233"/>
      <c r="K27" s="47"/>
      <c r="L27" s="47"/>
      <c r="M27" s="39"/>
      <c r="N27" s="39"/>
      <c r="O27" s="260"/>
      <c r="P27" s="258"/>
      <c r="Q27" s="251"/>
      <c r="R27" s="257"/>
      <c r="S27" s="292"/>
      <c r="T27" s="14"/>
      <c r="U27" s="9"/>
      <c r="X27" s="4"/>
    </row>
    <row r="28" spans="2:25" ht="17.399999999999999" x14ac:dyDescent="0.3">
      <c r="B28" s="282"/>
      <c r="C28" s="282"/>
      <c r="D28" s="283"/>
      <c r="E28" s="283"/>
      <c r="F28" s="282"/>
      <c r="G28" s="309" t="s">
        <v>28</v>
      </c>
      <c r="H28" s="310">
        <f>SUM(H21:H27)</f>
        <v>249553.12000000002</v>
      </c>
      <c r="I28" s="307"/>
      <c r="J28" s="264"/>
      <c r="K28" s="333">
        <v>1.1299999999999999</v>
      </c>
      <c r="L28" s="47"/>
      <c r="M28" s="39"/>
      <c r="N28" s="39"/>
      <c r="O28" s="260"/>
      <c r="P28" s="258"/>
      <c r="Q28" s="251"/>
      <c r="R28" s="257"/>
      <c r="S28" s="292"/>
      <c r="T28" s="46">
        <f>SUM(T21:T27)</f>
        <v>2.4</v>
      </c>
      <c r="U28" s="9"/>
      <c r="X28" s="4"/>
    </row>
    <row r="29" spans="2:25" ht="17.399999999999999" x14ac:dyDescent="0.3">
      <c r="B29" s="276"/>
      <c r="C29" s="279"/>
      <c r="D29" s="280"/>
      <c r="E29" s="280"/>
      <c r="F29" s="281"/>
      <c r="G29" s="291" t="s">
        <v>51</v>
      </c>
      <c r="H29" s="289">
        <f>H28*19%</f>
        <v>47415.092800000006</v>
      </c>
      <c r="I29" s="307"/>
      <c r="J29" s="264"/>
      <c r="K29" s="333">
        <v>1.1399999999999999</v>
      </c>
      <c r="L29" s="47"/>
      <c r="M29" s="39">
        <f>SUM(M21:M26)</f>
        <v>4.88</v>
      </c>
      <c r="N29" s="12"/>
      <c r="O29" s="12"/>
      <c r="P29" s="252">
        <f>SUM(P21:P27)</f>
        <v>2.6159999999999997</v>
      </c>
      <c r="Q29" s="14"/>
      <c r="R29" s="12"/>
      <c r="S29" s="239">
        <f>SUM(S21:S28)</f>
        <v>6.4399999999999995</v>
      </c>
      <c r="T29" s="46"/>
      <c r="U29" s="9"/>
      <c r="X29" s="4"/>
    </row>
    <row r="30" spans="2:25" ht="18" thickBot="1" x14ac:dyDescent="0.35">
      <c r="B30" s="274"/>
      <c r="C30" s="278"/>
      <c r="D30" s="271"/>
      <c r="E30" s="271"/>
      <c r="F30" s="272"/>
      <c r="G30" s="277" t="s">
        <v>6</v>
      </c>
      <c r="H30" s="290">
        <f>H28+H29</f>
        <v>296968.21280000004</v>
      </c>
      <c r="I30" s="307"/>
      <c r="J30" s="264"/>
      <c r="K30" s="333">
        <v>0.64</v>
      </c>
      <c r="L30" s="47"/>
      <c r="M30" s="39"/>
      <c r="N30" s="12"/>
      <c r="O30" s="12"/>
      <c r="P30" s="252">
        <f>P29</f>
        <v>2.6159999999999997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333">
        <f>SUM(K28:K30)</f>
        <v>2.9099999999999997</v>
      </c>
      <c r="L31" s="47"/>
      <c r="M31" s="14"/>
      <c r="N31" s="12"/>
      <c r="O31" s="12"/>
      <c r="P31" s="39">
        <f>P30*20%</f>
        <v>0.5232</v>
      </c>
      <c r="Q31" s="39" t="s">
        <v>129</v>
      </c>
      <c r="R31" s="42"/>
      <c r="S31" s="240"/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3.1391999999999998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296" t="s">
        <v>21</v>
      </c>
      <c r="V33" s="293" t="s">
        <v>149</v>
      </c>
      <c r="W33" s="297">
        <v>44971</v>
      </c>
      <c r="X33" s="298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3.1391999999999998</v>
      </c>
      <c r="N34" s="12">
        <v>3500</v>
      </c>
      <c r="O34" s="12">
        <f t="shared" ref="O34:O39" si="23">M34*N34</f>
        <v>10987.199999999999</v>
      </c>
      <c r="P34" s="14" t="s">
        <v>21</v>
      </c>
      <c r="Q34" s="14"/>
      <c r="R34" s="14"/>
      <c r="S34" s="241"/>
      <c r="T34" s="14"/>
      <c r="U34" s="296" t="s">
        <v>150</v>
      </c>
      <c r="V34" s="293">
        <v>3625</v>
      </c>
      <c r="W34" s="59" t="s">
        <v>151</v>
      </c>
      <c r="X34" s="298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0.85</v>
      </c>
      <c r="N35" s="12">
        <v>40000</v>
      </c>
      <c r="O35" s="12">
        <f t="shared" si="23"/>
        <v>34000</v>
      </c>
      <c r="P35" s="39" t="s">
        <v>31</v>
      </c>
      <c r="Q35" s="42"/>
      <c r="R35" s="14"/>
      <c r="S35" s="240"/>
      <c r="T35" s="14"/>
      <c r="U35" s="296"/>
      <c r="V35" s="59">
        <v>906.25</v>
      </c>
      <c r="W35" s="59" t="s">
        <v>152</v>
      </c>
      <c r="X35" s="298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37000</v>
      </c>
      <c r="O36" s="12">
        <f t="shared" si="23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8" t="s">
        <v>153</v>
      </c>
      <c r="X36" s="59"/>
    </row>
    <row r="37" spans="1:24" s="230" customFormat="1" ht="17.399999999999999" x14ac:dyDescent="0.35">
      <c r="B37" s="24" t="s">
        <v>164</v>
      </c>
      <c r="C37"/>
      <c r="D37"/>
      <c r="E37"/>
      <c r="F37"/>
      <c r="J37" s="261"/>
      <c r="K37" s="232"/>
      <c r="L37" s="249"/>
      <c r="M37" s="14">
        <v>2</v>
      </c>
      <c r="N37" s="249">
        <v>27400</v>
      </c>
      <c r="O37" s="12">
        <f t="shared" si="23"/>
        <v>54800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8" t="s">
        <v>154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2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8"/>
      <c r="K39" s="259"/>
      <c r="L39" s="249"/>
      <c r="M39" s="265"/>
      <c r="N39" s="12">
        <v>1500</v>
      </c>
      <c r="O39" s="12">
        <f t="shared" si="23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99787.199999999997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O40*2.1</f>
        <v>209553.12</v>
      </c>
      <c r="P41" s="14" t="s">
        <v>138</v>
      </c>
      <c r="Q41" s="14"/>
      <c r="R41" s="40">
        <f>P32/R40</f>
        <v>0.84641932700603961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L42" s="249"/>
      <c r="M42" s="14"/>
      <c r="N42" s="12"/>
      <c r="O42" s="12">
        <f>O41/P30</f>
        <v>80104.403669724779</v>
      </c>
      <c r="P42" s="45" t="s">
        <v>24</v>
      </c>
      <c r="Q42" s="14"/>
      <c r="R42" s="14"/>
      <c r="S42"/>
      <c r="T42" s="238"/>
      <c r="U42" s="59" t="s">
        <v>155</v>
      </c>
      <c r="V42" s="293">
        <v>43650</v>
      </c>
    </row>
    <row r="43" spans="1:24" s="230" customFormat="1" ht="17.399999999999999" x14ac:dyDescent="0.35">
      <c r="G43"/>
      <c r="L43" s="249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157</v>
      </c>
      <c r="V43" s="294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5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45845</v>
      </c>
    </row>
    <row r="6" spans="2:31" ht="16.2" thickBot="1" x14ac:dyDescent="0.35">
      <c r="B6" s="140" t="s">
        <v>2</v>
      </c>
      <c r="C6" s="139" t="str">
        <f>'2229'!C10</f>
        <v>ELENA MARTINEZ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-21016.331700120776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249553.12000000002</v>
      </c>
      <c r="E11" s="132">
        <f>D11*0.19</f>
        <v>47415.092800000006</v>
      </c>
      <c r="F11" s="131">
        <f>E11+D11</f>
        <v>296968.21280000004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84973.668299879224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74821.290787439619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66973.668299879224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174731.82921256041</v>
      </c>
      <c r="E13" s="221">
        <f>(D11/D12)-1</f>
        <v>2.3353223043018252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57973.668299879224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18973.668299879224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123455.12979927537</v>
      </c>
      <c r="F15" s="216">
        <f>E15-D12</f>
        <v>48633.839011835749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18973.668299879224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58973.668299879224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34000</v>
      </c>
      <c r="E19" s="123">
        <f>D19*0.19</f>
        <v>6460</v>
      </c>
      <c r="F19" s="120">
        <f>SUM(D19:E19)</f>
        <v>40460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10987.199999999999</v>
      </c>
      <c r="E20" s="121">
        <f>D20*0.19</f>
        <v>2087.5679999999998</v>
      </c>
      <c r="F20" s="120">
        <f>SUM(D20:E20)</f>
        <v>13074.767999999998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44987.199999999997</v>
      </c>
      <c r="E21" s="116">
        <f>SUM(E18:E20)</f>
        <v>8547.5679999999993</v>
      </c>
      <c r="F21" s="115">
        <f>SUM(F18:F20)</f>
        <v>53534.767999999996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38867.524800000007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249553.12000000002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44987.199999999997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174731.82921256041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174731.82921256041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2025-07-07T16:17:58Z</cp:lastPrinted>
  <dcterms:created xsi:type="dcterms:W3CDTF">2013-03-18T13:35:42Z</dcterms:created>
  <dcterms:modified xsi:type="dcterms:W3CDTF">2025-07-08T02:27:20Z</dcterms:modified>
</cp:coreProperties>
</file>