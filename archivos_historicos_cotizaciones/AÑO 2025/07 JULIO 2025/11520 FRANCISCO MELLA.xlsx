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6CC863FC-7EF6-45A5-B339-3C7DAA880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3" i="1"/>
  <c r="M23" i="1"/>
  <c r="O23" i="1" s="1"/>
  <c r="P23" i="1" s="1"/>
  <c r="N23" i="1"/>
  <c r="L24" i="1"/>
  <c r="M24" i="1"/>
  <c r="N24" i="1"/>
  <c r="O24" i="1"/>
  <c r="S24" i="1"/>
  <c r="L22" i="1"/>
  <c r="M22" i="1"/>
  <c r="S22" i="1" s="1"/>
  <c r="N22" i="1"/>
  <c r="S23" i="1" l="1"/>
  <c r="P24" i="1"/>
  <c r="O22" i="1"/>
  <c r="P22" i="1" s="1"/>
  <c r="L21" i="1"/>
  <c r="M21" i="1"/>
  <c r="M26" i="1" s="1"/>
  <c r="N21" i="1"/>
  <c r="O21" i="1" l="1"/>
  <c r="P21" i="1" s="1"/>
  <c r="P27" i="1" s="1"/>
  <c r="S21" i="1"/>
  <c r="T26" i="1"/>
  <c r="K41" i="1"/>
  <c r="S28" i="1" l="1"/>
  <c r="S29" i="1" s="1"/>
  <c r="S30" i="1" s="1"/>
  <c r="S31" i="1" s="1"/>
  <c r="V34" i="1"/>
  <c r="V35" i="1" s="1"/>
  <c r="O33" i="1" l="1"/>
  <c r="P28" i="1" l="1"/>
  <c r="N20" i="1"/>
  <c r="L20" i="1"/>
  <c r="P29" i="1" l="1"/>
  <c r="P30" i="1" s="1"/>
  <c r="O34" i="1"/>
  <c r="D18" i="3" s="1"/>
  <c r="R38" i="1"/>
  <c r="M32" i="1" l="1"/>
  <c r="R39" i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Q21" i="1"/>
  <c r="O41" i="1"/>
  <c r="E15" i="3"/>
  <c r="H21" i="1" l="1"/>
  <c r="R22" i="1"/>
  <c r="H22" i="1"/>
  <c r="R21" i="1"/>
  <c r="F15" i="3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<sst xmlns="http://schemas.openxmlformats.org/spreadsheetml/2006/main" count="236" uniqueCount="174">
  <si>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</si>
  <si>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</si>
  <si>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</si>
  <si>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</si>
  <si>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</si>
  <si>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</si>
  <si>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</si>
  <si>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</si>
  <si>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</si>
  <si>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</si>
  <si>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</si>
  <si>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</si>
  <si>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</si>
  <si>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</si>
  <si>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</si>
  <si>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</si>
  <si>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</si>
  <si>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</si>
  <si>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</si>
  <si>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</si>
  <si>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</si>
  <si>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</si>
  <si>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</si>
  <si>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</si>
  <si>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</si>
  <si>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</si>
  <si>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</si>
  <si>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</si>
  <si>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</si>
  <si>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</si>
  <si>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</si>
  <si>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</si>
  <si>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</si>
  <si>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</si>
  <si>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</si>
  <si>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</si>
  <si>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</si>
  <si>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</si>
  <si>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</si>
  <si>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</si>
  <si>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</si>
  <si>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</si>
  <si>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</si>
  <si>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</si>
  <si>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</si>
  <si>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</si>
  <si>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</si>
  <si>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</si>
  <si>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</si>
  <si>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</si>
  <si>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</si>
  <si>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</si>
  <si>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</si>
  <si>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</si>
  <si>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</si>
  <si>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</si>
  <si>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</si>
  <si>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</si>
  <si>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</si>
  <si>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</si>
  <si>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</si>
  <si>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</si>
  <si>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</si>
  <si>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</si>
  <si>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</si>
  <si>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</si>
  <si>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</si>
  <si>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</si>
  <si>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</si>
  <si>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</si>
  <si>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</si>
  <si>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</si>
  <si>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</si>
  <si>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</si>
  <si>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</si>
  <si>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</si>
  <si>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</si>
  <si>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</si>
  <si>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</si>
  <si>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</si>
  <si>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</si>
  <si>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</si>
  <si>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</si>
  <si>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</si>
  <si>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</si>
  <si>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</si>
  <si>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</si>
  <si>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</si>
  <si>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</si>
  <si>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</si>
  <si>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</si>
  <si>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</si>
  <si>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</si>
  <si>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</si>
  <si>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</si>
  <si>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</si>
  <si>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</si>
  <si>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</si>
  <si>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</si>
  <si>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</si>
  <si>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</si>
  <si>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</si>
  <si>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</si>
  <si>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</si>
  <si>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</si>
  <si>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</si>
  <si>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</si>
  <si>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</si>
  <si>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</si>
  <si>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</si>
  <si>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</si>
  <si>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</si>
  <si>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</si>
  <si>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</si>
  <si>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</si>
  <si>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</si>
  <si>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</si>
  <si>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</si>
  <si>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</si>
  <si>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</si>
  <si>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</si>
  <si>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</si>
  <si>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</si>
  <si>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</si>
  <si>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</si>
  <si>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</si>
  <si>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</si>
  <si>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</si>
  <si>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</si>
  <si>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</si>
  <si>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</si>
  <si>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</si>
  <si>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</si>
  <si>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</si>
  <si>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</si>
  <si>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</si>
  <si>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</si>
  <si>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</si>
  <si>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</si>
  <si>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</si>
  <si>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</si>
  <si>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</si>
  <si>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</si>
  <si>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</si>
  <si>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</si>
  <si>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</si>
  <si>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</si>
  <si>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</si>
  <si>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</si>
  <si>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</si>
  <si>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</si>
  <si>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</si>
  <si>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</si>
  <si>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</si>
  <si>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</si>
  <si>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</si>
  <si>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</si>
  <si>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</si>
  <si>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</si>
  <si>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</si>
  <si>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</si>
  <si>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</si>
  <si>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</si>
  <si>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</si>
  <si>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</si>
  <si>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</si>
  <si>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</si>
  <si>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</si>
  <si>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N° 11520</t>
  </si>
  <si>
    <t>FRANCISCO MELLA</t>
  </si>
  <si>
    <t>5 DIAS HABILES</t>
  </si>
  <si>
    <t>+56 9 8451 4974</t>
  </si>
  <si>
    <t>CUB CON RESPALDO FRENTE 90° R12</t>
  </si>
  <si>
    <t>MILENIA PP-5983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</si>
</sst>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0" fillId="20" borderId="0" xfId="0" applyNumberFormat="1" applyFill="1"/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29</xdr:row>
      <xdr:rowOff>9525</xdr:rowOff>
    </xdr:from>
    <xdr:to>
      <xdr:col>5</xdr:col>
      <xdr:colOff>1769808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25</xdr:row>
      <xdr:rowOff>9525</xdr:rowOff>
    </xdr:from>
    <xdr:to>
      <xdr:col>5</xdr:col>
      <xdr:colOff>1753421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4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126</v>
      </c>
      <c r="C8" s="329"/>
      <c r="D8" s="330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169</v>
      </c>
      <c r="D10" s="243"/>
      <c r="E10" s="243"/>
      <c r="F10" s="244" t="s">
        <v>0</v>
      </c>
      <c r="G10" s="276">
        <v>45852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171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2:25" ht="15" thickBot="1" x14ac:dyDescent="0.35">
      <c r="B17" s="309" t="s">
        <v>13</v>
      </c>
      <c r="C17" s="310" t="s">
        <v>166</v>
      </c>
      <c r="D17" s="311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84513.936170212764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1">
        <v>1</v>
      </c>
      <c r="C21" s="331" t="s">
        <v>172</v>
      </c>
      <c r="D21" s="332">
        <v>0.9</v>
      </c>
      <c r="E21" s="332">
        <v>0.6</v>
      </c>
      <c r="F21" s="331" t="s">
        <v>173</v>
      </c>
      <c r="G21" s="333">
        <v>54318</v>
      </c>
      <c r="H21" s="333">
        <f>G21*B21</f>
        <v>54318</v>
      </c>
      <c r="I21" s="318"/>
      <c r="J21" s="265"/>
      <c r="K21" s="47"/>
      <c r="L21" s="324">
        <f>B21</f>
        <v>1</v>
      </c>
      <c r="M21" s="39">
        <f t="shared" ref="M21" si="1">D21+M$19</f>
        <v>0.98</v>
      </c>
      <c r="N21" s="39">
        <f t="shared" ref="N21" si="2">E21+$N$19</f>
        <v>0.6</v>
      </c>
      <c r="O21" s="261">
        <f t="shared" ref="O21" si="3">M21*N21</f>
        <v>0.58799999999999997</v>
      </c>
      <c r="P21" s="259">
        <f t="shared" ref="P21" si="4">O21*L21</f>
        <v>0.58799999999999997</v>
      </c>
      <c r="Q21" s="252">
        <f t="shared" ref="Q21" si="5">Q$20*O21</f>
        <v>49694.194468085101</v>
      </c>
      <c r="R21" s="317">
        <f t="shared" ref="R21" si="6">Q21+R$20</f>
        <v>51694.194468085101</v>
      </c>
      <c r="S21" s="295">
        <f t="shared" ref="S21" si="7">M21*L21</f>
        <v>0.98</v>
      </c>
      <c r="T21" s="46"/>
      <c r="U21" s="9"/>
      <c r="X21" s="4"/>
    </row>
    <row r="22" spans="2:25" ht="17.399999999999999" x14ac:dyDescent="0.3">
      <c r="B22" s="331">
        <v>1</v>
      </c>
      <c r="C22" s="331" t="s">
        <v>172</v>
      </c>
      <c r="D22" s="332">
        <v>2.4</v>
      </c>
      <c r="E22" s="332">
        <v>0.6</v>
      </c>
      <c r="F22" s="331" t="s">
        <v>173</v>
      </c>
      <c r="G22" s="333">
        <v>134395</v>
      </c>
      <c r="H22" s="333">
        <f>G22*B22</f>
        <v>134395</v>
      </c>
      <c r="I22" s="318"/>
      <c r="J22" s="265"/>
      <c r="K22" s="47"/>
      <c r="L22" s="324">
        <f t="shared" ref="L22" si="8">B22</f>
        <v>1</v>
      </c>
      <c r="M22" s="39">
        <f t="shared" ref="M22" si="9">D22+M$19</f>
        <v>2.48</v>
      </c>
      <c r="N22" s="39">
        <f t="shared" ref="N22" si="10">E22+$N$19</f>
        <v>0.6</v>
      </c>
      <c r="O22" s="261">
        <f t="shared" ref="O22" si="11">M22*N22</f>
        <v>1.488</v>
      </c>
      <c r="P22" s="259">
        <f t="shared" ref="P22" si="12">O22*L22</f>
        <v>1.488</v>
      </c>
      <c r="Q22" s="252">
        <f t="shared" ref="Q22" si="13">Q$20*O22</f>
        <v>125756.7370212766</v>
      </c>
      <c r="R22" s="317">
        <f t="shared" ref="R22" si="14">Q22+R$20</f>
        <v>127756.7370212766</v>
      </c>
      <c r="S22" s="295">
        <f t="shared" ref="S22" si="15">M22*L22</f>
        <v>2.48</v>
      </c>
      <c r="T22" s="46"/>
      <c r="U22" s="9"/>
      <c r="X22" s="4"/>
    </row>
    <row r="23" spans="2:25" ht="17.399999999999999" x14ac:dyDescent="0.3">
      <c r="B23" s="331">
        <v>1</v>
      </c>
      <c r="C23" s="331" t="s">
        <v>172</v>
      </c>
      <c r="D23" s="332">
        <v>2.2999999999999998</v>
      </c>
      <c r="E23" s="332">
        <v>0.6</v>
      </c>
      <c r="F23" s="331" t="s">
        <v>173</v>
      </c>
      <c r="G23" s="333">
        <v>129057</v>
      </c>
      <c r="H23" s="333">
        <f t="shared" ref="H23:H24" si="16">G23*B23</f>
        <v>129057</v>
      </c>
      <c r="I23" s="318"/>
      <c r="J23" s="265"/>
      <c r="K23" s="47"/>
      <c r="L23" s="324">
        <f t="shared" ref="L23:L24" si="17">B23</f>
        <v>1</v>
      </c>
      <c r="M23" s="39">
        <f t="shared" ref="M23:M24" si="18">D23+M$19</f>
        <v>2.38</v>
      </c>
      <c r="N23" s="39">
        <f t="shared" ref="N23:N24" si="19">E23+$N$19</f>
        <v>0.6</v>
      </c>
      <c r="O23" s="261">
        <f t="shared" ref="O23:O24" si="20">M23*N23</f>
        <v>1.4279999999999999</v>
      </c>
      <c r="P23" s="259">
        <f t="shared" ref="P23:P24" si="21">O23*L23</f>
        <v>1.4279999999999999</v>
      </c>
      <c r="Q23" s="252">
        <f t="shared" ref="Q23:Q24" si="22">Q$20*O23</f>
        <v>120685.90085106382</v>
      </c>
      <c r="R23" s="317">
        <f t="shared" ref="R23:R24" si="23">Q23+R$20</f>
        <v>122685.90085106382</v>
      </c>
      <c r="S23" s="295">
        <f t="shared" ref="S23:S24" si="24">M23*L23</f>
        <v>2.38</v>
      </c>
      <c r="T23" s="46"/>
      <c r="U23" s="9"/>
      <c r="X23" s="4"/>
    </row>
    <row r="24" spans="2:25" ht="17.399999999999999" x14ac:dyDescent="0.3">
      <c r="B24" s="331">
        <v>1</v>
      </c>
      <c r="C24" s="331" t="s">
        <v>172</v>
      </c>
      <c r="D24" s="332">
        <v>1.6</v>
      </c>
      <c r="E24" s="332">
        <v>0.6</v>
      </c>
      <c r="F24" s="331" t="s">
        <v>173</v>
      </c>
      <c r="G24" s="333">
        <v>91687</v>
      </c>
      <c r="H24" s="333">
        <f t="shared" si="16"/>
        <v>91687</v>
      </c>
      <c r="I24" s="318"/>
      <c r="J24" s="265"/>
      <c r="K24" s="47"/>
      <c r="L24" s="324">
        <f t="shared" si="17"/>
        <v>1</v>
      </c>
      <c r="M24" s="39">
        <f t="shared" si="18"/>
        <v>1.6800000000000002</v>
      </c>
      <c r="N24" s="39">
        <f t="shared" si="19"/>
        <v>0.6</v>
      </c>
      <c r="O24" s="261">
        <f t="shared" si="20"/>
        <v>1.008</v>
      </c>
      <c r="P24" s="259">
        <f t="shared" si="21"/>
        <v>1.008</v>
      </c>
      <c r="Q24" s="252">
        <f t="shared" si="22"/>
        <v>85190.047659574469</v>
      </c>
      <c r="R24" s="317">
        <f t="shared" si="23"/>
        <v>87190.047659574469</v>
      </c>
      <c r="S24" s="295">
        <f t="shared" si="24"/>
        <v>1.6800000000000002</v>
      </c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19"/>
      <c r="I25" s="321"/>
      <c r="J25" s="233"/>
      <c r="K25" s="47"/>
      <c r="L25" s="47"/>
      <c r="M25" s="39"/>
      <c r="N25" s="39"/>
      <c r="O25" s="261"/>
      <c r="P25" s="259"/>
      <c r="Q25" s="252"/>
      <c r="R25" s="258"/>
      <c r="S25" s="295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2" t="s">
        <v>28</v>
      </c>
      <c r="H26" s="323">
        <v>382000</v>
      </c>
      <c r="I26" s="320"/>
      <c r="J26" s="265"/>
      <c r="K26" s="47"/>
      <c r="L26" s="47"/>
      <c r="M26" s="39">
        <f>SUM(M21:M24)</f>
        <v>7.52</v>
      </c>
      <c r="N26" s="39"/>
      <c r="O26" s="261"/>
      <c r="P26" s="259"/>
      <c r="Q26" s="252"/>
      <c r="R26" s="258"/>
      <c r="S26" s="295"/>
      <c r="T26" s="46">
        <f>SUM(T21:T25)</f>
        <v>0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4" t="s">
        <v>51</v>
      </c>
      <c r="H27" s="292"/>
      <c r="I27" s="320"/>
      <c r="J27" s="265"/>
      <c r="K27" s="47"/>
      <c r="L27" s="47"/>
      <c r="N27" s="12"/>
      <c r="O27" s="12"/>
      <c r="P27" s="253">
        <f>SUM(P21:P25)</f>
        <v>4.5120000000000005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3">
        <f>H26+H27</f>
        <v>382000</v>
      </c>
      <c r="I28" s="320"/>
      <c r="J28" s="265"/>
      <c r="K28" s="47"/>
      <c r="L28" s="47"/>
      <c r="M28" s="39"/>
      <c r="N28" s="12"/>
      <c r="O28" s="12"/>
      <c r="P28" s="253">
        <f>P27</f>
        <v>4.5120000000000005</v>
      </c>
      <c r="Q28" s="14"/>
      <c r="R28" s="12"/>
      <c r="S28" s="239">
        <f>SUM(S21:S27)</f>
        <v>7.52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0.90240000000000009</v>
      </c>
      <c r="Q29" s="39" t="s">
        <v>130</v>
      </c>
      <c r="R29" s="42"/>
      <c r="S29" s="240">
        <f>S28+T26</f>
        <v>7.52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5.4144000000000005</v>
      </c>
      <c r="Q30" s="14"/>
      <c r="R30" s="14"/>
      <c r="S30" s="238">
        <f>S29*20%</f>
        <v>1.504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9.0239999999999991</v>
      </c>
      <c r="T31" s="14"/>
      <c r="U31" s="300" t="s">
        <v>21</v>
      </c>
      <c r="V31" s="297" t="s">
        <v>152</v>
      </c>
      <c r="W31" s="301">
        <v>44971</v>
      </c>
      <c r="X31" s="302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5.4144000000000005</v>
      </c>
      <c r="N32" s="12">
        <v>3500</v>
      </c>
      <c r="O32" s="12">
        <f t="shared" ref="O32:O37" si="25">M32*N32</f>
        <v>18950.400000000001</v>
      </c>
      <c r="P32" s="14" t="s">
        <v>21</v>
      </c>
      <c r="Q32" s="14"/>
      <c r="R32" s="14"/>
      <c r="S32" s="241"/>
      <c r="T32" s="14"/>
      <c r="U32" s="300" t="s">
        <v>153</v>
      </c>
      <c r="V32" s="297">
        <v>3625</v>
      </c>
      <c r="W32" s="59" t="s">
        <v>154</v>
      </c>
      <c r="X32" s="302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1.5</v>
      </c>
      <c r="N33" s="12">
        <v>23500</v>
      </c>
      <c r="O33" s="12">
        <f t="shared" si="25"/>
        <v>35250</v>
      </c>
      <c r="P33" s="39" t="s">
        <v>31</v>
      </c>
      <c r="Q33" s="42"/>
      <c r="R33" s="14"/>
      <c r="S33" s="240"/>
      <c r="T33" s="14"/>
      <c r="U33" s="300"/>
      <c r="V33" s="59">
        <v>906.25</v>
      </c>
      <c r="W33" s="59" t="s">
        <v>155</v>
      </c>
      <c r="X33" s="302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65000</v>
      </c>
      <c r="O34" s="12">
        <f t="shared" si="25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2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3</v>
      </c>
      <c r="N35" s="250">
        <v>35950</v>
      </c>
      <c r="O35" s="12">
        <f t="shared" si="25"/>
        <v>107850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2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5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1"/>
      <c r="K37" s="260"/>
      <c r="L37" s="250"/>
      <c r="M37" s="266">
        <v>7.52</v>
      </c>
      <c r="N37" s="12">
        <v>1500</v>
      </c>
      <c r="O37" s="12">
        <f t="shared" si="25"/>
        <v>11280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173330.4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381326.88</v>
      </c>
      <c r="P39" s="14" t="s">
        <v>140</v>
      </c>
      <c r="Q39" s="14"/>
      <c r="R39" s="40">
        <f>P30/R38</f>
        <v>1.4598792062122521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46000</v>
      </c>
      <c r="L40" s="250"/>
      <c r="M40" s="14"/>
      <c r="N40" s="12"/>
      <c r="O40" s="12">
        <f>O39/P28</f>
        <v>84513.936170212764</v>
      </c>
      <c r="P40" s="45" t="s">
        <v>24</v>
      </c>
      <c r="Q40" s="14"/>
      <c r="R40" s="14"/>
      <c r="S40"/>
      <c r="T40" s="238"/>
      <c r="U40" s="59" t="s">
        <v>158</v>
      </c>
      <c r="V40" s="297">
        <v>43650</v>
      </c>
    </row>
    <row r="41" spans="1:24" s="230" customFormat="1" ht="17.399999999999999" x14ac:dyDescent="0.35">
      <c r="G41"/>
      <c r="K41" s="230">
        <f>K40/1.19</f>
        <v>38655.462184873948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298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299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45852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11520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-40557.181700120775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382000</v>
      </c>
      <c r="E11" s="132">
        <f>D11*0.19</f>
        <v>72580</v>
      </c>
      <c r="F11" s="131">
        <f>E11+D11</f>
        <v>454580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65432.818299879225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84034.490787439616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47432.818299879225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297965.50921256037</v>
      </c>
      <c r="E13" s="221">
        <f>(D11/D12)-1</f>
        <v>3.545752540659131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38432.818299879225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-567.18170012077462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138656.90979927537</v>
      </c>
      <c r="F15" s="216">
        <f>E15-D12</f>
        <v>54622.419011835751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-567.18170012077462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39432.818299879225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18950.400000000001</v>
      </c>
      <c r="E20" s="121">
        <f>D20*0.19</f>
        <v>3600.5760000000005</v>
      </c>
      <c r="F20" s="120">
        <f>SUM(D20:E20)</f>
        <v>22550.976000000002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54200.4</v>
      </c>
      <c r="E21" s="116">
        <f>SUM(E18:E20)</f>
        <v>10298.076000000001</v>
      </c>
      <c r="F21" s="115">
        <f>SUM(F18:F20)</f>
        <v>64498.476000000002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62281.923999999999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382000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54200.4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297965.50921256037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297965.50921256037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2025-07-11T19:26:19Z</cp:lastPrinted>
  <dcterms:created xsi:type="dcterms:W3CDTF">2013-03-18T13:35:42Z</dcterms:created>
  <dcterms:modified xsi:type="dcterms:W3CDTF">2025-07-24T14:45:12Z</dcterms:modified>
</cp:coreProperties>
</file>