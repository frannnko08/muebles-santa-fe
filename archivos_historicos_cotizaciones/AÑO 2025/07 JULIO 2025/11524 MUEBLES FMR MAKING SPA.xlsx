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7 JULIO 2025\"/>
    </mc:Choice>
  </mc:AlternateContent>
  <xr:revisionPtr revIDLastSave="0" documentId="13_ncr:1_{381FA5C7-6ABF-419A-85F1-F75479D032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21" i="1"/>
  <c r="M21" i="1" l="1"/>
  <c r="M24" i="1" s="1"/>
  <c r="S21" i="1" l="1"/>
  <c r="S24" i="1" s="1"/>
  <c r="T21" i="1"/>
  <c r="T23" i="1" s="1"/>
  <c r="O21" i="1"/>
  <c r="P21" i="1" s="1"/>
  <c r="P24" i="1" s="1"/>
  <c r="V31" i="1" l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l="1"/>
  <c r="O37" i="1" s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38" i="1" l="1"/>
  <c r="Q21" i="1" l="1"/>
  <c r="G21" i="1" s="1"/>
  <c r="F15" i="3"/>
  <c r="R21" i="1" l="1"/>
  <c r="H21" i="1" l="1"/>
  <c r="H23" i="1" l="1"/>
  <c r="H24" i="1" s="1"/>
  <c r="H25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<sst xmlns="http://schemas.openxmlformats.org/spreadsheetml/2006/main" count="231" uniqueCount="176">
  <si>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</si>
  <si>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</si>
  <si>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</si>
  <si>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</si>
  <si>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</si>
  <si>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</si>
  <si>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</si>
  <si>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</si>
  <si>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</si>
  <si>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</si>
  <si>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</si>
  <si>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</si>
  <si>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</si>
  <si>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</si>
  <si>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</si>
  <si>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</si>
  <si>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</si>
  <si>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</si>
  <si>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</si>
  <si>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</si>
  <si>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</si>
  <si>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</si>
  <si>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</si>
  <si>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</si>
  <si>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</si>
  <si>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</si>
  <si>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</si>
  <si>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</si>
  <si>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</si>
  <si>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</si>
  <si>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</si>
  <si>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</si>
  <si>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</si>
  <si>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</si>
  <si>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</si>
  <si>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</si>
  <si>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</si>
  <si>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</si>
  <si>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</si>
  <si>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</si>
  <si>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</si>
  <si>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</si>
  <si>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</si>
  <si>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</si>
  <si>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</si>
  <si>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</si>
  <si>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</si>
  <si>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</si>
  <si>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</si>
  <si>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</si>
  <si>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</si>
  <si>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</si>
  <si>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</si>
  <si>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</si>
  <si>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</si>
  <si>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</si>
  <si>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</si>
  <si>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</si>
  <si>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</si>
  <si>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</si>
  <si>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</si>
  <si>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</si>
  <si>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</si>
  <si>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</si>
  <si>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</si>
  <si>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</si>
  <si>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</si>
  <si>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</si>
  <si>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</si>
  <si>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</si>
  <si>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</si>
  <si>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</si>
  <si>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</si>
  <si>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</si>
  <si>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</si>
  <si>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</si>
  <si>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</si>
  <si>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</si>
  <si>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</si>
  <si>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</si>
  <si>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</si>
  <si>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</si>
  <si>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</si>
  <si>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</si>
  <si>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</si>
  <si>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</si>
  <si>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</si>
  <si>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</si>
  <si>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</si>
  <si>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</si>
  <si>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</si>
  <si>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</si>
  <si>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</si>
  <si>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</si>
  <si>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</si>
  <si>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</si>
  <si>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</si>
  <si>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</si>
  <si>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</si>
  <si>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</si>
  <si>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</si>
  <si>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</si>
  <si>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</si>
  <si>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</si>
  <si>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</si>
  <si>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</si>
  <si>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</si>
  <si>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</si>
  <si>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</si>
  <si>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</si>
  <si>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</si>
  <si>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</si>
  <si>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</si>
  <si>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</si>
  <si>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</si>
  <si>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</si>
  <si>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</si>
  <si>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</si>
  <si>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</si>
  <si>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</si>
  <si>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</si>
  <si>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</si>
  <si>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</si>
  <si>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</si>
  <si>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</si>
  <si>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</si>
  <si>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</si>
  <si>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</si>
  <si>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</si>
  <si>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</si>
  <si>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</si>
  <si>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</si>
  <si>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</si>
  <si>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</si>
  <si>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</si>
  <si>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</si>
  <si>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</si>
  <si>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</si>
  <si>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</si>
  <si>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</si>
  <si>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</si>
  <si>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</si>
  <si>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</si>
  <si>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</si>
  <si>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</si>
  <si>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</si>
  <si>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</si>
  <si>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</si>
  <si>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</si>
  <si>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</si>
  <si>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</si>
  <si>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</si>
  <si>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</si>
  <si>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</si>
  <si>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</si>
  <si>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</si>
  <si>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</si>
  <si>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</si>
  <si>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</si>
  <si>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</si>
  <si>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</si>
  <si>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</si>
  <si>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</si>
  <si>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</si>
  <si>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</si>
  <si>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</si>
  <si>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</si>
  <si>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</si>
  <si>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</si>
  <si>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3 DIAS HABILES</t>
  </si>
  <si>
    <t>MUEBLES FMR MAKING SPA</t>
  </si>
  <si>
    <t>569 2062 2586</t>
  </si>
  <si>
    <t>MELAMIL 15MM</t>
  </si>
  <si>
    <t>CUBIERTA C/R FRENTE 90°</t>
  </si>
  <si>
    <t>N° 11524</t>
  </si>
  <si>
    <t>CHROMACORE 2096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</si>
</sst>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22" fillId="0" borderId="0" xfId="0" applyFont="1" applyBorder="1"/>
    <xf numFmtId="0" fontId="0" fillId="0" borderId="0" xfId="0" applyBorder="1"/>
    <xf numFmtId="166" fontId="32" fillId="0" borderId="0" xfId="0" applyNumberFormat="1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166" fontId="22" fillId="0" borderId="0" xfId="0" applyNumberFormat="1" applyFont="1" applyBorder="1"/>
    <xf numFmtId="0" fontId="20" fillId="0" borderId="0" xfId="0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SOBREMEDIDAS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 DEBE HACER PRUEBAS PARA COMPROBAR QUE EL COLOR CHROMACORE POSTFORME.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11" zoomScale="93" zoomScaleNormal="93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5" t="s">
        <v>125</v>
      </c>
      <c r="C8" s="326"/>
      <c r="D8" s="327" t="s">
        <v>174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159</v>
      </c>
      <c r="C10" s="308" t="s">
        <v>170</v>
      </c>
      <c r="D10" s="239"/>
      <c r="E10" s="239"/>
      <c r="F10" s="240" t="s">
        <v>167</v>
      </c>
      <c r="G10" s="271">
        <v>45853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9"/>
      <c r="F11" t="s">
        <v>166</v>
      </c>
      <c r="G11" s="310" t="s">
        <v>169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11"/>
      <c r="D12" s="312"/>
      <c r="E12" s="312"/>
      <c r="F12" s="312" t="s">
        <v>126</v>
      </c>
      <c r="G12" s="313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14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15"/>
      <c r="D14" s="312"/>
      <c r="E14" s="312"/>
      <c r="F14" s="312" t="s">
        <v>134</v>
      </c>
      <c r="G14" s="316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7" t="s">
        <v>171</v>
      </c>
      <c r="D15" s="318"/>
      <c r="F15" t="s">
        <v>168</v>
      </c>
      <c r="G15" s="319" t="s">
        <v>133</v>
      </c>
      <c r="H15" s="281"/>
    </row>
    <row r="16" spans="2:24" ht="16.8" x14ac:dyDescent="0.4">
      <c r="B16" s="297" t="s">
        <v>3</v>
      </c>
      <c r="C16" s="320"/>
      <c r="D16" s="312"/>
      <c r="E16" s="312"/>
      <c r="F16" s="321" t="s">
        <v>128</v>
      </c>
      <c r="G16" s="322" t="s">
        <v>160</v>
      </c>
      <c r="H16" s="243"/>
    </row>
    <row r="17" spans="1:25" ht="15" thickBot="1" x14ac:dyDescent="0.35">
      <c r="B17" s="294" t="s">
        <v>13</v>
      </c>
      <c r="C17" s="295" t="s">
        <v>163</v>
      </c>
      <c r="D17" s="296"/>
      <c r="E17" s="116"/>
      <c r="F17" s="331" t="s">
        <v>162</v>
      </c>
      <c r="G17" s="331"/>
      <c r="H17" s="332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3" t="s">
        <v>95</v>
      </c>
      <c r="C19" s="334"/>
      <c r="D19" s="334"/>
      <c r="E19" s="334"/>
      <c r="F19" s="334"/>
      <c r="G19" s="334"/>
      <c r="H19" s="335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28" t="s">
        <v>7</v>
      </c>
      <c r="C20" s="329" t="s">
        <v>1</v>
      </c>
      <c r="D20" s="329" t="s">
        <v>130</v>
      </c>
      <c r="E20" s="329" t="s">
        <v>11</v>
      </c>
      <c r="F20" s="329" t="s">
        <v>8</v>
      </c>
      <c r="G20" s="329" t="s">
        <v>5</v>
      </c>
      <c r="H20" s="330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O37</f>
        <v>81299.166666666672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05">
        <v>4</v>
      </c>
      <c r="C21" s="305" t="s">
        <v>173</v>
      </c>
      <c r="D21" s="306">
        <v>1</v>
      </c>
      <c r="E21" s="306">
        <v>0.5</v>
      </c>
      <c r="F21" s="305" t="s">
        <v>175</v>
      </c>
      <c r="G21" s="307">
        <f>Q21</f>
        <v>43901.55</v>
      </c>
      <c r="H21" s="307">
        <f>G21*B21</f>
        <v>175606.2</v>
      </c>
      <c r="I21" s="299"/>
      <c r="J21" s="260"/>
      <c r="K21" s="44"/>
      <c r="L21" s="44">
        <f>B21</f>
        <v>4</v>
      </c>
      <c r="M21" s="36">
        <f>D21+M$19</f>
        <v>1.08</v>
      </c>
      <c r="N21" s="36">
        <f>E21+$N$19</f>
        <v>0.5</v>
      </c>
      <c r="O21" s="256">
        <f t="shared" ref="O21" si="1">M21*N21</f>
        <v>0.54</v>
      </c>
      <c r="P21" s="254">
        <f t="shared" ref="P21" si="2">O21*L21</f>
        <v>2.16</v>
      </c>
      <c r="Q21" s="247">
        <f t="shared" ref="Q21" si="3">Q$20*O21</f>
        <v>43901.55</v>
      </c>
      <c r="R21" s="298">
        <f t="shared" ref="R21" si="4">Q21+R$20</f>
        <v>46901.55</v>
      </c>
      <c r="S21" s="286">
        <f>M21*L21</f>
        <v>4.32</v>
      </c>
      <c r="T21" s="43">
        <f>N21*2*L21*2</f>
        <v>8</v>
      </c>
      <c r="U21" s="9"/>
      <c r="X21" s="4"/>
    </row>
    <row r="22" spans="1:25" ht="18" thickBot="1" x14ac:dyDescent="0.35">
      <c r="B22" s="278"/>
      <c r="C22" s="278"/>
      <c r="D22" s="279"/>
      <c r="E22" s="279"/>
      <c r="F22" s="278"/>
      <c r="G22" s="260"/>
      <c r="H22" s="300"/>
      <c r="I22" s="302"/>
      <c r="J22" s="229"/>
      <c r="K22" s="44"/>
      <c r="L22" s="44"/>
      <c r="M22" s="36"/>
      <c r="N22" s="36"/>
      <c r="O22" s="256"/>
      <c r="P22" s="254"/>
      <c r="Q22" s="247"/>
      <c r="R22" s="253"/>
      <c r="S22" s="286"/>
      <c r="T22" s="14"/>
      <c r="U22" s="9"/>
      <c r="X22" s="4"/>
    </row>
    <row r="23" spans="1:25" ht="17.399999999999999" x14ac:dyDescent="0.3">
      <c r="B23" s="278"/>
      <c r="C23" s="278"/>
      <c r="D23" s="279"/>
      <c r="E23" s="279"/>
      <c r="F23" s="278"/>
      <c r="G23" s="303" t="s">
        <v>28</v>
      </c>
      <c r="H23" s="304">
        <f>SUM(H21:H22)</f>
        <v>175606.2</v>
      </c>
      <c r="I23" s="301"/>
      <c r="J23" s="260"/>
      <c r="K23" s="323"/>
      <c r="L23" s="44"/>
      <c r="M23" s="36"/>
      <c r="N23" s="36"/>
      <c r="O23" s="256"/>
      <c r="P23" s="254"/>
      <c r="Q23" s="247"/>
      <c r="R23" s="253"/>
      <c r="S23" s="286"/>
      <c r="T23" s="43">
        <f>SUM(T21:T22)</f>
        <v>8</v>
      </c>
      <c r="U23" s="9"/>
      <c r="X23" s="4"/>
    </row>
    <row r="24" spans="1:25" ht="17.399999999999999" x14ac:dyDescent="0.3">
      <c r="B24" s="272"/>
      <c r="C24" s="275"/>
      <c r="D24" s="276"/>
      <c r="E24" s="276"/>
      <c r="F24" s="277"/>
      <c r="G24" s="285" t="s">
        <v>51</v>
      </c>
      <c r="H24" s="283">
        <f>H23*19%</f>
        <v>33365.178</v>
      </c>
      <c r="I24" s="301"/>
      <c r="J24" s="260"/>
      <c r="K24" s="323"/>
      <c r="L24" s="44"/>
      <c r="M24" s="36">
        <f>SUM(M21:M21)</f>
        <v>1.08</v>
      </c>
      <c r="N24" s="12"/>
      <c r="O24" s="12"/>
      <c r="P24" s="248">
        <f>SUM(P21:P22)</f>
        <v>2.16</v>
      </c>
      <c r="Q24" s="14"/>
      <c r="R24" s="12"/>
      <c r="S24" s="235">
        <f>SUM(S21:S23)</f>
        <v>4.32</v>
      </c>
      <c r="T24" s="43"/>
      <c r="U24" s="9"/>
      <c r="X24" s="4"/>
    </row>
    <row r="25" spans="1:25" ht="18" thickBot="1" x14ac:dyDescent="0.35">
      <c r="B25" s="270"/>
      <c r="C25" s="274"/>
      <c r="D25" s="267"/>
      <c r="E25" s="267"/>
      <c r="F25" s="268"/>
      <c r="G25" s="273" t="s">
        <v>6</v>
      </c>
      <c r="H25" s="284">
        <f>H23+H24</f>
        <v>208971.37800000003</v>
      </c>
      <c r="I25" s="301"/>
      <c r="J25" s="260"/>
      <c r="K25" s="323"/>
      <c r="L25" s="44"/>
      <c r="M25" s="36"/>
      <c r="N25" s="12"/>
      <c r="O25" s="12"/>
      <c r="P25" s="248">
        <f>P24</f>
        <v>2.16</v>
      </c>
      <c r="Q25" s="14"/>
      <c r="R25" s="12"/>
      <c r="S25" s="235"/>
      <c r="T25" s="43"/>
      <c r="U25" s="9"/>
      <c r="X25" s="4"/>
    </row>
    <row r="26" spans="1:25" ht="17.399999999999999" x14ac:dyDescent="0.3">
      <c r="B26" s="270"/>
      <c r="C26" s="266"/>
      <c r="D26" s="267"/>
      <c r="E26" s="267"/>
      <c r="F26" s="268"/>
      <c r="J26" s="260"/>
      <c r="K26" s="323"/>
      <c r="L26" s="44"/>
      <c r="M26" s="14"/>
      <c r="N26" s="12"/>
      <c r="O26" s="12"/>
      <c r="P26" s="36">
        <f>P25*20%</f>
        <v>0.43200000000000005</v>
      </c>
      <c r="Q26" s="36" t="s">
        <v>129</v>
      </c>
      <c r="R26" s="39"/>
      <c r="S26" s="236"/>
      <c r="T26" s="14"/>
      <c r="U26" s="9"/>
      <c r="X26" s="4"/>
    </row>
    <row r="27" spans="1:25" ht="17.399999999999999" x14ac:dyDescent="0.35">
      <c r="B27" s="264"/>
      <c r="C27" s="226"/>
      <c r="D27" s="226"/>
      <c r="E27" s="229"/>
      <c r="F27" s="230"/>
      <c r="G27" s="226"/>
      <c r="H27" s="269"/>
      <c r="I27" s="269"/>
      <c r="J27" s="260"/>
      <c r="K27" s="44"/>
      <c r="L27" s="44"/>
      <c r="M27" s="14"/>
      <c r="N27" s="12"/>
      <c r="O27" s="12"/>
      <c r="P27" s="43">
        <f>P25+P26</f>
        <v>2.5920000000000001</v>
      </c>
      <c r="Q27" s="14"/>
      <c r="R27" s="14"/>
      <c r="S27" s="234"/>
      <c r="T27" s="14"/>
      <c r="U27" s="9"/>
      <c r="X27" s="4"/>
    </row>
    <row r="28" spans="1:25" ht="17.399999999999999" x14ac:dyDescent="0.35">
      <c r="B28" s="231"/>
      <c r="C28" s="232"/>
      <c r="D28" s="233"/>
      <c r="E28" s="231"/>
      <c r="F28" s="226"/>
      <c r="G28" s="226"/>
      <c r="I28" s="269"/>
      <c r="J28" s="260"/>
      <c r="K28" s="44"/>
      <c r="L28" s="44"/>
      <c r="M28" s="14"/>
      <c r="N28" s="14"/>
      <c r="O28" s="14"/>
      <c r="P28" s="14"/>
      <c r="Q28" s="14"/>
      <c r="R28" s="14"/>
      <c r="S28" s="236"/>
      <c r="T28" s="14"/>
      <c r="U28" s="290" t="s">
        <v>21</v>
      </c>
      <c r="V28" s="287" t="s">
        <v>149</v>
      </c>
      <c r="W28" s="291">
        <v>44971</v>
      </c>
      <c r="X28" s="292"/>
    </row>
    <row r="29" spans="1:25" ht="17.399999999999999" x14ac:dyDescent="0.35">
      <c r="B29" s="226"/>
      <c r="C29" s="226"/>
      <c r="D29" s="226"/>
      <c r="E29" s="226"/>
      <c r="F29" s="226"/>
      <c r="G29" s="226"/>
      <c r="J29" s="260"/>
      <c r="K29" s="44"/>
      <c r="L29" s="44"/>
      <c r="M29" s="36">
        <f>P27</f>
        <v>2.5920000000000001</v>
      </c>
      <c r="N29" s="12">
        <v>3500</v>
      </c>
      <c r="O29" s="12">
        <f t="shared" ref="O29:O34" si="5">M29*N29</f>
        <v>9072</v>
      </c>
      <c r="P29" s="14" t="s">
        <v>21</v>
      </c>
      <c r="Q29" s="14"/>
      <c r="R29" s="14"/>
      <c r="S29" s="237"/>
      <c r="T29" s="14"/>
      <c r="U29" s="290" t="s">
        <v>150</v>
      </c>
      <c r="V29" s="287">
        <v>3625</v>
      </c>
      <c r="W29" s="56" t="s">
        <v>151</v>
      </c>
      <c r="X29" s="292"/>
    </row>
    <row r="30" spans="1:25" ht="17.399999999999999" x14ac:dyDescent="0.35">
      <c r="A30" s="226"/>
      <c r="B30" s="226"/>
      <c r="C30" s="226"/>
      <c r="D30" s="226"/>
      <c r="E30" s="226"/>
      <c r="F30" s="226"/>
      <c r="G30" s="226"/>
      <c r="H30" s="226"/>
      <c r="J30" s="260"/>
      <c r="K30" s="44"/>
      <c r="L30" s="44"/>
      <c r="M30" s="244">
        <v>0.7</v>
      </c>
      <c r="N30" s="12">
        <v>23500</v>
      </c>
      <c r="O30" s="12">
        <f t="shared" si="5"/>
        <v>16450</v>
      </c>
      <c r="P30" s="36" t="s">
        <v>172</v>
      </c>
      <c r="Q30" s="39"/>
      <c r="R30" s="14"/>
      <c r="S30" s="236"/>
      <c r="T30" s="14"/>
      <c r="U30" s="290"/>
      <c r="V30" s="56">
        <v>906.25</v>
      </c>
      <c r="W30" s="56" t="s">
        <v>152</v>
      </c>
      <c r="X30" s="292"/>
    </row>
    <row r="31" spans="1:25" s="226" customFormat="1" ht="17.399999999999999" x14ac:dyDescent="0.35">
      <c r="B31" s="21" t="s">
        <v>148</v>
      </c>
      <c r="J31" s="257"/>
      <c r="K31" s="228"/>
      <c r="L31" s="245"/>
      <c r="M31" s="14">
        <v>1</v>
      </c>
      <c r="N31" s="245">
        <v>56000</v>
      </c>
      <c r="O31" s="12">
        <f t="shared" si="5"/>
        <v>56000</v>
      </c>
      <c r="P31" s="36" t="s">
        <v>30</v>
      </c>
      <c r="Q31" s="39"/>
      <c r="S31" s="236"/>
      <c r="T31" s="251"/>
      <c r="U31" s="56"/>
      <c r="V31" s="56">
        <f>V30*20%</f>
        <v>181.25</v>
      </c>
      <c r="W31" s="292" t="s">
        <v>153</v>
      </c>
      <c r="X31" s="56"/>
    </row>
    <row r="32" spans="1:25" s="226" customFormat="1" ht="17.399999999999999" x14ac:dyDescent="0.35">
      <c r="B32" s="21" t="s">
        <v>164</v>
      </c>
      <c r="C32"/>
      <c r="D32"/>
      <c r="E32"/>
      <c r="F32"/>
      <c r="J32" s="257"/>
      <c r="K32" s="228"/>
      <c r="L32" s="245"/>
      <c r="M32" s="14"/>
      <c r="N32" s="245">
        <v>22025</v>
      </c>
      <c r="O32" s="12">
        <f t="shared" si="5"/>
        <v>0</v>
      </c>
      <c r="P32" s="14" t="s">
        <v>139</v>
      </c>
      <c r="Q32" s="17"/>
      <c r="S32" s="234"/>
      <c r="T32" s="251"/>
      <c r="U32" s="56"/>
      <c r="V32" s="56">
        <f>V30+V31</f>
        <v>1087.5</v>
      </c>
      <c r="W32" s="292" t="s">
        <v>154</v>
      </c>
      <c r="X32" s="56"/>
    </row>
    <row r="33" spans="2:24" s="226" customFormat="1" ht="17.399999999999999" x14ac:dyDescent="0.35">
      <c r="B33" s="26" t="s">
        <v>124</v>
      </c>
      <c r="C33"/>
      <c r="D33"/>
      <c r="E33"/>
      <c r="F33" s="225" t="s">
        <v>15</v>
      </c>
      <c r="J33" s="257"/>
      <c r="K33" s="255"/>
      <c r="L33" s="245"/>
      <c r="M33" s="244"/>
      <c r="N33" s="245">
        <v>900</v>
      </c>
      <c r="O33" s="12">
        <f t="shared" si="5"/>
        <v>0</v>
      </c>
      <c r="P33" s="14" t="s">
        <v>32</v>
      </c>
      <c r="Q33" s="14"/>
      <c r="R33" s="226">
        <v>1.52</v>
      </c>
      <c r="S33" s="234"/>
      <c r="T33" s="234"/>
    </row>
    <row r="34" spans="2:24" s="226" customFormat="1" ht="17.399999999999999" x14ac:dyDescent="0.35">
      <c r="J34" s="282"/>
      <c r="K34" s="255"/>
      <c r="L34" s="245"/>
      <c r="M34" s="261">
        <v>4.2</v>
      </c>
      <c r="N34" s="12">
        <v>500</v>
      </c>
      <c r="O34" s="12">
        <f t="shared" si="5"/>
        <v>2100</v>
      </c>
      <c r="P34" s="14" t="s">
        <v>22</v>
      </c>
      <c r="Q34" s="14"/>
      <c r="R34">
        <v>2.44</v>
      </c>
      <c r="S34"/>
      <c r="T34" s="234"/>
      <c r="X34" s="227"/>
    </row>
    <row r="35" spans="2:24" s="226" customFormat="1" ht="17.399999999999999" x14ac:dyDescent="0.35">
      <c r="K35" s="255"/>
      <c r="L35" s="245"/>
      <c r="M35" s="14"/>
      <c r="N35" s="12"/>
      <c r="O35" s="12">
        <f>SUM(O29:O34)</f>
        <v>83622</v>
      </c>
      <c r="P35" s="36" t="s">
        <v>23</v>
      </c>
      <c r="Q35" s="14"/>
      <c r="R35">
        <f>R33*R34</f>
        <v>3.7088000000000001</v>
      </c>
      <c r="S35"/>
      <c r="T35" s="234"/>
      <c r="X35" s="227"/>
    </row>
    <row r="36" spans="2:24" s="226" customFormat="1" ht="17.399999999999999" x14ac:dyDescent="0.35">
      <c r="L36" s="245"/>
      <c r="M36" s="249" t="s">
        <v>33</v>
      </c>
      <c r="N36" s="12"/>
      <c r="O36" s="250">
        <f>O35*2.1</f>
        <v>175606.2</v>
      </c>
      <c r="P36" s="14" t="s">
        <v>138</v>
      </c>
      <c r="Q36" s="14"/>
      <c r="R36" s="37">
        <f>P27/R35</f>
        <v>0.69887834339948229</v>
      </c>
      <c r="S36"/>
      <c r="T36" s="252"/>
    </row>
    <row r="37" spans="2:24" s="226" customFormat="1" ht="17.399999999999999" x14ac:dyDescent="0.35">
      <c r="G37"/>
      <c r="H37" s="255"/>
      <c r="I37" s="255"/>
      <c r="J37" s="255"/>
      <c r="L37" s="245"/>
      <c r="M37" s="14"/>
      <c r="N37" s="12"/>
      <c r="O37" s="12">
        <f>O36/P25</f>
        <v>81299.166666666672</v>
      </c>
      <c r="P37" s="42" t="s">
        <v>24</v>
      </c>
      <c r="Q37" s="14"/>
      <c r="R37" s="14"/>
      <c r="S37"/>
      <c r="T37" s="234"/>
      <c r="U37" s="56" t="s">
        <v>155</v>
      </c>
      <c r="V37" s="287">
        <v>43650</v>
      </c>
    </row>
    <row r="38" spans="2:24" s="226" customFormat="1" ht="17.399999999999999" x14ac:dyDescent="0.35">
      <c r="C38" s="343"/>
      <c r="D38" s="343"/>
      <c r="E38" s="343"/>
      <c r="F38" s="343"/>
      <c r="G38" s="344"/>
      <c r="H38" s="343"/>
      <c r="I38" s="343"/>
      <c r="L38" s="245"/>
      <c r="M38" s="13"/>
      <c r="N38" s="14"/>
      <c r="O38" s="17">
        <f>O36/O35</f>
        <v>2.1</v>
      </c>
      <c r="P38" s="15"/>
      <c r="Q38"/>
      <c r="R38"/>
      <c r="S38"/>
      <c r="T38" s="234"/>
      <c r="U38" s="56" t="s">
        <v>157</v>
      </c>
      <c r="V38" s="288" t="s">
        <v>156</v>
      </c>
      <c r="W38" s="56">
        <v>2.4</v>
      </c>
    </row>
    <row r="39" spans="2:24" s="226" customFormat="1" ht="17.399999999999999" x14ac:dyDescent="0.35">
      <c r="C39" s="343"/>
      <c r="D39" s="345"/>
      <c r="E39" s="345"/>
      <c r="F39" s="346"/>
      <c r="G39" s="324"/>
      <c r="H39" s="347"/>
      <c r="I39" s="343"/>
      <c r="L39" s="12"/>
      <c r="T39" s="234"/>
      <c r="U39" s="56" t="s">
        <v>158</v>
      </c>
      <c r="V39" s="289">
        <v>395.37</v>
      </c>
    </row>
    <row r="40" spans="2:24" s="226" customFormat="1" ht="17.399999999999999" x14ac:dyDescent="0.35">
      <c r="B40"/>
      <c r="C40" s="348"/>
      <c r="D40" s="345"/>
      <c r="E40" s="345"/>
      <c r="F40" s="346"/>
      <c r="G40" s="324"/>
      <c r="H40" s="347"/>
      <c r="I40" s="343"/>
      <c r="L40" s="12"/>
      <c r="T40" s="234"/>
      <c r="U40" s="56" t="s">
        <v>153</v>
      </c>
      <c r="V40" s="56">
        <v>474.45</v>
      </c>
    </row>
    <row r="41" spans="2:24" ht="14.4" customHeight="1" x14ac:dyDescent="0.35">
      <c r="C41" s="344"/>
      <c r="D41" s="345"/>
      <c r="E41" s="345"/>
      <c r="F41" s="346"/>
      <c r="G41" s="324"/>
      <c r="H41" s="347"/>
      <c r="I41" s="344"/>
      <c r="L41" s="12"/>
      <c r="U41" s="56"/>
      <c r="V41" s="56"/>
    </row>
    <row r="42" spans="2:24" ht="17.399999999999999" x14ac:dyDescent="0.35">
      <c r="C42" s="344"/>
      <c r="D42" s="345"/>
      <c r="E42" s="345"/>
      <c r="F42" s="346"/>
      <c r="G42" s="324"/>
      <c r="H42" s="347"/>
      <c r="I42" s="344"/>
      <c r="L42" s="245"/>
    </row>
    <row r="43" spans="2:24" ht="17.399999999999999" x14ac:dyDescent="0.35">
      <c r="C43" s="344"/>
      <c r="D43" s="345"/>
      <c r="E43" s="345"/>
      <c r="F43" s="346"/>
      <c r="G43" s="324"/>
      <c r="H43" s="347"/>
      <c r="I43" s="344"/>
      <c r="L43" s="245"/>
      <c r="T43" s="265"/>
    </row>
    <row r="44" spans="2:24" ht="17.399999999999999" x14ac:dyDescent="0.35">
      <c r="C44" s="344"/>
      <c r="D44" s="345"/>
      <c r="E44" s="345"/>
      <c r="F44" s="346"/>
      <c r="G44" s="324"/>
      <c r="H44" s="347"/>
      <c r="I44" s="344"/>
      <c r="L44" s="245"/>
    </row>
    <row r="45" spans="2:24" ht="15" customHeight="1" x14ac:dyDescent="0.35">
      <c r="C45" s="344"/>
      <c r="D45" s="345"/>
      <c r="E45" s="345"/>
      <c r="F45" s="346"/>
      <c r="G45" s="324"/>
      <c r="H45" s="347"/>
      <c r="I45" s="344"/>
    </row>
    <row r="46" spans="2:24" ht="17.399999999999999" x14ac:dyDescent="0.35">
      <c r="C46" s="344"/>
      <c r="D46" s="345"/>
      <c r="E46" s="345"/>
      <c r="F46" s="346"/>
      <c r="G46" s="324"/>
      <c r="H46" s="347"/>
      <c r="I46" s="344"/>
    </row>
    <row r="47" spans="2:24" ht="17.399999999999999" x14ac:dyDescent="0.35">
      <c r="C47" s="344"/>
      <c r="D47" s="345"/>
      <c r="E47" s="345"/>
      <c r="F47" s="346"/>
      <c r="G47" s="324"/>
      <c r="H47" s="347"/>
      <c r="I47" s="344"/>
      <c r="O47">
        <v>40935</v>
      </c>
      <c r="P47" t="s">
        <v>16</v>
      </c>
      <c r="Q47" t="s">
        <v>26</v>
      </c>
    </row>
    <row r="48" spans="2:24" ht="17.399999999999999" x14ac:dyDescent="0.35">
      <c r="C48" s="344"/>
      <c r="D48" s="345"/>
      <c r="E48" s="345"/>
      <c r="F48" s="346"/>
      <c r="G48" s="324"/>
      <c r="H48" s="347"/>
      <c r="I48" s="344"/>
    </row>
    <row r="49" spans="3:20" ht="17.399999999999999" x14ac:dyDescent="0.35">
      <c r="C49" s="344"/>
      <c r="D49" s="345"/>
      <c r="E49" s="345"/>
      <c r="F49" s="346"/>
      <c r="G49" s="324"/>
      <c r="H49" s="347"/>
      <c r="I49" s="344"/>
      <c r="O49" s="51"/>
      <c r="P49" s="51"/>
    </row>
    <row r="50" spans="3:20" ht="17.399999999999999" x14ac:dyDescent="0.35">
      <c r="C50" s="344"/>
      <c r="D50" s="345"/>
      <c r="E50" s="345"/>
      <c r="F50" s="346"/>
      <c r="G50" s="324"/>
      <c r="H50" s="347"/>
      <c r="I50" s="344"/>
      <c r="S50" s="18"/>
      <c r="T50" s="18"/>
    </row>
    <row r="51" spans="3:20" ht="17.399999999999999" x14ac:dyDescent="0.35">
      <c r="C51" s="344"/>
      <c r="D51" s="345"/>
      <c r="E51" s="345"/>
      <c r="F51" s="346"/>
      <c r="G51" s="324"/>
      <c r="H51" s="347"/>
      <c r="I51" s="344"/>
      <c r="S51" s="18"/>
      <c r="T51" s="18"/>
    </row>
    <row r="52" spans="3:20" ht="17.399999999999999" x14ac:dyDescent="0.35">
      <c r="C52" s="344"/>
      <c r="D52" s="345"/>
      <c r="E52" s="345"/>
      <c r="F52" s="346"/>
      <c r="G52" s="324"/>
      <c r="H52" s="347"/>
      <c r="I52" s="344"/>
      <c r="S52" s="18"/>
      <c r="T52" s="18"/>
    </row>
    <row r="53" spans="3:20" x14ac:dyDescent="0.3">
      <c r="S53" s="18"/>
      <c r="T53" s="18"/>
    </row>
    <row r="54" spans="3:20" x14ac:dyDescent="0.3">
      <c r="S54" s="18"/>
      <c r="T54" s="18"/>
    </row>
    <row r="55" spans="3:20" x14ac:dyDescent="0.3">
      <c r="S55" s="18"/>
      <c r="T55" s="18"/>
    </row>
    <row r="56" spans="3:20" x14ac:dyDescent="0.3">
      <c r="S56" s="18"/>
      <c r="T56" s="18"/>
    </row>
    <row r="57" spans="3:20" x14ac:dyDescent="0.3">
      <c r="S57" s="18"/>
      <c r="T57" s="18"/>
    </row>
    <row r="58" spans="3:20" x14ac:dyDescent="0.3">
      <c r="S58" s="18"/>
      <c r="T58" s="18"/>
    </row>
    <row r="61" spans="3:20" x14ac:dyDescent="0.3">
      <c r="O61" s="40"/>
    </row>
    <row r="62" spans="3:20" x14ac:dyDescent="0.3">
      <c r="O62" s="40"/>
    </row>
    <row r="63" spans="3:20" x14ac:dyDescent="0.3">
      <c r="O63" s="6"/>
    </row>
    <row r="64" spans="3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45853</v>
      </c>
    </row>
    <row r="6" spans="1:31" ht="16.2" thickBot="1" x14ac:dyDescent="0.35">
      <c r="B6" s="137" t="s">
        <v>2</v>
      </c>
      <c r="C6" s="136" t="str">
        <f>'2229'!C10</f>
        <v>MUEBLES FMR MAKING SPA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7" t="s">
        <v>98</v>
      </c>
      <c r="I7" s="338"/>
      <c r="J7" s="338"/>
      <c r="K7" s="339"/>
      <c r="N7" s="72"/>
      <c r="O7" s="336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11524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6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-2200.7905932367139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'2229'!H23</f>
        <v>175606.2</v>
      </c>
      <c r="E11" s="129">
        <f>D11*0.19</f>
        <v>33365.178</v>
      </c>
      <c r="F11" s="128">
        <f>E11+D11</f>
        <v>208971.37800000003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103789.20940676329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101500.91027536232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85789.209406763286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74105.289724637696</v>
      </c>
      <c r="E13" s="218">
        <f>(D11/D12)-1</f>
        <v>0.73009482893894351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76789.209406763286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37789.209406763286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193257.73316428988</v>
      </c>
      <c r="C15" s="210" t="s">
        <v>121</v>
      </c>
      <c r="D15" s="211">
        <v>0.6</v>
      </c>
      <c r="E15" s="212">
        <f>(100%+D15)*D12</f>
        <v>162401.45644057973</v>
      </c>
      <c r="F15" s="213">
        <f>E15-D12</f>
        <v>60900.546165217413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37789.209406763286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77789.209406763286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'2229'!O31</f>
        <v>56000</v>
      </c>
      <c r="E18" s="120">
        <f>D18*0.19</f>
        <v>10640</v>
      </c>
      <c r="F18" s="117">
        <f>SUM(D18:E18)</f>
        <v>66640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'2229'!O30</f>
        <v>16450</v>
      </c>
      <c r="E19" s="120">
        <f>D19*0.19</f>
        <v>3125.5</v>
      </c>
      <c r="F19" s="117">
        <f>SUM(D19:E19)</f>
        <v>19575.5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'2229'!O29</f>
        <v>9072</v>
      </c>
      <c r="E20" s="118">
        <f>D20*0.19</f>
        <v>1723.68</v>
      </c>
      <c r="F20" s="117">
        <f>SUM(D20:E20)</f>
        <v>10795.68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81522</v>
      </c>
      <c r="E21" s="113">
        <f>SUM(E18:E20)</f>
        <v>15489.18</v>
      </c>
      <c r="F21" s="112">
        <f>SUM(F18:F20)</f>
        <v>97011.18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17875.998</v>
      </c>
    </row>
    <row r="41" spans="2:16" ht="15" thickBot="1" x14ac:dyDescent="0.35">
      <c r="H41" s="340" t="s">
        <v>60</v>
      </c>
      <c r="I41" s="341"/>
      <c r="J41" s="341"/>
      <c r="K41" s="341"/>
      <c r="L41" s="341"/>
      <c r="M41" s="342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175606.2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81522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74105.289724637696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74105.289724637696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2025-07-15T18:17:23Z</cp:lastPrinted>
  <dcterms:created xsi:type="dcterms:W3CDTF">2013-03-18T13:35:42Z</dcterms:created>
  <dcterms:modified xsi:type="dcterms:W3CDTF">2025-07-15T19:00:25Z</dcterms:modified>
</cp:coreProperties>
</file>