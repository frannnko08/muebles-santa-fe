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AFBC016A-7069-460B-8B2E-2171B557E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1" i="1"/>
  <c r="G25" i="1"/>
  <c r="G22" i="1" l="1"/>
  <c r="H22" i="1" s="1"/>
  <c r="H23" i="1"/>
  <c r="H24" i="1"/>
  <c r="H25" i="1"/>
  <c r="G24" i="1"/>
  <c r="G48" i="1"/>
  <c r="H48" i="1"/>
  <c r="G49" i="1"/>
  <c r="H49" i="1"/>
  <c r="G50" i="1"/>
  <c r="H50" i="1"/>
  <c r="G51" i="1"/>
  <c r="H51" i="1"/>
  <c r="H47" i="1"/>
  <c r="G47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M21" i="1"/>
  <c r="L21" i="1" l="1"/>
  <c r="N21" i="1"/>
  <c r="M29" i="1" l="1"/>
  <c r="S21" i="1" l="1"/>
  <c r="S29" i="1" s="1"/>
  <c r="T21" i="1"/>
  <c r="T28" i="1" s="1"/>
  <c r="O21" i="1"/>
  <c r="P21" i="1" s="1"/>
  <c r="P29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l="1"/>
  <c r="O42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Q22" i="1"/>
  <c r="R22" i="1" s="1"/>
  <c r="Q23" i="1"/>
  <c r="R23" i="1" s="1"/>
  <c r="Q24" i="1"/>
  <c r="R24" i="1" s="1"/>
  <c r="O43" i="1"/>
  <c r="Q21" i="1" l="1"/>
  <c r="F15" i="3"/>
  <c r="R21" i="1" l="1"/>
  <c r="H21" i="1" l="1"/>
  <c r="H28" i="1" l="1"/>
  <c r="H29" i="1" s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<sst xmlns="http://schemas.openxmlformats.org/spreadsheetml/2006/main" count="239" uniqueCount="176">
  <si>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</si>
  <si>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</si>
  <si>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</si>
  <si>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</si>
  <si>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</si>
  <si>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</si>
  <si>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</si>
  <si>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</si>
  <si>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</si>
  <si>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</si>
  <si>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</si>
  <si>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</si>
  <si>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</si>
  <si>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</si>
  <si>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</si>
  <si>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</si>
  <si>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</si>
  <si>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</si>
  <si>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</si>
  <si>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</si>
  <si>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</si>
  <si>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</si>
  <si>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</si>
  <si>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</si>
  <si>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</si>
  <si>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</si>
  <si>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</si>
  <si>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</si>
  <si>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</si>
  <si>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</si>
  <si>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</si>
  <si>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</si>
  <si>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</si>
  <si>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</si>
  <si>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</si>
  <si>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</si>
  <si>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</si>
  <si>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</si>
  <si>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</si>
  <si>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</si>
  <si>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</si>
  <si>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</si>
  <si>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</si>
  <si>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</si>
  <si>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</si>
  <si>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</si>
  <si>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</si>
  <si>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</si>
  <si>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</si>
  <si>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</si>
  <si>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</si>
  <si>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</si>
  <si>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</si>
  <si>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</si>
  <si>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</si>
  <si>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</si>
  <si>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</si>
  <si>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</si>
  <si>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</si>
  <si>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</si>
  <si>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</si>
  <si>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</si>
  <si>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</si>
  <si>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</si>
  <si>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</si>
  <si>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</si>
  <si>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</si>
  <si>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</si>
  <si>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</si>
  <si>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</si>
  <si>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</si>
  <si>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</si>
  <si>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</si>
  <si>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</si>
  <si>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</si>
  <si>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</si>
  <si>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</si>
  <si>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</si>
  <si>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</si>
  <si>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</si>
  <si>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</si>
  <si>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</si>
  <si>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</si>
  <si>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</si>
  <si>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</si>
  <si>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</si>
  <si>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</si>
  <si>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</si>
  <si>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</si>
  <si>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</si>
  <si>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</si>
  <si>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</si>
  <si>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</si>
  <si>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</si>
  <si>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</si>
  <si>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</si>
  <si>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</si>
  <si>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</si>
  <si>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</si>
  <si>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</si>
  <si>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</si>
  <si>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</si>
  <si>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</si>
  <si>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</si>
  <si>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</si>
  <si>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</si>
  <si>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</si>
  <si>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</si>
  <si>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</si>
  <si>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</si>
  <si>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</si>
  <si>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</si>
  <si>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</si>
  <si>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</si>
  <si>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</si>
  <si>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</si>
  <si>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</si>
  <si>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</si>
  <si>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</si>
  <si>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</si>
  <si>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</si>
  <si>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</si>
  <si>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</si>
  <si>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</si>
  <si>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</si>
  <si>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</si>
  <si>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</si>
  <si>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</si>
  <si>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</si>
  <si>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</si>
  <si>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</si>
  <si>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</si>
  <si>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</si>
  <si>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</si>
  <si>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</si>
  <si>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</si>
  <si>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</si>
  <si>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</si>
  <si>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</si>
  <si>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</si>
  <si>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</si>
  <si>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</si>
  <si>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</si>
  <si>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</si>
  <si>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</si>
  <si>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</si>
  <si>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</si>
  <si>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</si>
  <si>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</si>
  <si>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</si>
  <si>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</si>
  <si>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</si>
  <si>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</si>
  <si>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</si>
  <si>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</si>
  <si>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</si>
  <si>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</si>
  <si>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</si>
  <si>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</si>
  <si>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</si>
  <si>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</si>
  <si>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</si>
  <si>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</si>
  <si>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</si>
  <si>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</si>
  <si>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</si>
  <si>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</si>
  <si>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</si>
  <si>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</si>
  <si>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N° 11532</t>
  </si>
  <si>
    <t>ALEX MATUS</t>
  </si>
  <si>
    <t>+569 7335 4882</t>
  </si>
  <si>
    <t>PUERTA R6</t>
  </si>
  <si>
    <t>MELAMIL 18MM</t>
  </si>
  <si>
    <t>LAMINA 122 X 306</t>
  </si>
  <si>
    <t>NATURAL ELM 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</si>
</sst>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PUERTAS SE ENTREGAN CORTADAS A LA MEDIDA Y ENCHAPADAS</a:t>
          </a:r>
          <a:endParaRPr lang="es-CL" sz="120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4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239" t="s">
        <v>170</v>
      </c>
      <c r="D10" s="239"/>
      <c r="E10" s="239"/>
      <c r="F10" s="240" t="s">
        <v>166</v>
      </c>
      <c r="G10" s="271">
        <v>45859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165</v>
      </c>
      <c r="G11" s="306" t="s">
        <v>168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142</v>
      </c>
      <c r="F13" t="s">
        <v>164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171</v>
      </c>
      <c r="D15" s="314"/>
      <c r="F15" t="s">
        <v>167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159</v>
      </c>
      <c r="H16" s="243"/>
    </row>
    <row r="17" spans="2:25" ht="15" thickBot="1" x14ac:dyDescent="0.35">
      <c r="B17" s="294" t="s">
        <v>13</v>
      </c>
      <c r="C17" s="295" t="s">
        <v>162</v>
      </c>
      <c r="D17" s="296"/>
      <c r="E17" s="116"/>
      <c r="F17" s="329" t="s">
        <v>161</v>
      </c>
      <c r="G17" s="329"/>
      <c r="H17" s="330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O42</f>
        <v>77916.410537189644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46">
        <v>2</v>
      </c>
      <c r="C21" s="347" t="s">
        <v>172</v>
      </c>
      <c r="D21" s="348">
        <v>0.44700000000000001</v>
      </c>
      <c r="E21" s="348">
        <v>0.30299999999999999</v>
      </c>
      <c r="F21" s="347" t="s">
        <v>175</v>
      </c>
      <c r="G21" s="349">
        <f>R21</f>
        <v>15441.770350988978</v>
      </c>
      <c r="H21" s="350">
        <f>G21*B21</f>
        <v>30883.540701977956</v>
      </c>
      <c r="I21" s="299"/>
      <c r="J21" s="260"/>
      <c r="K21" s="44"/>
      <c r="L21" s="44">
        <f>B21</f>
        <v>2</v>
      </c>
      <c r="M21" s="36">
        <f>D21+M$19</f>
        <v>0.52700000000000002</v>
      </c>
      <c r="N21" s="36">
        <f>E21+$N$19</f>
        <v>0.30299999999999999</v>
      </c>
      <c r="O21" s="256">
        <f t="shared" ref="O21" si="1">M21*N21</f>
        <v>0.15968099999999999</v>
      </c>
      <c r="P21" s="254">
        <f t="shared" ref="P21" si="2">O21*L21</f>
        <v>0.31936199999999998</v>
      </c>
      <c r="Q21" s="247">
        <f t="shared" ref="Q21" si="3">Q$20*O21</f>
        <v>12441.770350988978</v>
      </c>
      <c r="R21" s="298">
        <f t="shared" ref="R21" si="4">Q21+R$20</f>
        <v>15441.770350988978</v>
      </c>
      <c r="S21" s="286">
        <f>M21*L21</f>
        <v>1.054</v>
      </c>
      <c r="T21" s="43">
        <f>N21*2*L21*2</f>
        <v>2.4239999999999999</v>
      </c>
      <c r="U21" s="9"/>
      <c r="X21" s="4"/>
    </row>
    <row r="22" spans="2:25" ht="17.399999999999999" x14ac:dyDescent="0.3">
      <c r="B22" s="351">
        <v>1</v>
      </c>
      <c r="C22" s="343" t="s">
        <v>172</v>
      </c>
      <c r="D22" s="344">
        <v>0.6</v>
      </c>
      <c r="E22" s="344">
        <v>0.39700000000000002</v>
      </c>
      <c r="F22" s="343" t="s">
        <v>175</v>
      </c>
      <c r="G22" s="345">
        <f>R22</f>
        <v>24034.314188619715</v>
      </c>
      <c r="H22" s="352">
        <f t="shared" ref="H22:H25" si="5">G22*B22</f>
        <v>24034.314188619715</v>
      </c>
      <c r="I22" s="299"/>
      <c r="J22" s="260"/>
      <c r="K22" s="44"/>
      <c r="L22" s="44">
        <f t="shared" ref="L22:L25" si="6">B22</f>
        <v>1</v>
      </c>
      <c r="M22" s="36">
        <f t="shared" ref="M22:M25" si="7">D22+M$19</f>
        <v>0.67999999999999994</v>
      </c>
      <c r="N22" s="36">
        <f t="shared" ref="N22:N25" si="8">E22+$N$19</f>
        <v>0.39700000000000002</v>
      </c>
      <c r="O22" s="256">
        <f t="shared" ref="O22:O25" si="9">M22*N22</f>
        <v>0.26995999999999998</v>
      </c>
      <c r="P22" s="254">
        <f t="shared" ref="P22:P25" si="10">O22*L22</f>
        <v>0.26995999999999998</v>
      </c>
      <c r="Q22" s="247">
        <f t="shared" ref="Q22:Q25" si="11">Q$20*O22</f>
        <v>21034.314188619715</v>
      </c>
      <c r="R22" s="298">
        <f t="shared" ref="R22:R25" si="12">Q22+R$20</f>
        <v>24034.314188619715</v>
      </c>
      <c r="S22" s="286">
        <f t="shared" ref="S22:S25" si="13">M22*L22</f>
        <v>0.67999999999999994</v>
      </c>
      <c r="T22" s="43"/>
      <c r="U22" s="9"/>
      <c r="X22" s="4"/>
    </row>
    <row r="23" spans="2:25" ht="17.399999999999999" x14ac:dyDescent="0.3">
      <c r="B23" s="351">
        <v>1</v>
      </c>
      <c r="C23" s="343" t="s">
        <v>172</v>
      </c>
      <c r="D23" s="344">
        <v>0.6</v>
      </c>
      <c r="E23" s="344">
        <v>0.41299999999999998</v>
      </c>
      <c r="F23" s="343" t="s">
        <v>175</v>
      </c>
      <c r="G23" s="345">
        <f t="shared" ref="G22:G25" si="14">Q23</f>
        <v>21882.044735264339</v>
      </c>
      <c r="H23" s="352">
        <f t="shared" si="5"/>
        <v>21882.044735264339</v>
      </c>
      <c r="I23" s="299"/>
      <c r="J23" s="260"/>
      <c r="K23" s="44"/>
      <c r="L23" s="44">
        <f t="shared" si="6"/>
        <v>1</v>
      </c>
      <c r="M23" s="36">
        <f t="shared" si="7"/>
        <v>0.67999999999999994</v>
      </c>
      <c r="N23" s="36">
        <f t="shared" si="8"/>
        <v>0.41299999999999998</v>
      </c>
      <c r="O23" s="256">
        <f t="shared" si="9"/>
        <v>0.28083999999999998</v>
      </c>
      <c r="P23" s="254">
        <f t="shared" si="10"/>
        <v>0.28083999999999998</v>
      </c>
      <c r="Q23" s="247">
        <f t="shared" si="11"/>
        <v>21882.044735264339</v>
      </c>
      <c r="R23" s="298">
        <f t="shared" si="12"/>
        <v>24882.044735264339</v>
      </c>
      <c r="S23" s="286">
        <f t="shared" si="13"/>
        <v>0.67999999999999994</v>
      </c>
      <c r="T23" s="43"/>
      <c r="U23" s="9"/>
      <c r="X23" s="4"/>
    </row>
    <row r="24" spans="2:25" ht="17.399999999999999" x14ac:dyDescent="0.3">
      <c r="B24" s="351">
        <v>1</v>
      </c>
      <c r="C24" s="343" t="s">
        <v>172</v>
      </c>
      <c r="D24" s="344">
        <v>0.70499999999999996</v>
      </c>
      <c r="E24" s="344">
        <v>0.39</v>
      </c>
      <c r="F24" s="343" t="s">
        <v>175</v>
      </c>
      <c r="G24" s="345">
        <f t="shared" si="14"/>
        <v>23854.109085960608</v>
      </c>
      <c r="H24" s="352">
        <f t="shared" si="5"/>
        <v>23854.109085960608</v>
      </c>
      <c r="I24" s="299"/>
      <c r="J24" s="260"/>
      <c r="K24" s="44"/>
      <c r="L24" s="44">
        <f t="shared" si="6"/>
        <v>1</v>
      </c>
      <c r="M24" s="36">
        <f t="shared" si="7"/>
        <v>0.78499999999999992</v>
      </c>
      <c r="N24" s="36">
        <f t="shared" si="8"/>
        <v>0.39</v>
      </c>
      <c r="O24" s="256">
        <f t="shared" si="9"/>
        <v>0.30614999999999998</v>
      </c>
      <c r="P24" s="254">
        <f t="shared" si="10"/>
        <v>0.30614999999999998</v>
      </c>
      <c r="Q24" s="247">
        <f t="shared" si="11"/>
        <v>23854.109085960608</v>
      </c>
      <c r="R24" s="298">
        <f t="shared" si="12"/>
        <v>26854.109085960608</v>
      </c>
      <c r="S24" s="286">
        <f t="shared" si="13"/>
        <v>0.78499999999999992</v>
      </c>
      <c r="T24" s="43"/>
      <c r="U24" s="9"/>
      <c r="X24" s="4"/>
    </row>
    <row r="25" spans="2:25" ht="18" thickBot="1" x14ac:dyDescent="0.35">
      <c r="B25" s="353">
        <v>2</v>
      </c>
      <c r="C25" s="354" t="s">
        <v>172</v>
      </c>
      <c r="D25" s="355">
        <v>0.70499999999999996</v>
      </c>
      <c r="E25" s="355">
        <v>0.442</v>
      </c>
      <c r="F25" s="354" t="s">
        <v>175</v>
      </c>
      <c r="G25" s="356">
        <f t="shared" si="14"/>
        <v>27034.656964088688</v>
      </c>
      <c r="H25" s="357">
        <f t="shared" si="5"/>
        <v>54069.313928177377</v>
      </c>
      <c r="I25" s="299"/>
      <c r="J25" s="260"/>
      <c r="K25" s="44"/>
      <c r="L25" s="44">
        <f t="shared" si="6"/>
        <v>2</v>
      </c>
      <c r="M25" s="36">
        <f t="shared" si="7"/>
        <v>0.78499999999999992</v>
      </c>
      <c r="N25" s="36">
        <f t="shared" si="8"/>
        <v>0.442</v>
      </c>
      <c r="O25" s="256">
        <f t="shared" si="9"/>
        <v>0.34696999999999995</v>
      </c>
      <c r="P25" s="254">
        <f t="shared" si="10"/>
        <v>0.69393999999999989</v>
      </c>
      <c r="Q25" s="247">
        <f t="shared" si="11"/>
        <v>27034.656964088688</v>
      </c>
      <c r="R25" s="298">
        <f t="shared" si="12"/>
        <v>30034.656964088688</v>
      </c>
      <c r="S25" s="286">
        <f t="shared" si="13"/>
        <v>1.5699999999999998</v>
      </c>
      <c r="T25" s="43"/>
      <c r="U25" s="9"/>
      <c r="X25" s="4"/>
    </row>
    <row r="26" spans="2:25" ht="17.399999999999999" x14ac:dyDescent="0.3">
      <c r="B26" s="341"/>
      <c r="C26" s="341"/>
      <c r="D26" s="342"/>
      <c r="E26" s="342"/>
      <c r="F26" s="341"/>
      <c r="G26" s="299"/>
      <c r="H26" s="299"/>
      <c r="I26" s="299"/>
      <c r="J26" s="260"/>
      <c r="K26" s="44"/>
      <c r="L26" s="44"/>
      <c r="M26" s="36"/>
      <c r="N26" s="36"/>
      <c r="O26" s="256"/>
      <c r="P26" s="254"/>
      <c r="Q26" s="247"/>
      <c r="R26" s="298"/>
      <c r="S26" s="286"/>
      <c r="T26" s="43"/>
      <c r="U26" s="9"/>
      <c r="X26" s="4"/>
    </row>
    <row r="27" spans="2:25" ht="18" thickBot="1" x14ac:dyDescent="0.35">
      <c r="B27" s="278"/>
      <c r="C27" s="278"/>
      <c r="D27" s="279"/>
      <c r="E27" s="279"/>
      <c r="F27" s="278"/>
      <c r="G27" s="260"/>
      <c r="H27" s="300"/>
      <c r="I27" s="302"/>
      <c r="J27" s="229"/>
      <c r="K27" s="44"/>
      <c r="L27" s="44"/>
      <c r="M27" s="36"/>
      <c r="N27" s="36"/>
      <c r="O27" s="256"/>
      <c r="P27" s="254"/>
      <c r="Q27" s="247"/>
      <c r="R27" s="253"/>
      <c r="S27" s="286"/>
      <c r="T27" s="14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303" t="s">
        <v>28</v>
      </c>
      <c r="H28" s="304">
        <f>SUM(H21:H27)</f>
        <v>154723.32264</v>
      </c>
      <c r="I28" s="301"/>
      <c r="J28" s="260"/>
      <c r="K28" s="319"/>
      <c r="L28" s="44"/>
      <c r="M28" s="36"/>
      <c r="N28" s="36"/>
      <c r="O28" s="256"/>
      <c r="P28" s="254"/>
      <c r="Q28" s="247"/>
      <c r="R28" s="253"/>
      <c r="S28" s="286"/>
      <c r="T28" s="43">
        <f>SUM(T21:T27)</f>
        <v>2.4239999999999999</v>
      </c>
      <c r="U28" s="9"/>
      <c r="X28" s="4"/>
    </row>
    <row r="29" spans="2:25" ht="17.399999999999999" x14ac:dyDescent="0.3">
      <c r="B29" s="272"/>
      <c r="C29" s="275"/>
      <c r="D29" s="276"/>
      <c r="E29" s="276"/>
      <c r="F29" s="277"/>
      <c r="G29" s="285" t="s">
        <v>51</v>
      </c>
      <c r="H29" s="283">
        <f>H28*19%</f>
        <v>29397.431301600001</v>
      </c>
      <c r="I29" s="301"/>
      <c r="J29" s="260"/>
      <c r="K29" s="319"/>
      <c r="L29" s="44"/>
      <c r="M29" s="36">
        <f>SUM(M21:M21)</f>
        <v>0.52700000000000002</v>
      </c>
      <c r="N29" s="12"/>
      <c r="O29" s="12"/>
      <c r="P29" s="248">
        <f>SUM(P21:P27)</f>
        <v>1.8702519999999998</v>
      </c>
      <c r="Q29" s="14"/>
      <c r="R29" s="12"/>
      <c r="S29" s="235">
        <f>SUM(S21:S28)</f>
        <v>4.7690000000000001</v>
      </c>
      <c r="T29" s="43"/>
      <c r="U29" s="9"/>
      <c r="X29" s="4"/>
    </row>
    <row r="30" spans="2:25" ht="18" thickBot="1" x14ac:dyDescent="0.35">
      <c r="B30" s="270"/>
      <c r="C30" s="274"/>
      <c r="D30" s="267"/>
      <c r="E30" s="267"/>
      <c r="F30" s="268"/>
      <c r="G30" s="273" t="s">
        <v>6</v>
      </c>
      <c r="H30" s="284">
        <f>H28+H29</f>
        <v>184120.75394160001</v>
      </c>
      <c r="I30" s="301"/>
      <c r="J30" s="260"/>
      <c r="K30" s="319"/>
      <c r="L30" s="44"/>
      <c r="M30" s="36"/>
      <c r="N30" s="12"/>
      <c r="O30" s="12"/>
      <c r="P30" s="248">
        <f>P29</f>
        <v>1.8702519999999998</v>
      </c>
      <c r="Q30" s="14"/>
      <c r="R30" s="12"/>
      <c r="S30" s="235"/>
      <c r="T30" s="43"/>
      <c r="U30" s="9"/>
      <c r="X30" s="4"/>
    </row>
    <row r="31" spans="2:25" ht="17.399999999999999" x14ac:dyDescent="0.3">
      <c r="B31" s="270"/>
      <c r="C31" s="266"/>
      <c r="D31" s="267"/>
      <c r="E31" s="267"/>
      <c r="F31" s="268"/>
      <c r="J31" s="260"/>
      <c r="K31" s="319"/>
      <c r="L31" s="44"/>
      <c r="M31" s="14"/>
      <c r="N31" s="12"/>
      <c r="O31" s="12"/>
      <c r="P31" s="36">
        <f>P30*20%</f>
        <v>0.37405040000000001</v>
      </c>
      <c r="Q31" s="36" t="s">
        <v>129</v>
      </c>
      <c r="R31" s="39"/>
      <c r="S31" s="236"/>
      <c r="T31" s="14"/>
      <c r="U31" s="9"/>
      <c r="X31" s="4"/>
    </row>
    <row r="32" spans="2:25" ht="17.399999999999999" x14ac:dyDescent="0.35">
      <c r="B32" s="264"/>
      <c r="C32" s="226"/>
      <c r="D32" s="226"/>
      <c r="E32" s="229"/>
      <c r="F32" s="230"/>
      <c r="G32" s="226"/>
      <c r="H32" s="269"/>
      <c r="I32" s="269"/>
      <c r="J32" s="260"/>
      <c r="K32" s="44"/>
      <c r="L32" s="44"/>
      <c r="M32" s="14"/>
      <c r="N32" s="12"/>
      <c r="O32" s="12"/>
      <c r="P32" s="43">
        <f>P30+P31</f>
        <v>2.2443023999999996</v>
      </c>
      <c r="Q32" s="14"/>
      <c r="R32" s="14"/>
      <c r="S32" s="234"/>
      <c r="T32" s="14"/>
      <c r="U32" s="9"/>
      <c r="X32" s="4"/>
    </row>
    <row r="33" spans="1:24" ht="17.399999999999999" x14ac:dyDescent="0.35">
      <c r="B33" s="231"/>
      <c r="C33" s="232"/>
      <c r="D33" s="233"/>
      <c r="E33" s="231"/>
      <c r="F33" s="226"/>
      <c r="G33" s="226"/>
      <c r="I33" s="269"/>
      <c r="J33" s="260"/>
      <c r="K33" s="44"/>
      <c r="L33" s="44"/>
      <c r="M33" s="14"/>
      <c r="N33" s="14"/>
      <c r="O33" s="14"/>
      <c r="P33" s="14"/>
      <c r="Q33" s="14"/>
      <c r="R33" s="14"/>
      <c r="S33" s="236"/>
      <c r="T33" s="14"/>
      <c r="U33" s="290" t="s">
        <v>21</v>
      </c>
      <c r="V33" s="287" t="s">
        <v>148</v>
      </c>
      <c r="W33" s="291">
        <v>44971</v>
      </c>
      <c r="X33" s="292"/>
    </row>
    <row r="34" spans="1:24" ht="17.399999999999999" x14ac:dyDescent="0.35">
      <c r="B34" s="226"/>
      <c r="C34" s="226"/>
      <c r="D34" s="226"/>
      <c r="E34" s="226"/>
      <c r="F34" s="226"/>
      <c r="G34" s="226"/>
      <c r="J34" s="260"/>
      <c r="K34" s="44"/>
      <c r="L34" s="44"/>
      <c r="M34" s="36">
        <f>P32</f>
        <v>2.2443023999999996</v>
      </c>
      <c r="N34" s="12">
        <v>3500</v>
      </c>
      <c r="O34" s="12">
        <f t="shared" ref="O34:O39" si="15">M34*N34</f>
        <v>7855.058399999999</v>
      </c>
      <c r="P34" s="14" t="s">
        <v>21</v>
      </c>
      <c r="Q34" s="14"/>
      <c r="R34" s="14"/>
      <c r="S34" s="237"/>
      <c r="T34" s="14"/>
      <c r="U34" s="290" t="s">
        <v>149</v>
      </c>
      <c r="V34" s="287">
        <v>3625</v>
      </c>
      <c r="W34" s="56" t="s">
        <v>150</v>
      </c>
      <c r="X34" s="292"/>
    </row>
    <row r="35" spans="1:24" ht="17.399999999999999" x14ac:dyDescent="0.35">
      <c r="A35" s="226"/>
      <c r="B35" s="226"/>
      <c r="C35" s="226"/>
      <c r="D35" s="226"/>
      <c r="E35" s="226"/>
      <c r="F35" s="226"/>
      <c r="G35" s="226"/>
      <c r="H35" s="226"/>
      <c r="J35" s="260"/>
      <c r="K35" s="44"/>
      <c r="L35" s="44"/>
      <c r="M35" s="244">
        <v>0.6</v>
      </c>
      <c r="N35" s="12">
        <v>40000</v>
      </c>
      <c r="O35" s="12">
        <f t="shared" si="15"/>
        <v>24000</v>
      </c>
      <c r="P35" s="36" t="s">
        <v>173</v>
      </c>
      <c r="Q35" s="39"/>
      <c r="R35" s="14"/>
      <c r="S35" s="236"/>
      <c r="T35" s="14"/>
      <c r="U35" s="290"/>
      <c r="V35" s="56">
        <v>906.25</v>
      </c>
      <c r="W35" s="56" t="s">
        <v>151</v>
      </c>
      <c r="X35" s="292"/>
    </row>
    <row r="36" spans="1:24" s="226" customFormat="1" ht="17.399999999999999" x14ac:dyDescent="0.35">
      <c r="B36" s="21" t="s">
        <v>147</v>
      </c>
      <c r="J36" s="257"/>
      <c r="K36" s="228"/>
      <c r="L36" s="245"/>
      <c r="M36" s="14"/>
      <c r="N36" s="245">
        <v>80000</v>
      </c>
      <c r="O36" s="12">
        <f t="shared" si="15"/>
        <v>0</v>
      </c>
      <c r="P36" s="36" t="s">
        <v>30</v>
      </c>
      <c r="Q36" s="39"/>
      <c r="S36" s="236"/>
      <c r="T36" s="251"/>
      <c r="U36" s="56"/>
      <c r="V36" s="56">
        <f>V35*20%</f>
        <v>181.25</v>
      </c>
      <c r="W36" s="292" t="s">
        <v>152</v>
      </c>
      <c r="X36" s="56"/>
    </row>
    <row r="37" spans="1:24" s="226" customFormat="1" ht="17.399999999999999" x14ac:dyDescent="0.35">
      <c r="B37" s="21" t="s">
        <v>163</v>
      </c>
      <c r="C37"/>
      <c r="D37"/>
      <c r="E37"/>
      <c r="F37"/>
      <c r="J37" s="257"/>
      <c r="K37" s="228"/>
      <c r="L37" s="245"/>
      <c r="M37" s="14">
        <v>1</v>
      </c>
      <c r="N37" s="245">
        <v>37537</v>
      </c>
      <c r="O37" s="12">
        <f t="shared" si="15"/>
        <v>37537</v>
      </c>
      <c r="P37" s="14" t="s">
        <v>174</v>
      </c>
      <c r="Q37" s="17"/>
      <c r="S37" s="234"/>
      <c r="T37" s="251"/>
      <c r="U37" s="56"/>
      <c r="V37" s="56">
        <f>V35+V36</f>
        <v>1087.5</v>
      </c>
      <c r="W37" s="292" t="s">
        <v>153</v>
      </c>
      <c r="X37" s="56"/>
    </row>
    <row r="38" spans="1:24" s="226" customFormat="1" ht="17.399999999999999" x14ac:dyDescent="0.35">
      <c r="B38" s="26" t="s">
        <v>124</v>
      </c>
      <c r="C38"/>
      <c r="D38"/>
      <c r="E38"/>
      <c r="F38" s="225" t="s">
        <v>15</v>
      </c>
      <c r="J38" s="257"/>
      <c r="K38" s="255"/>
      <c r="L38" s="245"/>
      <c r="M38" s="244"/>
      <c r="N38" s="245">
        <v>900</v>
      </c>
      <c r="O38" s="12">
        <f t="shared" si="15"/>
        <v>0</v>
      </c>
      <c r="P38" s="14" t="s">
        <v>32</v>
      </c>
      <c r="Q38" s="14"/>
      <c r="R38" s="226">
        <v>1.52</v>
      </c>
      <c r="S38" s="234"/>
      <c r="T38" s="234"/>
    </row>
    <row r="39" spans="1:24" s="226" customFormat="1" ht="17.399999999999999" x14ac:dyDescent="0.35">
      <c r="J39" s="282"/>
      <c r="K39" s="255"/>
      <c r="L39" s="245"/>
      <c r="M39" s="261"/>
      <c r="N39" s="12">
        <v>1500</v>
      </c>
      <c r="O39" s="12">
        <f t="shared" si="15"/>
        <v>0</v>
      </c>
      <c r="P39" s="14" t="s">
        <v>22</v>
      </c>
      <c r="Q39" s="14"/>
      <c r="R39">
        <v>2.44</v>
      </c>
      <c r="S39"/>
      <c r="T39" s="234"/>
      <c r="X39" s="227"/>
    </row>
    <row r="40" spans="1:24" s="226" customFormat="1" ht="17.399999999999999" x14ac:dyDescent="0.35">
      <c r="K40" s="255"/>
      <c r="L40" s="245"/>
      <c r="M40" s="14"/>
      <c r="N40" s="12"/>
      <c r="O40" s="12">
        <f>SUM(O34:O39)</f>
        <v>69392.058399999994</v>
      </c>
      <c r="P40" s="36" t="s">
        <v>23</v>
      </c>
      <c r="Q40" s="14"/>
      <c r="R40">
        <f>R38*R39</f>
        <v>3.7088000000000001</v>
      </c>
      <c r="S40"/>
      <c r="T40" s="234"/>
      <c r="X40" s="227"/>
    </row>
    <row r="41" spans="1:24" s="226" customFormat="1" ht="17.399999999999999" x14ac:dyDescent="0.35">
      <c r="L41" s="245"/>
      <c r="M41" s="249" t="s">
        <v>33</v>
      </c>
      <c r="N41" s="12"/>
      <c r="O41" s="250">
        <f>O40*2.1</f>
        <v>145723.32264</v>
      </c>
      <c r="P41" s="14" t="s">
        <v>138</v>
      </c>
      <c r="Q41" s="14"/>
      <c r="R41" s="37">
        <f>P32/R40</f>
        <v>0.60512899050905944</v>
      </c>
      <c r="S41"/>
      <c r="T41" s="252"/>
    </row>
    <row r="42" spans="1:24" s="226" customFormat="1" ht="17.399999999999999" x14ac:dyDescent="0.35">
      <c r="G42"/>
      <c r="H42" s="255"/>
      <c r="I42" s="255"/>
      <c r="J42" s="255"/>
      <c r="L42" s="245"/>
      <c r="M42" s="14"/>
      <c r="N42" s="12"/>
      <c r="O42" s="12">
        <f>O41/P30</f>
        <v>77916.410537189644</v>
      </c>
      <c r="P42" s="42" t="s">
        <v>24</v>
      </c>
      <c r="Q42" s="14"/>
      <c r="R42" s="14"/>
      <c r="S42"/>
      <c r="T42" s="234"/>
      <c r="U42" s="56" t="s">
        <v>154</v>
      </c>
      <c r="V42" s="287">
        <v>43650</v>
      </c>
    </row>
    <row r="43" spans="1:24" s="226" customFormat="1" ht="17.399999999999999" x14ac:dyDescent="0.35">
      <c r="G43"/>
      <c r="L43" s="245"/>
      <c r="M43" s="13"/>
      <c r="N43" s="14"/>
      <c r="O43" s="17">
        <f>O41/O40</f>
        <v>2.1</v>
      </c>
      <c r="P43" s="15"/>
      <c r="Q43"/>
      <c r="R43"/>
      <c r="S43"/>
      <c r="T43" s="234"/>
      <c r="U43" s="56" t="s">
        <v>156</v>
      </c>
      <c r="V43" s="288" t="s">
        <v>155</v>
      </c>
      <c r="W43" s="56">
        <v>2.4</v>
      </c>
    </row>
    <row r="44" spans="1:24" s="226" customFormat="1" ht="17.399999999999999" x14ac:dyDescent="0.35">
      <c r="D44" s="279"/>
      <c r="E44" s="279"/>
      <c r="F44" s="278"/>
      <c r="G44" s="320"/>
      <c r="H44" s="327"/>
      <c r="L44" s="12"/>
      <c r="T44" s="234"/>
      <c r="U44" s="56" t="s">
        <v>157</v>
      </c>
      <c r="V44" s="289">
        <v>395.37</v>
      </c>
    </row>
    <row r="45" spans="1:24" s="226" customFormat="1" ht="17.399999999999999" x14ac:dyDescent="0.35">
      <c r="B45"/>
      <c r="C45" s="328"/>
      <c r="D45" s="279"/>
      <c r="E45" s="279"/>
      <c r="F45" s="278"/>
      <c r="G45" s="320"/>
      <c r="H45" s="327"/>
      <c r="L45" s="12"/>
      <c r="T45" s="234"/>
      <c r="U45" s="56" t="s">
        <v>152</v>
      </c>
      <c r="V45" s="56">
        <v>474.45</v>
      </c>
    </row>
    <row r="46" spans="1:24" ht="14.4" customHeight="1" thickBot="1" x14ac:dyDescent="0.4">
      <c r="D46" s="279"/>
      <c r="E46" s="279"/>
      <c r="F46" s="278"/>
      <c r="G46" s="320"/>
      <c r="H46" s="327"/>
      <c r="L46" s="12"/>
      <c r="U46" s="56"/>
      <c r="V46" s="56"/>
    </row>
    <row r="47" spans="1:24" ht="17.399999999999999" x14ac:dyDescent="0.35">
      <c r="D47" s="348">
        <v>0.44700000000000001</v>
      </c>
      <c r="E47" s="348">
        <v>0.30299999999999999</v>
      </c>
      <c r="F47" s="278"/>
      <c r="G47" s="320">
        <f>D47+0.04</f>
        <v>0.48699999999999999</v>
      </c>
      <c r="H47" s="327">
        <f>E47+0.06</f>
        <v>0.36299999999999999</v>
      </c>
      <c r="L47" s="245"/>
    </row>
    <row r="48" spans="1:24" ht="17.399999999999999" x14ac:dyDescent="0.35">
      <c r="D48" s="344">
        <v>0.6</v>
      </c>
      <c r="E48" s="344">
        <v>0.39700000000000002</v>
      </c>
      <c r="F48" s="278"/>
      <c r="G48" s="320">
        <f t="shared" ref="G48:G51" si="16">D48+0.04</f>
        <v>0.64</v>
      </c>
      <c r="H48" s="327">
        <f t="shared" ref="H48:H51" si="17">E48+0.06</f>
        <v>0.45700000000000002</v>
      </c>
      <c r="L48" s="245"/>
      <c r="T48" s="265"/>
    </row>
    <row r="49" spans="4:20" ht="17.399999999999999" x14ac:dyDescent="0.35">
      <c r="D49" s="344">
        <v>0.6</v>
      </c>
      <c r="E49" s="344">
        <v>0.41299999999999998</v>
      </c>
      <c r="F49" s="278"/>
      <c r="G49" s="320">
        <f t="shared" si="16"/>
        <v>0.64</v>
      </c>
      <c r="H49" s="327">
        <f t="shared" si="17"/>
        <v>0.47299999999999998</v>
      </c>
      <c r="L49" s="245"/>
    </row>
    <row r="50" spans="4:20" ht="15" customHeight="1" x14ac:dyDescent="0.35">
      <c r="D50" s="344">
        <v>0.70499999999999996</v>
      </c>
      <c r="E50" s="344">
        <v>0.39</v>
      </c>
      <c r="F50" s="278"/>
      <c r="G50" s="320">
        <f t="shared" si="16"/>
        <v>0.745</v>
      </c>
      <c r="H50" s="327">
        <f t="shared" si="17"/>
        <v>0.45</v>
      </c>
    </row>
    <row r="51" spans="4:20" ht="18" thickBot="1" x14ac:dyDescent="0.4">
      <c r="D51" s="355">
        <v>0.70499999999999996</v>
      </c>
      <c r="E51" s="355">
        <v>0.442</v>
      </c>
      <c r="F51" s="278"/>
      <c r="G51" s="320">
        <f t="shared" si="16"/>
        <v>0.745</v>
      </c>
      <c r="H51" s="327">
        <f t="shared" si="17"/>
        <v>0.502</v>
      </c>
    </row>
    <row r="52" spans="4:20" ht="17.399999999999999" x14ac:dyDescent="0.35">
      <c r="D52" s="279"/>
      <c r="E52" s="279"/>
      <c r="F52" s="278"/>
      <c r="G52" s="320"/>
      <c r="H52" s="327"/>
      <c r="O52">
        <v>40935</v>
      </c>
      <c r="P52" t="s">
        <v>16</v>
      </c>
      <c r="Q52" t="s">
        <v>26</v>
      </c>
    </row>
    <row r="53" spans="4:20" ht="17.399999999999999" x14ac:dyDescent="0.35">
      <c r="D53" s="279"/>
      <c r="E53" s="279"/>
      <c r="F53" s="278"/>
      <c r="G53" s="320"/>
      <c r="H53" s="327"/>
    </row>
    <row r="54" spans="4:20" ht="17.399999999999999" x14ac:dyDescent="0.35">
      <c r="D54" s="279"/>
      <c r="E54" s="279"/>
      <c r="F54" s="278"/>
      <c r="G54" s="320"/>
      <c r="H54" s="327"/>
      <c r="O54" s="51"/>
      <c r="P54" s="51"/>
    </row>
    <row r="55" spans="4:20" ht="17.399999999999999" x14ac:dyDescent="0.35">
      <c r="D55" s="279"/>
      <c r="E55" s="279"/>
      <c r="F55" s="278"/>
      <c r="G55" s="320"/>
      <c r="H55" s="327"/>
      <c r="S55" s="18"/>
      <c r="T55" s="18"/>
    </row>
    <row r="56" spans="4:20" ht="17.399999999999999" x14ac:dyDescent="0.35">
      <c r="D56" s="279"/>
      <c r="E56" s="279"/>
      <c r="F56" s="278"/>
      <c r="G56" s="320"/>
      <c r="H56" s="327"/>
      <c r="S56" s="18"/>
      <c r="T56" s="18"/>
    </row>
    <row r="57" spans="4:20" ht="17.399999999999999" x14ac:dyDescent="0.35">
      <c r="D57" s="279"/>
      <c r="E57" s="279"/>
      <c r="F57" s="278"/>
      <c r="G57" s="320"/>
      <c r="H57" s="327"/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144</v>
      </c>
    </row>
    <row r="78" spans="3:15" x14ac:dyDescent="0.3">
      <c r="C78" t="s">
        <v>143</v>
      </c>
    </row>
    <row r="81" spans="3:3" x14ac:dyDescent="0.3">
      <c r="C81" t="s">
        <v>143</v>
      </c>
    </row>
    <row r="158" spans="3:3" x14ac:dyDescent="0.3">
      <c r="C158" t="s">
        <v>143</v>
      </c>
    </row>
    <row r="159" spans="3:3" x14ac:dyDescent="0.3">
      <c r="C159" t="s">
        <v>145</v>
      </c>
    </row>
    <row r="160" spans="3:3" x14ac:dyDescent="0.3">
      <c r="C160" t="s">
        <v>146</v>
      </c>
    </row>
    <row r="585" spans="3:3" x14ac:dyDescent="0.3">
      <c r="C585" t="s">
        <v>143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45859</v>
      </c>
    </row>
    <row r="6" spans="1:31" ht="16.2" thickBot="1" x14ac:dyDescent="0.35">
      <c r="B6" s="137" t="s">
        <v>2</v>
      </c>
      <c r="C6" s="136" t="str">
        <f>'2229'!C10</f>
        <v>ALEX MATUS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-11964.828793236715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154723.32264</v>
      </c>
      <c r="E11" s="129">
        <f>D11*0.19</f>
        <v>29397.431301600001</v>
      </c>
      <c r="F11" s="128">
        <f>E11+D11</f>
        <v>184120.75394160001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94025.171206763291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51833.968675362317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76025.171206763291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102889.35396463767</v>
      </c>
      <c r="E13" s="218">
        <f>(D11/D12)-1</f>
        <v>1.9849792827756785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67025.171206763291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28025.171206763283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98691.876357889851</v>
      </c>
      <c r="C15" s="210" t="s">
        <v>121</v>
      </c>
      <c r="D15" s="211">
        <v>0.6</v>
      </c>
      <c r="E15" s="212">
        <f>(100%+D15)*D12</f>
        <v>82934.349880579713</v>
      </c>
      <c r="F15" s="213">
        <f>E15-D12</f>
        <v>31100.381205217396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28025.171206763283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68025.171206763291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24000</v>
      </c>
      <c r="E19" s="120">
        <f>D19*0.19</f>
        <v>4560</v>
      </c>
      <c r="F19" s="117">
        <f>SUM(D19:E19)</f>
        <v>28560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7855.058399999999</v>
      </c>
      <c r="E20" s="118">
        <f>D20*0.19</f>
        <v>1492.4610959999998</v>
      </c>
      <c r="F20" s="117">
        <f>SUM(D20:E20)</f>
        <v>9347.519495999999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31855.058399999998</v>
      </c>
      <c r="E21" s="113">
        <f>SUM(E18:E20)</f>
        <v>6052.461096</v>
      </c>
      <c r="F21" s="112">
        <f>SUM(F18:F20)</f>
        <v>37907.519496000001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23344.970205600002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154723.32264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31855.058399999998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102889.35396463767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102889.35396463767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2025-07-21T20:09:34Z</cp:lastPrinted>
  <dcterms:created xsi:type="dcterms:W3CDTF">2013-03-18T13:35:42Z</dcterms:created>
  <dcterms:modified xsi:type="dcterms:W3CDTF">2025-07-21T20:10:54Z</dcterms:modified>
</cp:coreProperties>
</file>