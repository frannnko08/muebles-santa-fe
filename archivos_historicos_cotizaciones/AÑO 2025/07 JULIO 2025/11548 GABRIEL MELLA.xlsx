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4272D9C-5E6A-4D1B-9DE8-5456E8BBD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8" i="1"/>
  <c r="H29" i="1"/>
  <c r="H30" i="1"/>
  <c r="G22" i="1"/>
  <c r="G23" i="1"/>
  <c r="G24" i="1"/>
  <c r="G25" i="1"/>
  <c r="G26" i="1"/>
  <c r="G27" i="1"/>
  <c r="G28" i="1"/>
  <c r="G29" i="1"/>
  <c r="G30" i="1"/>
  <c r="G21" i="1"/>
  <c r="O46" i="1"/>
  <c r="M39" i="1"/>
  <c r="P34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J43" i="1"/>
  <c r="M21" i="1"/>
  <c r="L21" i="1" l="1"/>
  <c r="N21" i="1"/>
  <c r="M34" i="1" l="1"/>
  <c r="S21" i="1" l="1"/>
  <c r="S34" i="1" s="1"/>
  <c r="T21" i="1"/>
  <c r="T33" i="1" s="1"/>
  <c r="O21" i="1"/>
  <c r="P21" i="1" s="1"/>
  <c r="V41" i="1" l="1"/>
  <c r="V42" i="1" s="1"/>
  <c r="O40" i="1" l="1"/>
  <c r="P35" i="1" l="1"/>
  <c r="N20" i="1"/>
  <c r="L20" i="1"/>
  <c r="P36" i="1" l="1"/>
  <c r="P37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30" i="1" l="1"/>
  <c r="R30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O48" i="1"/>
  <c r="Q21" i="1" l="1"/>
  <c r="F15" i="3"/>
  <c r="R21" i="1" l="1"/>
  <c r="H21" i="1" l="1"/>
  <c r="H33" i="1" l="1"/>
  <c r="H34" i="1" s="1"/>
  <c r="H3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<sst xmlns="http://schemas.openxmlformats.org/spreadsheetml/2006/main" count="249" uniqueCount="179">
  <si>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</si>
  <si>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</si>
  <si>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</si>
  <si>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</si>
  <si>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</si>
  <si>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</si>
  <si>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</si>
  <si>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</si>
  <si>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</si>
  <si>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</si>
  <si>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</si>
  <si>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</si>
  <si>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</si>
  <si>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</si>
  <si>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</si>
  <si>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</si>
  <si>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</si>
  <si>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</si>
  <si>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</si>
  <si>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</si>
  <si>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</si>
  <si>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</si>
  <si>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</si>
  <si>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</si>
  <si>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</si>
  <si>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</si>
  <si>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</si>
  <si>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</si>
  <si>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</si>
  <si>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</si>
  <si>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</si>
  <si>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</si>
  <si>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</si>
  <si>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</si>
  <si>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</si>
  <si>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</si>
  <si>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</si>
  <si>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</si>
  <si>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</si>
  <si>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</si>
  <si>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</si>
  <si>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</si>
  <si>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</si>
  <si>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</si>
  <si>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</si>
  <si>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</si>
  <si>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</si>
  <si>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</si>
  <si>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</si>
  <si>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</si>
  <si>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</si>
  <si>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</si>
  <si>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</si>
  <si>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</si>
  <si>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</si>
  <si>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</si>
  <si>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</si>
  <si>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</si>
  <si>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</si>
  <si>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</si>
  <si>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</si>
  <si>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</si>
  <si>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</si>
  <si>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</si>
  <si>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</si>
  <si>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</si>
  <si>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</si>
  <si>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</si>
  <si>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</si>
  <si>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</si>
  <si>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</si>
  <si>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</si>
  <si>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</si>
  <si>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</si>
  <si>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</si>
  <si>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</si>
  <si>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</si>
  <si>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</si>
  <si>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</si>
  <si>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</si>
  <si>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</si>
  <si>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</si>
  <si>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</si>
  <si>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</si>
  <si>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</si>
  <si>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</si>
  <si>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</si>
  <si>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</si>
  <si>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</si>
  <si>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</si>
  <si>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</si>
  <si>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</si>
  <si>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</si>
  <si>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</si>
  <si>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</si>
  <si>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</si>
  <si>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</si>
  <si>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</si>
  <si>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</si>
  <si>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</si>
  <si>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</si>
  <si>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</si>
  <si>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</si>
  <si>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</si>
  <si>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</si>
  <si>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</si>
  <si>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</si>
  <si>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</si>
  <si>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</si>
  <si>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</si>
  <si>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</si>
  <si>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</si>
  <si>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</si>
  <si>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</si>
  <si>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</si>
  <si>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</si>
  <si>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</si>
  <si>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</si>
  <si>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</si>
  <si>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</si>
  <si>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</si>
  <si>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</si>
  <si>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</si>
  <si>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</si>
  <si>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</si>
  <si>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</si>
  <si>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</si>
  <si>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</si>
  <si>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</si>
  <si>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</si>
  <si>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</si>
  <si>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</si>
  <si>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</si>
  <si>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</si>
  <si>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</si>
  <si>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</si>
  <si>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</si>
  <si>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</si>
  <si>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</si>
  <si>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</si>
  <si>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</si>
  <si>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</si>
  <si>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</si>
  <si>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</si>
  <si>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</si>
  <si>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</si>
  <si>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</si>
  <si>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</si>
  <si>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</si>
  <si>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</si>
  <si>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</si>
  <si>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</si>
  <si>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</si>
  <si>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</si>
  <si>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</si>
  <si>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</si>
  <si>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</si>
  <si>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</si>
  <si>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</si>
  <si>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</si>
  <si>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</si>
  <si>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</si>
  <si>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</si>
  <si>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</si>
  <si>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</si>
  <si>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</si>
  <si>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</si>
  <si>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</si>
  <si>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</si>
  <si>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</si>
  <si>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SI</t>
  </si>
  <si>
    <t>N° 11548</t>
  </si>
  <si>
    <t>GABRIEL MELLA</t>
  </si>
  <si>
    <t>569 94945377</t>
  </si>
  <si>
    <t>5 DIAS HABILES</t>
  </si>
  <si>
    <t>PR6</t>
  </si>
  <si>
    <t>COLOR LISIO</t>
  </si>
  <si>
    <t>PR6 /3 FRENTES</t>
  </si>
  <si>
    <t>PR6 / 2 FRENTE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</si>
</sst>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0" fillId="7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ENCHAPAN POR SUS 4 CANTOS CON LA MISMA LAMINA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207178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topLeftCell="A5" zoomScale="93" zoomScaleNormal="93" workbookViewId="0">
      <selection activeCell="F22" sqref="F22:F30"/>
    </sheetView>
  </sheetViews>
  <sheetFormatPr baseColWidth="10" defaultRowHeight="14.4" x14ac:dyDescent="0.3"/>
  <cols>
    <col min="1" max="1" width="6" customWidth="1"/>
    <col min="2" max="2" width="10.5546875" customWidth="1"/>
    <col min="3" max="3" width="25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45868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170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O47</f>
        <v>69329.756562639042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1</v>
      </c>
      <c r="C21" s="326" t="s">
        <v>175</v>
      </c>
      <c r="D21" s="327">
        <v>0.7</v>
      </c>
      <c r="E21" s="327">
        <v>0.44800000000000001</v>
      </c>
      <c r="F21" s="326" t="s">
        <v>176</v>
      </c>
      <c r="G21" s="328">
        <f>R21</f>
        <v>26361.354771346851</v>
      </c>
      <c r="H21" s="328">
        <f>G21*B21</f>
        <v>26361.354771346851</v>
      </c>
      <c r="I21" s="297"/>
      <c r="J21" s="260"/>
      <c r="K21" s="44"/>
      <c r="L21" s="44">
        <f>B21</f>
        <v>1</v>
      </c>
      <c r="M21" s="36">
        <f>D21+M$19</f>
        <v>0.72</v>
      </c>
      <c r="N21" s="36">
        <f>E21+$N$19</f>
        <v>0.46800000000000003</v>
      </c>
      <c r="O21" s="256">
        <f t="shared" ref="O21" si="1">M21*N21</f>
        <v>0.33695999999999998</v>
      </c>
      <c r="P21" s="254">
        <f t="shared" ref="P21" si="2">O21*L21</f>
        <v>0.33695999999999998</v>
      </c>
      <c r="Q21" s="247">
        <f t="shared" ref="Q21" si="3">Q$20*O21</f>
        <v>23361.354771346851</v>
      </c>
      <c r="R21" s="296">
        <f t="shared" ref="R21" si="4">Q21+R$20</f>
        <v>26361.354771346851</v>
      </c>
      <c r="S21" s="284">
        <f>M21*L21</f>
        <v>0.72</v>
      </c>
      <c r="T21" s="43">
        <f>N21*2*L21*2</f>
        <v>1.8720000000000001</v>
      </c>
      <c r="U21" s="9"/>
      <c r="X21" s="4"/>
    </row>
    <row r="22" spans="2:25" ht="17.399999999999999" x14ac:dyDescent="0.3">
      <c r="B22" s="326">
        <v>2</v>
      </c>
      <c r="C22" s="326" t="s">
        <v>175</v>
      </c>
      <c r="D22" s="327">
        <v>0.7</v>
      </c>
      <c r="E22" s="327">
        <v>0.42299999999999999</v>
      </c>
      <c r="F22" s="326" t="s">
        <v>176</v>
      </c>
      <c r="G22" s="328">
        <f t="shared" ref="G22:G30" si="5">R22</f>
        <v>25113.419153219347</v>
      </c>
      <c r="H22" s="328">
        <f t="shared" ref="H22:H30" si="6">G22*B22</f>
        <v>50226.838306438694</v>
      </c>
      <c r="I22" s="297"/>
      <c r="J22" s="260"/>
      <c r="K22" s="44"/>
      <c r="L22" s="346">
        <f t="shared" ref="L22:L30" si="7">B22</f>
        <v>2</v>
      </c>
      <c r="M22" s="36">
        <f t="shared" ref="M22:M30" si="8">D22+M$19</f>
        <v>0.72</v>
      </c>
      <c r="N22" s="36">
        <f t="shared" ref="N22:N30" si="9">E22+$N$19</f>
        <v>0.443</v>
      </c>
      <c r="O22" s="256">
        <f t="shared" ref="O22:O30" si="10">M22*N22</f>
        <v>0.31895999999999997</v>
      </c>
      <c r="P22" s="254">
        <f t="shared" ref="P22:P30" si="11">O22*L22</f>
        <v>0.63791999999999993</v>
      </c>
      <c r="Q22" s="247">
        <f t="shared" ref="Q22:Q30" si="12">Q$20*O22</f>
        <v>22113.419153219347</v>
      </c>
      <c r="R22" s="296">
        <f t="shared" ref="R22:R30" si="13">Q22+R$20</f>
        <v>25113.419153219347</v>
      </c>
      <c r="S22" s="284">
        <f t="shared" ref="S22:S30" si="14">M22*L22</f>
        <v>1.44</v>
      </c>
      <c r="T22" s="43"/>
      <c r="U22" s="9"/>
      <c r="X22" s="4"/>
    </row>
    <row r="23" spans="2:25" ht="17.399999999999999" x14ac:dyDescent="0.3">
      <c r="B23" s="326">
        <v>2</v>
      </c>
      <c r="C23" s="326" t="s">
        <v>175</v>
      </c>
      <c r="D23" s="327">
        <v>0.7</v>
      </c>
      <c r="E23" s="327">
        <v>0.39800000000000002</v>
      </c>
      <c r="F23" s="326" t="s">
        <v>176</v>
      </c>
      <c r="G23" s="328">
        <f t="shared" si="5"/>
        <v>23865.483535091847</v>
      </c>
      <c r="H23" s="328">
        <f t="shared" si="6"/>
        <v>47730.967070183695</v>
      </c>
      <c r="I23" s="297"/>
      <c r="J23" s="260"/>
      <c r="K23" s="44"/>
      <c r="L23" s="44">
        <f t="shared" si="7"/>
        <v>2</v>
      </c>
      <c r="M23" s="36">
        <f t="shared" si="8"/>
        <v>0.72</v>
      </c>
      <c r="N23" s="36">
        <f t="shared" si="9"/>
        <v>0.41800000000000004</v>
      </c>
      <c r="O23" s="256">
        <f t="shared" si="10"/>
        <v>0.30096000000000001</v>
      </c>
      <c r="P23" s="254">
        <f t="shared" si="11"/>
        <v>0.60192000000000001</v>
      </c>
      <c r="Q23" s="247">
        <f t="shared" si="12"/>
        <v>20865.483535091847</v>
      </c>
      <c r="R23" s="296">
        <f t="shared" si="13"/>
        <v>23865.483535091847</v>
      </c>
      <c r="S23" s="284">
        <f t="shared" si="14"/>
        <v>1.44</v>
      </c>
      <c r="T23" s="43"/>
      <c r="U23" s="9"/>
      <c r="X23" s="4"/>
    </row>
    <row r="24" spans="2:25" ht="17.399999999999999" x14ac:dyDescent="0.3">
      <c r="B24" s="326">
        <v>1</v>
      </c>
      <c r="C24" s="326" t="s">
        <v>175</v>
      </c>
      <c r="D24" s="327">
        <v>0.7</v>
      </c>
      <c r="E24" s="327">
        <v>0.24</v>
      </c>
      <c r="F24" s="326" t="s">
        <v>176</v>
      </c>
      <c r="G24" s="328">
        <f t="shared" si="5"/>
        <v>15978.53042852603</v>
      </c>
      <c r="H24" s="328">
        <f t="shared" si="6"/>
        <v>15978.53042852603</v>
      </c>
      <c r="I24" s="297"/>
      <c r="J24" s="260"/>
      <c r="K24" s="44"/>
      <c r="L24" s="346">
        <f t="shared" si="7"/>
        <v>1</v>
      </c>
      <c r="M24" s="36">
        <f t="shared" si="8"/>
        <v>0.72</v>
      </c>
      <c r="N24" s="36">
        <f t="shared" si="9"/>
        <v>0.26</v>
      </c>
      <c r="O24" s="256">
        <f t="shared" si="10"/>
        <v>0.18720000000000001</v>
      </c>
      <c r="P24" s="254">
        <f t="shared" si="11"/>
        <v>0.18720000000000001</v>
      </c>
      <c r="Q24" s="247">
        <f t="shared" si="12"/>
        <v>12978.53042852603</v>
      </c>
      <c r="R24" s="296">
        <f t="shared" si="13"/>
        <v>15978.53042852603</v>
      </c>
      <c r="S24" s="284">
        <f t="shared" si="14"/>
        <v>0.72</v>
      </c>
      <c r="T24" s="43"/>
      <c r="U24" s="9"/>
      <c r="X24" s="4"/>
    </row>
    <row r="25" spans="2:25" ht="17.399999999999999" x14ac:dyDescent="0.3">
      <c r="B25" s="326">
        <v>1</v>
      </c>
      <c r="C25" s="326" t="s">
        <v>175</v>
      </c>
      <c r="D25" s="327">
        <v>0.08</v>
      </c>
      <c r="E25" s="327">
        <v>0.59799999999999998</v>
      </c>
      <c r="F25" s="326" t="s">
        <v>176</v>
      </c>
      <c r="G25" s="328">
        <f t="shared" si="5"/>
        <v>7284.5789555710926</v>
      </c>
      <c r="H25" s="328">
        <f t="shared" si="6"/>
        <v>7284.5789555710926</v>
      </c>
      <c r="I25" s="297"/>
      <c r="J25" s="260"/>
      <c r="K25" s="44"/>
      <c r="L25" s="44">
        <f t="shared" si="7"/>
        <v>1</v>
      </c>
      <c r="M25" s="36">
        <f t="shared" si="8"/>
        <v>0.1</v>
      </c>
      <c r="N25" s="36">
        <f t="shared" si="9"/>
        <v>0.61799999999999999</v>
      </c>
      <c r="O25" s="256">
        <f t="shared" si="10"/>
        <v>6.1800000000000001E-2</v>
      </c>
      <c r="P25" s="254">
        <f t="shared" si="11"/>
        <v>6.1800000000000001E-2</v>
      </c>
      <c r="Q25" s="247">
        <f t="shared" si="12"/>
        <v>4284.5789555710926</v>
      </c>
      <c r="R25" s="296">
        <f t="shared" si="13"/>
        <v>7284.5789555710926</v>
      </c>
      <c r="S25" s="284">
        <f t="shared" si="14"/>
        <v>0.1</v>
      </c>
      <c r="T25" s="43"/>
      <c r="U25" s="9"/>
      <c r="X25" s="4"/>
    </row>
    <row r="26" spans="2:25" ht="17.399999999999999" x14ac:dyDescent="0.3">
      <c r="B26" s="326">
        <v>2</v>
      </c>
      <c r="C26" s="326" t="s">
        <v>175</v>
      </c>
      <c r="D26" s="327">
        <v>0.7</v>
      </c>
      <c r="E26" s="327">
        <v>0.498</v>
      </c>
      <c r="F26" s="326" t="s">
        <v>176</v>
      </c>
      <c r="G26" s="328">
        <f t="shared" si="5"/>
        <v>28857.226007601857</v>
      </c>
      <c r="H26" s="328">
        <f t="shared" si="6"/>
        <v>57714.452015203715</v>
      </c>
      <c r="I26" s="297"/>
      <c r="J26" s="260"/>
      <c r="K26" s="44"/>
      <c r="L26" s="346">
        <f t="shared" si="7"/>
        <v>2</v>
      </c>
      <c r="M26" s="36">
        <f t="shared" si="8"/>
        <v>0.72</v>
      </c>
      <c r="N26" s="36">
        <f t="shared" si="9"/>
        <v>0.51800000000000002</v>
      </c>
      <c r="O26" s="256">
        <f t="shared" si="10"/>
        <v>0.37296000000000001</v>
      </c>
      <c r="P26" s="254">
        <f t="shared" si="11"/>
        <v>0.74592000000000003</v>
      </c>
      <c r="Q26" s="247">
        <f t="shared" si="12"/>
        <v>25857.226007601857</v>
      </c>
      <c r="R26" s="296">
        <f t="shared" si="13"/>
        <v>28857.226007601857</v>
      </c>
      <c r="S26" s="284">
        <f t="shared" si="14"/>
        <v>1.44</v>
      </c>
      <c r="T26" s="43"/>
      <c r="U26" s="9"/>
      <c r="X26" s="4"/>
    </row>
    <row r="27" spans="2:25" ht="17.399999999999999" x14ac:dyDescent="0.3">
      <c r="B27" s="326">
        <v>1</v>
      </c>
      <c r="C27" s="326" t="s">
        <v>175</v>
      </c>
      <c r="D27" s="327">
        <v>0.72</v>
      </c>
      <c r="E27" s="327">
        <v>0.43</v>
      </c>
      <c r="F27" s="326" t="s">
        <v>176</v>
      </c>
      <c r="G27" s="328">
        <f t="shared" si="5"/>
        <v>26086.808935358804</v>
      </c>
      <c r="H27" s="328">
        <f t="shared" si="6"/>
        <v>26086.808935358804</v>
      </c>
      <c r="I27" s="297"/>
      <c r="J27" s="260"/>
      <c r="K27" s="44"/>
      <c r="L27" s="44">
        <f t="shared" si="7"/>
        <v>1</v>
      </c>
      <c r="M27" s="36">
        <f t="shared" si="8"/>
        <v>0.74</v>
      </c>
      <c r="N27" s="36">
        <f t="shared" si="9"/>
        <v>0.45</v>
      </c>
      <c r="O27" s="256">
        <f t="shared" si="10"/>
        <v>0.33300000000000002</v>
      </c>
      <c r="P27" s="254">
        <f t="shared" si="11"/>
        <v>0.33300000000000002</v>
      </c>
      <c r="Q27" s="247">
        <f t="shared" si="12"/>
        <v>23086.808935358804</v>
      </c>
      <c r="R27" s="296">
        <f t="shared" si="13"/>
        <v>26086.808935358804</v>
      </c>
      <c r="S27" s="284">
        <f t="shared" si="14"/>
        <v>0.74</v>
      </c>
      <c r="T27" s="43"/>
      <c r="U27" s="9"/>
      <c r="X27" s="4"/>
    </row>
    <row r="28" spans="2:25" ht="17.399999999999999" x14ac:dyDescent="0.3">
      <c r="B28" s="326">
        <v>1</v>
      </c>
      <c r="C28" s="326" t="s">
        <v>177</v>
      </c>
      <c r="D28" s="327">
        <v>0.7</v>
      </c>
      <c r="E28" s="327">
        <v>0.35</v>
      </c>
      <c r="F28" s="326" t="s">
        <v>176</v>
      </c>
      <c r="G28" s="328">
        <f t="shared" si="5"/>
        <v>21469.447148287039</v>
      </c>
      <c r="H28" s="328">
        <f t="shared" si="6"/>
        <v>21469.447148287039</v>
      </c>
      <c r="I28" s="297"/>
      <c r="J28" s="260"/>
      <c r="K28" s="44"/>
      <c r="L28" s="44">
        <f t="shared" si="7"/>
        <v>1</v>
      </c>
      <c r="M28" s="36">
        <f t="shared" si="8"/>
        <v>0.72</v>
      </c>
      <c r="N28" s="36">
        <f t="shared" si="9"/>
        <v>0.37</v>
      </c>
      <c r="O28" s="256">
        <f t="shared" si="10"/>
        <v>0.26639999999999997</v>
      </c>
      <c r="P28" s="254">
        <f t="shared" si="11"/>
        <v>0.26639999999999997</v>
      </c>
      <c r="Q28" s="247">
        <f t="shared" si="12"/>
        <v>18469.447148287039</v>
      </c>
      <c r="R28" s="296">
        <f t="shared" si="13"/>
        <v>21469.447148287039</v>
      </c>
      <c r="S28" s="284">
        <f t="shared" si="14"/>
        <v>0.72</v>
      </c>
      <c r="T28" s="43"/>
      <c r="U28" s="9"/>
      <c r="X28" s="4"/>
    </row>
    <row r="29" spans="2:25" ht="17.399999999999999" x14ac:dyDescent="0.3">
      <c r="B29" s="326">
        <v>1</v>
      </c>
      <c r="C29" s="326" t="s">
        <v>178</v>
      </c>
      <c r="D29" s="327">
        <v>0.7</v>
      </c>
      <c r="E29" s="327">
        <v>0.65</v>
      </c>
      <c r="F29" s="326" t="s">
        <v>176</v>
      </c>
      <c r="G29" s="328">
        <f t="shared" si="5"/>
        <v>36444.674565817077</v>
      </c>
      <c r="H29" s="328">
        <f t="shared" si="6"/>
        <v>36444.674565817077</v>
      </c>
      <c r="I29" s="297"/>
      <c r="J29" s="260"/>
      <c r="K29" s="44"/>
      <c r="L29" s="346">
        <f t="shared" si="7"/>
        <v>1</v>
      </c>
      <c r="M29" s="36">
        <f t="shared" si="8"/>
        <v>0.72</v>
      </c>
      <c r="N29" s="36">
        <f t="shared" si="9"/>
        <v>0.67</v>
      </c>
      <c r="O29" s="256">
        <f t="shared" si="10"/>
        <v>0.4824</v>
      </c>
      <c r="P29" s="254">
        <f t="shared" si="11"/>
        <v>0.4824</v>
      </c>
      <c r="Q29" s="247">
        <f t="shared" si="12"/>
        <v>33444.674565817077</v>
      </c>
      <c r="R29" s="296">
        <f t="shared" si="13"/>
        <v>36444.674565817077</v>
      </c>
      <c r="S29" s="284">
        <f t="shared" si="14"/>
        <v>0.72</v>
      </c>
      <c r="T29" s="43"/>
      <c r="U29" s="9"/>
      <c r="X29" s="4"/>
    </row>
    <row r="30" spans="2:25" ht="17.399999999999999" x14ac:dyDescent="0.3">
      <c r="B30" s="326">
        <v>1</v>
      </c>
      <c r="C30" s="326" t="s">
        <v>175</v>
      </c>
      <c r="D30" s="327">
        <v>0.7</v>
      </c>
      <c r="E30" s="327">
        <v>0.15</v>
      </c>
      <c r="F30" s="326" t="s">
        <v>176</v>
      </c>
      <c r="G30" s="328">
        <f t="shared" si="5"/>
        <v>11485.962203267018</v>
      </c>
      <c r="H30" s="328">
        <f t="shared" si="6"/>
        <v>11485.962203267018</v>
      </c>
      <c r="I30" s="297"/>
      <c r="J30" s="260"/>
      <c r="K30" s="44"/>
      <c r="L30" s="346">
        <f t="shared" si="7"/>
        <v>1</v>
      </c>
      <c r="M30" s="36">
        <f t="shared" si="8"/>
        <v>0.72</v>
      </c>
      <c r="N30" s="36">
        <f t="shared" si="9"/>
        <v>0.16999999999999998</v>
      </c>
      <c r="O30" s="256">
        <f t="shared" si="10"/>
        <v>0.12239999999999998</v>
      </c>
      <c r="P30" s="254">
        <f t="shared" si="11"/>
        <v>0.12239999999999998</v>
      </c>
      <c r="Q30" s="247">
        <f t="shared" si="12"/>
        <v>8485.9622032670177</v>
      </c>
      <c r="R30" s="296">
        <f t="shared" si="13"/>
        <v>11485.962203267018</v>
      </c>
      <c r="S30" s="284">
        <f t="shared" si="14"/>
        <v>0.72</v>
      </c>
      <c r="T30" s="43"/>
      <c r="U30" s="9"/>
      <c r="X30" s="4"/>
    </row>
    <row r="31" spans="2:25" ht="17.399999999999999" x14ac:dyDescent="0.3">
      <c r="B31" s="344"/>
      <c r="C31" s="344"/>
      <c r="D31" s="345"/>
      <c r="E31" s="345"/>
      <c r="F31" s="344"/>
      <c r="G31" s="297"/>
      <c r="H31" s="297"/>
      <c r="I31" s="297"/>
      <c r="J31" s="260"/>
      <c r="K31" s="44"/>
      <c r="L31" s="44"/>
      <c r="M31" s="36"/>
      <c r="N31" s="36"/>
      <c r="O31" s="256"/>
      <c r="P31" s="254"/>
      <c r="Q31" s="247"/>
      <c r="R31" s="296"/>
      <c r="S31" s="284"/>
      <c r="T31" s="43"/>
      <c r="U31" s="9"/>
      <c r="X31" s="4"/>
    </row>
    <row r="32" spans="2:25" ht="18" thickBot="1" x14ac:dyDescent="0.35">
      <c r="B32" s="278"/>
      <c r="C32" s="278"/>
      <c r="D32" s="279"/>
      <c r="E32" s="279"/>
      <c r="F32" s="278"/>
      <c r="G32" s="260"/>
      <c r="H32" s="298"/>
      <c r="I32" s="300"/>
      <c r="J32" s="229"/>
      <c r="K32" s="44"/>
      <c r="L32" s="44"/>
      <c r="M32" s="36"/>
      <c r="N32" s="36"/>
      <c r="O32" s="256"/>
      <c r="P32" s="254"/>
      <c r="Q32" s="247"/>
      <c r="R32" s="253"/>
      <c r="S32" s="284"/>
      <c r="T32" s="14"/>
      <c r="U32" s="9"/>
      <c r="X32" s="4"/>
    </row>
    <row r="33" spans="1:24" ht="17.399999999999999" x14ac:dyDescent="0.3">
      <c r="B33" s="278"/>
      <c r="C33" s="278"/>
      <c r="D33" s="279"/>
      <c r="E33" s="279"/>
      <c r="F33" s="278"/>
      <c r="G33" s="301" t="s">
        <v>28</v>
      </c>
      <c r="H33" s="329">
        <f>SUM(H21:H32)</f>
        <v>300783.61439999996</v>
      </c>
      <c r="I33" s="299"/>
      <c r="J33" s="260"/>
      <c r="K33" s="316"/>
      <c r="L33" s="44"/>
      <c r="M33" s="36"/>
      <c r="N33" s="36"/>
      <c r="O33" s="256"/>
      <c r="P33" s="254"/>
      <c r="Q33" s="247"/>
      <c r="R33" s="253"/>
      <c r="S33" s="284"/>
      <c r="T33" s="43">
        <f>SUM(T21:T32)</f>
        <v>1.8720000000000001</v>
      </c>
      <c r="U33" s="9"/>
      <c r="X33" s="4"/>
    </row>
    <row r="34" spans="1:24" ht="17.399999999999999" x14ac:dyDescent="0.3">
      <c r="B34" s="272"/>
      <c r="C34" s="275"/>
      <c r="D34" s="276"/>
      <c r="E34" s="276"/>
      <c r="F34" s="277"/>
      <c r="G34" s="283" t="s">
        <v>51</v>
      </c>
      <c r="H34" s="330">
        <f>H33*19%</f>
        <v>57148.886735999993</v>
      </c>
      <c r="I34" s="299"/>
      <c r="J34" s="260"/>
      <c r="K34" s="316"/>
      <c r="L34" s="44"/>
      <c r="M34" s="36">
        <f>SUM(M21:M21)</f>
        <v>0.72</v>
      </c>
      <c r="N34" s="12"/>
      <c r="O34" s="12"/>
      <c r="P34" s="248">
        <f>SUM(P21:P32)</f>
        <v>3.7759200000000002</v>
      </c>
      <c r="Q34" s="14"/>
      <c r="R34" s="12"/>
      <c r="S34" s="235">
        <f>SUM(S21:S33)</f>
        <v>8.76</v>
      </c>
      <c r="T34" s="43"/>
      <c r="U34" s="9"/>
      <c r="X34" s="4"/>
    </row>
    <row r="35" spans="1:24" ht="18" thickBot="1" x14ac:dyDescent="0.35">
      <c r="B35" s="270"/>
      <c r="C35" s="274"/>
      <c r="D35" s="267"/>
      <c r="E35" s="267"/>
      <c r="F35" s="268"/>
      <c r="G35" s="273" t="s">
        <v>6</v>
      </c>
      <c r="H35" s="331">
        <f>H33+H34</f>
        <v>357932.50113599998</v>
      </c>
      <c r="I35" s="299"/>
      <c r="J35" s="260"/>
      <c r="K35" s="316"/>
      <c r="L35" s="44"/>
      <c r="M35" s="36"/>
      <c r="N35" s="12"/>
      <c r="O35" s="12"/>
      <c r="P35" s="248">
        <f>P34</f>
        <v>3.7759200000000002</v>
      </c>
      <c r="Q35" s="14"/>
      <c r="R35" s="12"/>
      <c r="S35" s="235"/>
      <c r="T35" s="43"/>
      <c r="U35" s="9"/>
      <c r="X35" s="4"/>
    </row>
    <row r="36" spans="1:24" ht="17.399999999999999" x14ac:dyDescent="0.3">
      <c r="B36" s="270"/>
      <c r="C36" s="266"/>
      <c r="D36" s="267"/>
      <c r="E36" s="267"/>
      <c r="F36" s="268"/>
      <c r="J36" s="260"/>
      <c r="K36" s="316"/>
      <c r="L36" s="44"/>
      <c r="M36" s="14"/>
      <c r="N36" s="12"/>
      <c r="O36" s="12"/>
      <c r="P36" s="36">
        <f>P35*20%</f>
        <v>0.75518400000000008</v>
      </c>
      <c r="Q36" s="36" t="s">
        <v>129</v>
      </c>
      <c r="R36" s="39"/>
      <c r="S36" s="236"/>
      <c r="T36" s="14"/>
      <c r="U36" s="9"/>
      <c r="X36" s="4"/>
    </row>
    <row r="37" spans="1:24" ht="17.399999999999999" x14ac:dyDescent="0.35">
      <c r="B37" s="264"/>
      <c r="C37" s="226"/>
      <c r="D37" s="226"/>
      <c r="E37" s="229"/>
      <c r="F37" s="230"/>
      <c r="G37" s="226"/>
      <c r="H37" s="269"/>
      <c r="I37" s="269"/>
      <c r="J37" s="260"/>
      <c r="K37" s="44"/>
      <c r="L37" s="44"/>
      <c r="M37" s="14"/>
      <c r="N37" s="12"/>
      <c r="O37" s="12"/>
      <c r="P37" s="43">
        <f>P35+P36</f>
        <v>4.531104</v>
      </c>
      <c r="Q37" s="14"/>
      <c r="R37" s="14"/>
      <c r="S37" s="234"/>
      <c r="T37" s="14"/>
      <c r="U37" s="9"/>
      <c r="X37" s="4"/>
    </row>
    <row r="38" spans="1:24" ht="17.399999999999999" x14ac:dyDescent="0.35">
      <c r="B38" s="231"/>
      <c r="C38" s="232"/>
      <c r="D38" s="233"/>
      <c r="E38" s="231"/>
      <c r="F38" s="226"/>
      <c r="G38" s="226"/>
      <c r="I38" s="269"/>
      <c r="J38" s="260"/>
      <c r="K38" s="44"/>
      <c r="L38" s="44"/>
      <c r="M38" s="14"/>
      <c r="N38" s="14"/>
      <c r="O38" s="14"/>
      <c r="P38" s="14"/>
      <c r="Q38" s="14"/>
      <c r="R38" s="14"/>
      <c r="S38" s="236"/>
      <c r="T38" s="14"/>
      <c r="U38" s="288" t="s">
        <v>21</v>
      </c>
      <c r="V38" s="285" t="s">
        <v>149</v>
      </c>
      <c r="W38" s="289">
        <v>44971</v>
      </c>
      <c r="X38" s="290"/>
    </row>
    <row r="39" spans="1:24" ht="17.399999999999999" x14ac:dyDescent="0.35">
      <c r="B39" s="226"/>
      <c r="C39" s="226"/>
      <c r="D39" s="226"/>
      <c r="E39" s="226"/>
      <c r="F39" s="226"/>
      <c r="G39" s="226"/>
      <c r="J39" s="260"/>
      <c r="K39" s="44"/>
      <c r="L39" s="44"/>
      <c r="M39" s="36">
        <f>P37</f>
        <v>4.531104</v>
      </c>
      <c r="N39" s="12">
        <v>3500</v>
      </c>
      <c r="O39" s="12">
        <f t="shared" ref="O39:O44" si="15">M39*N39</f>
        <v>15858.864</v>
      </c>
      <c r="P39" s="14" t="s">
        <v>21</v>
      </c>
      <c r="Q39" s="14"/>
      <c r="R39" s="14"/>
      <c r="S39" s="237"/>
      <c r="T39" s="14"/>
      <c r="U39" s="288" t="s">
        <v>150</v>
      </c>
      <c r="V39" s="285">
        <v>3625</v>
      </c>
      <c r="W39" s="56" t="s">
        <v>151</v>
      </c>
      <c r="X39" s="290"/>
    </row>
    <row r="40" spans="1:24" ht="17.399999999999999" x14ac:dyDescent="0.35">
      <c r="A40" s="226"/>
      <c r="B40" s="226"/>
      <c r="C40" s="226"/>
      <c r="D40" s="226"/>
      <c r="E40" s="226"/>
      <c r="F40" s="226"/>
      <c r="G40" s="226"/>
      <c r="H40" s="226"/>
      <c r="J40" s="260"/>
      <c r="K40" s="44"/>
      <c r="L40" s="44"/>
      <c r="M40" s="244">
        <v>1.22</v>
      </c>
      <c r="N40" s="12">
        <v>40000</v>
      </c>
      <c r="O40" s="12">
        <f t="shared" si="15"/>
        <v>48800</v>
      </c>
      <c r="P40" s="36" t="s">
        <v>169</v>
      </c>
      <c r="Q40" s="39"/>
      <c r="R40" s="14"/>
      <c r="S40" s="236"/>
      <c r="T40" s="14"/>
      <c r="U40" s="288"/>
      <c r="V40" s="56">
        <v>906.25</v>
      </c>
      <c r="W40" s="56" t="s">
        <v>152</v>
      </c>
      <c r="X40" s="290"/>
    </row>
    <row r="41" spans="1:24" s="226" customFormat="1" ht="17.399999999999999" x14ac:dyDescent="0.35">
      <c r="B41" s="21" t="s">
        <v>148</v>
      </c>
      <c r="J41" s="257"/>
      <c r="K41" s="228"/>
      <c r="L41" s="245"/>
      <c r="M41" s="14"/>
      <c r="N41" s="245">
        <v>80000</v>
      </c>
      <c r="O41" s="12">
        <f t="shared" si="15"/>
        <v>0</v>
      </c>
      <c r="P41" s="36" t="s">
        <v>30</v>
      </c>
      <c r="Q41" s="39"/>
      <c r="S41" s="236"/>
      <c r="T41" s="251"/>
      <c r="U41" s="56"/>
      <c r="V41" s="56">
        <f>V40*20%</f>
        <v>181.25</v>
      </c>
      <c r="W41" s="290" t="s">
        <v>153</v>
      </c>
      <c r="X41" s="56"/>
    </row>
    <row r="42" spans="1:24" s="226" customFormat="1" ht="17.399999999999999" x14ac:dyDescent="0.35">
      <c r="B42" s="21" t="s">
        <v>164</v>
      </c>
      <c r="C42"/>
      <c r="D42"/>
      <c r="E42"/>
      <c r="F42"/>
      <c r="J42" s="257">
        <v>46000</v>
      </c>
      <c r="K42" s="228"/>
      <c r="L42" s="245"/>
      <c r="M42" s="14">
        <v>2</v>
      </c>
      <c r="N42" s="245">
        <v>30000</v>
      </c>
      <c r="O42" s="12">
        <f t="shared" si="15"/>
        <v>60000</v>
      </c>
      <c r="P42" s="14" t="s">
        <v>139</v>
      </c>
      <c r="Q42" s="17"/>
      <c r="S42" s="234"/>
      <c r="T42" s="251"/>
      <c r="U42" s="56"/>
      <c r="V42" s="56">
        <f>V40+V41</f>
        <v>1087.5</v>
      </c>
      <c r="W42" s="290" t="s">
        <v>154</v>
      </c>
      <c r="X42" s="56"/>
    </row>
    <row r="43" spans="1:24" s="226" customFormat="1" ht="17.399999999999999" x14ac:dyDescent="0.35">
      <c r="B43" s="26" t="s">
        <v>124</v>
      </c>
      <c r="C43"/>
      <c r="D43"/>
      <c r="E43"/>
      <c r="F43" s="225" t="s">
        <v>15</v>
      </c>
      <c r="J43" s="257">
        <f>J42/1.19</f>
        <v>38655.462184873948</v>
      </c>
      <c r="K43" s="255"/>
      <c r="L43" s="245"/>
      <c r="M43" s="244"/>
      <c r="N43" s="245">
        <v>900</v>
      </c>
      <c r="O43" s="12">
        <f t="shared" si="15"/>
        <v>0</v>
      </c>
      <c r="P43" s="14" t="s">
        <v>32</v>
      </c>
      <c r="Q43" s="14"/>
      <c r="R43" s="226">
        <v>1.52</v>
      </c>
      <c r="S43" s="234"/>
      <c r="T43" s="234"/>
    </row>
    <row r="44" spans="1:24" s="226" customFormat="1" ht="17.399999999999999" x14ac:dyDescent="0.35">
      <c r="J44" s="282"/>
      <c r="K44" s="255"/>
      <c r="L44" s="245"/>
      <c r="M44" s="261"/>
      <c r="N44" s="12">
        <v>1500</v>
      </c>
      <c r="O44" s="12">
        <f t="shared" si="15"/>
        <v>0</v>
      </c>
      <c r="P44" s="14" t="s">
        <v>22</v>
      </c>
      <c r="Q44" s="14"/>
      <c r="R44">
        <v>2.44</v>
      </c>
      <c r="S44"/>
      <c r="T44" s="234"/>
      <c r="X44" s="227"/>
    </row>
    <row r="45" spans="1:24" s="226" customFormat="1" ht="17.399999999999999" x14ac:dyDescent="0.35">
      <c r="K45" s="255"/>
      <c r="L45" s="245"/>
      <c r="M45" s="14"/>
      <c r="N45" s="12"/>
      <c r="O45" s="12">
        <f>SUM(O39:O44)</f>
        <v>124658.864</v>
      </c>
      <c r="P45" s="36" t="s">
        <v>23</v>
      </c>
      <c r="Q45" s="14"/>
      <c r="R45">
        <f>R43*R44</f>
        <v>3.7088000000000001</v>
      </c>
      <c r="S45"/>
      <c r="T45" s="234"/>
      <c r="X45" s="227"/>
    </row>
    <row r="46" spans="1:24" s="226" customFormat="1" ht="17.399999999999999" x14ac:dyDescent="0.35">
      <c r="L46" s="245"/>
      <c r="M46" s="249" t="s">
        <v>33</v>
      </c>
      <c r="N46" s="12"/>
      <c r="O46" s="250">
        <f>O45*2.1</f>
        <v>261783.61440000002</v>
      </c>
      <c r="P46" s="14" t="s">
        <v>138</v>
      </c>
      <c r="Q46" s="14"/>
      <c r="R46" s="37">
        <f>P37/R45</f>
        <v>1.2217169974115616</v>
      </c>
      <c r="S46"/>
      <c r="T46" s="252"/>
    </row>
    <row r="47" spans="1:24" s="226" customFormat="1" ht="17.399999999999999" x14ac:dyDescent="0.35">
      <c r="G47"/>
      <c r="H47" s="255"/>
      <c r="I47" s="255"/>
      <c r="J47" s="255"/>
      <c r="L47" s="245"/>
      <c r="M47" s="14"/>
      <c r="N47" s="12"/>
      <c r="O47" s="12">
        <f>O46/P35</f>
        <v>69329.756562639042</v>
      </c>
      <c r="P47" s="42" t="s">
        <v>24</v>
      </c>
      <c r="Q47" s="14"/>
      <c r="R47" s="14"/>
      <c r="S47"/>
      <c r="T47" s="234"/>
      <c r="U47" s="56" t="s">
        <v>155</v>
      </c>
      <c r="V47" s="285">
        <v>43650</v>
      </c>
    </row>
    <row r="48" spans="1:24" s="226" customFormat="1" ht="17.399999999999999" x14ac:dyDescent="0.35">
      <c r="G48"/>
      <c r="L48" s="245"/>
      <c r="M48" s="13"/>
      <c r="N48" s="14"/>
      <c r="O48" s="17">
        <f>O46/O45</f>
        <v>2.1</v>
      </c>
      <c r="P48" s="15"/>
      <c r="Q48"/>
      <c r="R48"/>
      <c r="S48"/>
      <c r="T48" s="234"/>
      <c r="U48" s="56" t="s">
        <v>157</v>
      </c>
      <c r="V48" s="286" t="s">
        <v>156</v>
      </c>
      <c r="W48" s="56">
        <v>2.4</v>
      </c>
    </row>
    <row r="49" spans="2:22" s="226" customFormat="1" ht="17.399999999999999" x14ac:dyDescent="0.35">
      <c r="D49" s="279"/>
      <c r="E49" s="279"/>
      <c r="F49" s="278"/>
      <c r="G49" s="317"/>
      <c r="H49" s="324"/>
      <c r="L49" s="12"/>
      <c r="T49" s="234"/>
      <c r="U49" s="56" t="s">
        <v>158</v>
      </c>
      <c r="V49" s="287">
        <v>395.37</v>
      </c>
    </row>
    <row r="50" spans="2:22" s="226" customFormat="1" ht="17.399999999999999" x14ac:dyDescent="0.35">
      <c r="B50"/>
      <c r="C50" s="325"/>
      <c r="D50" s="279"/>
      <c r="E50" s="279"/>
      <c r="F50" s="278"/>
      <c r="G50" s="317"/>
      <c r="H50" s="324"/>
      <c r="L50" s="12"/>
      <c r="T50" s="234"/>
      <c r="U50" s="56" t="s">
        <v>153</v>
      </c>
      <c r="V50" s="56">
        <v>474.45</v>
      </c>
    </row>
    <row r="51" spans="2:22" ht="14.4" customHeight="1" x14ac:dyDescent="0.35">
      <c r="D51" s="279"/>
      <c r="E51" s="279"/>
      <c r="F51" s="278"/>
      <c r="G51" s="317"/>
      <c r="H51" s="324"/>
      <c r="L51" s="12"/>
      <c r="U51" s="56"/>
      <c r="V51" s="56"/>
    </row>
    <row r="52" spans="2:22" ht="17.399999999999999" x14ac:dyDescent="0.35">
      <c r="D52" s="279"/>
      <c r="E52" s="279"/>
      <c r="F52" s="278"/>
      <c r="G52" s="317"/>
      <c r="H52" s="324"/>
      <c r="L52" s="245"/>
    </row>
    <row r="53" spans="2:22" ht="17.399999999999999" x14ac:dyDescent="0.35">
      <c r="D53" s="279"/>
      <c r="E53" s="279"/>
      <c r="F53" s="278"/>
      <c r="G53" s="317"/>
      <c r="H53" s="324"/>
      <c r="L53" s="245"/>
      <c r="T53" s="265"/>
    </row>
    <row r="54" spans="2:22" ht="17.399999999999999" x14ac:dyDescent="0.35">
      <c r="D54" s="279"/>
      <c r="E54" s="279"/>
      <c r="F54" s="278"/>
      <c r="G54" s="317"/>
      <c r="H54" s="324"/>
      <c r="L54" s="245"/>
    </row>
    <row r="55" spans="2:22" ht="15" customHeight="1" x14ac:dyDescent="0.35">
      <c r="D55" s="279"/>
      <c r="E55" s="279"/>
      <c r="F55" s="278"/>
      <c r="G55" s="317"/>
      <c r="H55" s="324"/>
    </row>
    <row r="56" spans="2:22" ht="17.399999999999999" x14ac:dyDescent="0.35">
      <c r="D56" s="279"/>
      <c r="E56" s="279"/>
      <c r="F56" s="278"/>
      <c r="G56" s="317"/>
      <c r="H56" s="324"/>
    </row>
    <row r="57" spans="2:22" ht="17.399999999999999" x14ac:dyDescent="0.35">
      <c r="D57" s="279"/>
      <c r="E57" s="279"/>
      <c r="F57" s="278"/>
      <c r="G57" s="317"/>
      <c r="H57" s="324"/>
      <c r="O57">
        <v>40935</v>
      </c>
      <c r="P57" t="s">
        <v>16</v>
      </c>
      <c r="Q57" t="s">
        <v>26</v>
      </c>
    </row>
    <row r="58" spans="2:22" ht="17.399999999999999" x14ac:dyDescent="0.35">
      <c r="D58" s="279"/>
      <c r="E58" s="279"/>
      <c r="F58" s="278"/>
      <c r="G58" s="317"/>
      <c r="H58" s="324"/>
    </row>
    <row r="59" spans="2:22" ht="17.399999999999999" x14ac:dyDescent="0.35">
      <c r="D59" s="279"/>
      <c r="E59" s="279"/>
      <c r="F59" s="278"/>
      <c r="G59" s="317"/>
      <c r="H59" s="324"/>
      <c r="O59" s="51"/>
      <c r="P59" s="51"/>
    </row>
    <row r="60" spans="2:22" ht="17.399999999999999" x14ac:dyDescent="0.35">
      <c r="D60" s="279"/>
      <c r="E60" s="279"/>
      <c r="F60" s="278"/>
      <c r="G60" s="317"/>
      <c r="H60" s="324"/>
      <c r="S60" s="18"/>
      <c r="T60" s="18"/>
    </row>
    <row r="61" spans="2:22" ht="17.399999999999999" x14ac:dyDescent="0.35">
      <c r="D61" s="279"/>
      <c r="E61" s="279"/>
      <c r="F61" s="278"/>
      <c r="G61" s="317"/>
      <c r="H61" s="324"/>
      <c r="S61" s="18"/>
      <c r="T61" s="18"/>
    </row>
    <row r="62" spans="2:22" ht="17.399999999999999" x14ac:dyDescent="0.35">
      <c r="D62" s="279"/>
      <c r="E62" s="279"/>
      <c r="F62" s="278"/>
      <c r="G62" s="317"/>
      <c r="H62" s="324"/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0"/>
    </row>
    <row r="72" spans="15:20" x14ac:dyDescent="0.3">
      <c r="O72" s="40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145</v>
      </c>
    </row>
    <row r="83" spans="3:3" x14ac:dyDescent="0.3">
      <c r="C83" t="s">
        <v>144</v>
      </c>
    </row>
    <row r="86" spans="3:3" x14ac:dyDescent="0.3">
      <c r="C86" t="s">
        <v>144</v>
      </c>
    </row>
    <row r="163" spans="3:3" x14ac:dyDescent="0.3">
      <c r="C163" t="s">
        <v>144</v>
      </c>
    </row>
    <row r="164" spans="3:3" x14ac:dyDescent="0.3">
      <c r="C164" t="s">
        <v>146</v>
      </c>
    </row>
    <row r="165" spans="3:3" x14ac:dyDescent="0.3">
      <c r="C165" t="s">
        <v>147</v>
      </c>
    </row>
    <row r="590" spans="3:3" x14ac:dyDescent="0.3">
      <c r="C590" t="s">
        <v>144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45868</v>
      </c>
    </row>
    <row r="6" spans="1:31" ht="16.2" thickBot="1" x14ac:dyDescent="0.35">
      <c r="B6" s="137" t="s">
        <v>2</v>
      </c>
      <c r="C6" s="136" t="str">
        <f>'2229'!C10</f>
        <v>GABRIEL MELLA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11548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-27560.529259903375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'2229'!H33</f>
        <v>300783.61439999996</v>
      </c>
      <c r="E11" s="129">
        <f>D11*0.19</f>
        <v>57148.886735999993</v>
      </c>
      <c r="F11" s="128">
        <f>E11+D11</f>
        <v>357932.50113599998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78429.470740096629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84637.774275362317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60429.470740096629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216145.84012463765</v>
      </c>
      <c r="E13" s="218">
        <f>(D11/D12)-1</f>
        <v>2.5537750959922954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51429.470740096629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12429.470740096625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161150.32222028985</v>
      </c>
      <c r="C15" s="210" t="s">
        <v>121</v>
      </c>
      <c r="D15" s="211">
        <v>0.6</v>
      </c>
      <c r="E15" s="212">
        <f>(100%+D15)*D12</f>
        <v>135420.43884057971</v>
      </c>
      <c r="F15" s="213">
        <f>E15-D12</f>
        <v>50782.66456521739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12429.470740096625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52429.470740096629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'2229'!O40</f>
        <v>48800</v>
      </c>
      <c r="E19" s="120">
        <f>D19*0.19</f>
        <v>9272</v>
      </c>
      <c r="F19" s="117">
        <f>SUM(D19:E19)</f>
        <v>58072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'2229'!O39</f>
        <v>15858.864</v>
      </c>
      <c r="E20" s="118">
        <f>D20*0.19</f>
        <v>3013.1841599999998</v>
      </c>
      <c r="F20" s="117">
        <f>SUM(D20:E20)</f>
        <v>18872.048159999998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64658.864000000001</v>
      </c>
      <c r="E21" s="113">
        <f>SUM(E18:E20)</f>
        <v>12285.184160000001</v>
      </c>
      <c r="F21" s="112">
        <f>SUM(F18:F20)</f>
        <v>76944.048160000006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44863.702575999996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300783.61439999996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64658.864000000001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216145.84012463765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216145.84012463765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2025-07-30T20:51:00Z</cp:lastPrinted>
  <dcterms:created xsi:type="dcterms:W3CDTF">2013-03-18T13:35:42Z</dcterms:created>
  <dcterms:modified xsi:type="dcterms:W3CDTF">2025-07-31T00:06:54Z</dcterms:modified>
</cp:coreProperties>
</file>