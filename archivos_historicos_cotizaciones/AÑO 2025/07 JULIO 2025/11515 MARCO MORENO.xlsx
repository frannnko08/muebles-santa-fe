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5C0E6227-CAF9-4CD7-B79B-8E404D12B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4" i="1"/>
  <c r="M24" i="1"/>
  <c r="N24" i="1"/>
  <c r="O24" i="1"/>
  <c r="P24" i="1" s="1"/>
  <c r="S24" i="1"/>
  <c r="H23" i="1"/>
  <c r="M26" i="1"/>
  <c r="L22" i="1"/>
  <c r="M22" i="1"/>
  <c r="N22" i="1"/>
  <c r="O22" i="1" s="1"/>
  <c r="P22" i="1" s="1"/>
  <c r="S22" i="1"/>
  <c r="L21" i="1" l="1"/>
  <c r="M21" i="1"/>
  <c r="N21" i="1"/>
  <c r="O21" i="1" l="1"/>
  <c r="P21" i="1" s="1"/>
  <c r="S21" i="1"/>
  <c r="T26" i="1"/>
  <c r="K41" i="1"/>
  <c r="P27" i="1" l="1"/>
  <c r="S28" i="1"/>
  <c r="S29" i="1" s="1"/>
  <c r="S30" i="1" s="1"/>
  <c r="S31" i="1" s="1"/>
  <c r="V34" i="1"/>
  <c r="V35" i="1" s="1"/>
  <c r="O33" i="1" l="1"/>
  <c r="P28" i="1" l="1"/>
  <c r="N20" i="1"/>
  <c r="L20" i="1"/>
  <c r="P29" i="1" l="1"/>
  <c r="P30" i="1" s="1"/>
  <c r="O34" i="1"/>
  <c r="D18" i="3" s="1"/>
  <c r="R38" i="1"/>
  <c r="M32" i="1" l="1"/>
  <c r="R39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4" i="1" l="1"/>
  <c r="R24" i="1" s="1"/>
  <c r="Q22" i="1"/>
  <c r="R22" i="1" s="1"/>
  <c r="Q21" i="1"/>
  <c r="H21" i="1" s="1"/>
  <c r="O41" i="1"/>
  <c r="E15" i="3"/>
  <c r="H22" i="1" l="1"/>
  <c r="R21" i="1"/>
  <c r="F15" i="3"/>
  <c r="H26" i="1" l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<sst xmlns="http://schemas.openxmlformats.org/spreadsheetml/2006/main" count="236" uniqueCount="176">
  <si>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</si>
  <si>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</si>
  <si>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</si>
  <si>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</si>
  <si>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</si>
  <si>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</si>
  <si>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</si>
  <si>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</si>
  <si>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</si>
  <si>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</si>
  <si>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</si>
  <si>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</si>
  <si>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</si>
  <si>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</si>
  <si>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</si>
  <si>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</si>
  <si>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</si>
  <si>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</si>
  <si>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</si>
  <si>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</si>
  <si>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</si>
  <si>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</si>
  <si>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</si>
  <si>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</si>
  <si>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</si>
  <si>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</si>
  <si>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</si>
  <si>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</si>
  <si>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</si>
  <si>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</si>
  <si>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</si>
  <si>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</si>
  <si>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</si>
  <si>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</si>
  <si>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</si>
  <si>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</si>
  <si>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</si>
  <si>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</si>
  <si>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</si>
  <si>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</si>
  <si>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</si>
  <si>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</si>
  <si>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</si>
  <si>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</si>
  <si>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</si>
  <si>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</si>
  <si>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</si>
  <si>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</si>
  <si>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</si>
  <si>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</si>
  <si>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</si>
  <si>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</si>
  <si>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</si>
  <si>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</si>
  <si>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</si>
  <si>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</si>
  <si>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</si>
  <si>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</si>
  <si>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</si>
  <si>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</si>
  <si>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</si>
  <si>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</si>
  <si>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</si>
  <si>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</si>
  <si>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</si>
  <si>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</si>
  <si>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</si>
  <si>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</si>
  <si>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</si>
  <si>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</si>
  <si>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</si>
  <si>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</si>
  <si>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</si>
  <si>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</si>
  <si>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</si>
  <si>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</si>
  <si>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</si>
  <si>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</si>
  <si>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</si>
  <si>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</si>
  <si>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</si>
  <si>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</si>
  <si>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</si>
  <si>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</si>
  <si>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</si>
  <si>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</si>
  <si>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</si>
  <si>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</si>
  <si>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</si>
  <si>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</si>
  <si>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</si>
  <si>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</si>
  <si>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</si>
  <si>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</si>
  <si>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</si>
  <si>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</si>
  <si>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</si>
  <si>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</si>
  <si>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</si>
  <si>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</si>
  <si>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</si>
  <si>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</si>
  <si>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</si>
  <si>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</si>
  <si>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</si>
  <si>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</si>
  <si>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</si>
  <si>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</si>
  <si>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</si>
  <si>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</si>
  <si>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</si>
  <si>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</si>
  <si>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</si>
  <si>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</si>
  <si>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</si>
  <si>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</si>
  <si>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</si>
  <si>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</si>
  <si>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</si>
  <si>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</si>
  <si>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</si>
  <si>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</si>
  <si>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</si>
  <si>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</si>
  <si>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</si>
  <si>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</si>
  <si>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</si>
  <si>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</si>
  <si>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</si>
  <si>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</si>
  <si>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</si>
  <si>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</si>
  <si>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</si>
  <si>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</si>
  <si>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</si>
  <si>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</si>
  <si>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</si>
  <si>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</si>
  <si>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</si>
  <si>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</si>
  <si>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</si>
  <si>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</si>
  <si>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</si>
  <si>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</si>
  <si>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</si>
  <si>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</si>
  <si>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</si>
  <si>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</si>
  <si>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</si>
  <si>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</si>
  <si>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</si>
  <si>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</si>
  <si>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</si>
  <si>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</si>
  <si>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</si>
  <si>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</si>
  <si>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</si>
  <si>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</si>
  <si>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</si>
  <si>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</si>
  <si>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</si>
  <si>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</si>
  <si>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</si>
  <si>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</si>
  <si>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</si>
  <si>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</si>
  <si>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</si>
  <si>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</si>
  <si>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5 DIAS HABILES</t>
  </si>
  <si>
    <t>MARCO MORENO</t>
  </si>
  <si>
    <t>+56 9 7782 4695</t>
  </si>
  <si>
    <t>CUB CON RESPALDO R6</t>
  </si>
  <si>
    <t>ZOCALOS</t>
  </si>
  <si>
    <t>CENEFA</t>
  </si>
  <si>
    <t>COLOR MADERA X DEFINIR</t>
  </si>
  <si>
    <t>N° 11515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</si>
</sst>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29</xdr:row>
      <xdr:rowOff>9525</xdr:rowOff>
    </xdr:from>
    <xdr:to>
      <xdr:col>5</xdr:col>
      <xdr:colOff>1769808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25</xdr:row>
      <xdr:rowOff>9525</xdr:rowOff>
    </xdr:from>
    <xdr:to>
      <xdr:col>5</xdr:col>
      <xdr:colOff>1753421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85622.036199095033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3">
        <v>1.35</v>
      </c>
      <c r="E21" s="333">
        <v>0.6</v>
      </c>
      <c r="F21" s="330" t="s">
        <v>174</v>
      </c>
      <c r="G21" s="331">
        <v>81464</v>
      </c>
      <c r="H21" s="331">
        <f>G21*B21</f>
        <v>81464</v>
      </c>
      <c r="I21" s="320"/>
      <c r="J21" s="265"/>
      <c r="K21" s="47"/>
      <c r="L21" s="332">
        <f t="shared" ref="L21" si="1">B21</f>
        <v>1</v>
      </c>
      <c r="M21" s="39">
        <f t="shared" ref="M21" si="2">D21+M$19</f>
        <v>1.4300000000000002</v>
      </c>
      <c r="N21" s="39">
        <f t="shared" ref="N21" si="3">E21+$N$19</f>
        <v>0.6</v>
      </c>
      <c r="O21" s="261">
        <f t="shared" ref="O21" si="4">M21*N21</f>
        <v>0.8580000000000001</v>
      </c>
      <c r="P21" s="259">
        <f t="shared" ref="P21" si="5">O21*L21</f>
        <v>0.8580000000000001</v>
      </c>
      <c r="Q21" s="252">
        <f t="shared" ref="Q21" si="6">Q$20*O21</f>
        <v>73463.707058823551</v>
      </c>
      <c r="R21" s="319">
        <f t="shared" ref="R21" si="7">Q21+R$20</f>
        <v>75463.707058823551</v>
      </c>
      <c r="S21" s="297">
        <f t="shared" ref="S21" si="8">M21*L21</f>
        <v>1.4300000000000002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3">
        <v>2.15</v>
      </c>
      <c r="E22" s="333">
        <v>0.6</v>
      </c>
      <c r="F22" s="330" t="s">
        <v>174</v>
      </c>
      <c r="G22" s="331">
        <v>122562</v>
      </c>
      <c r="H22" s="331">
        <f>G22*B22</f>
        <v>122562</v>
      </c>
      <c r="I22" s="320"/>
      <c r="J22" s="265"/>
      <c r="K22" s="47"/>
      <c r="L22" s="332">
        <f t="shared" ref="L22" si="9">B22</f>
        <v>1</v>
      </c>
      <c r="M22" s="39">
        <f t="shared" ref="M22" si="10">D22+M$19</f>
        <v>2.23</v>
      </c>
      <c r="N22" s="39">
        <f t="shared" ref="N22" si="11">E22+$N$19</f>
        <v>0.6</v>
      </c>
      <c r="O22" s="261">
        <f t="shared" ref="O22" si="12">M22*N22</f>
        <v>1.3379999999999999</v>
      </c>
      <c r="P22" s="259">
        <f t="shared" ref="P22" si="13">O22*L22</f>
        <v>1.3379999999999999</v>
      </c>
      <c r="Q22" s="252">
        <f t="shared" ref="Q22" si="14">Q$20*O22</f>
        <v>114562.28443438915</v>
      </c>
      <c r="R22" s="319">
        <f t="shared" ref="R22" si="15">Q22+R$20</f>
        <v>116562.28443438915</v>
      </c>
      <c r="S22" s="297">
        <f t="shared" ref="S22" si="16">M22*L22</f>
        <v>2.23</v>
      </c>
      <c r="T22" s="46"/>
      <c r="U22" s="9"/>
      <c r="X22" s="4"/>
    </row>
    <row r="23" spans="2:25" ht="17.399999999999999" x14ac:dyDescent="0.3">
      <c r="B23" s="330">
        <v>3</v>
      </c>
      <c r="C23" s="330" t="s">
        <v>172</v>
      </c>
      <c r="D23" s="333">
        <v>3</v>
      </c>
      <c r="E23" s="333">
        <v>0.1</v>
      </c>
      <c r="F23" s="330" t="s">
        <v>174</v>
      </c>
      <c r="G23" s="331">
        <v>3500</v>
      </c>
      <c r="H23" s="331">
        <f>G23*B23</f>
        <v>10500</v>
      </c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330">
        <v>2</v>
      </c>
      <c r="C24" s="330" t="s">
        <v>173</v>
      </c>
      <c r="D24" s="333">
        <v>2.2000000000000002</v>
      </c>
      <c r="E24" s="333">
        <v>0.1</v>
      </c>
      <c r="F24" s="330" t="s">
        <v>174</v>
      </c>
      <c r="G24" s="331">
        <v>11522</v>
      </c>
      <c r="H24" s="331">
        <f>G24*B24</f>
        <v>23044</v>
      </c>
      <c r="I24" s="320"/>
      <c r="J24" s="265"/>
      <c r="K24" s="47"/>
      <c r="L24" s="332">
        <f t="shared" ref="L23:L24" si="17">B24</f>
        <v>2</v>
      </c>
      <c r="M24" s="39">
        <f t="shared" ref="M23:M24" si="18">D24+M$19</f>
        <v>2.2800000000000002</v>
      </c>
      <c r="N24" s="39">
        <f t="shared" ref="N23:N24" si="19">E24+$N$19</f>
        <v>0.1</v>
      </c>
      <c r="O24" s="261">
        <f t="shared" ref="O23:O24" si="20">M24*N24</f>
        <v>0.22800000000000004</v>
      </c>
      <c r="P24" s="259">
        <f t="shared" ref="P23:P24" si="21">O24*L24</f>
        <v>0.45600000000000007</v>
      </c>
      <c r="Q24" s="252">
        <f t="shared" ref="Q23:Q24" si="22">Q$20*O24</f>
        <v>19521.824253393672</v>
      </c>
      <c r="R24" s="319">
        <f t="shared" ref="R23:R24" si="23">Q24+R$20</f>
        <v>21521.824253393672</v>
      </c>
      <c r="S24" s="297">
        <f t="shared" ref="S23:S24" si="24">M24*L24</f>
        <v>4.5600000000000005</v>
      </c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237570</v>
      </c>
      <c r="I26" s="322"/>
      <c r="J26" s="265"/>
      <c r="K26" s="47"/>
      <c r="L26" s="47"/>
      <c r="M26" s="39">
        <f>SUM(M21:M22)</f>
        <v>3.66</v>
      </c>
      <c r="N26" s="39"/>
      <c r="O26" s="261"/>
      <c r="P26" s="259"/>
      <c r="Q26" s="252"/>
      <c r="R26" s="258"/>
      <c r="S26" s="297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45138.3</v>
      </c>
      <c r="I27" s="322"/>
      <c r="J27" s="265"/>
      <c r="K27" s="47"/>
      <c r="L27" s="47"/>
      <c r="N27" s="12"/>
      <c r="O27" s="12"/>
      <c r="P27" s="253">
        <f>SUM(P21:P25)</f>
        <v>2.6519999999999997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282708.3</v>
      </c>
      <c r="I28" s="322"/>
      <c r="J28" s="265"/>
      <c r="K28" s="47"/>
      <c r="L28" s="47"/>
      <c r="M28" s="39"/>
      <c r="N28" s="12"/>
      <c r="O28" s="12"/>
      <c r="P28" s="253">
        <f>P27</f>
        <v>2.6519999999999997</v>
      </c>
      <c r="Q28" s="14"/>
      <c r="R28" s="12"/>
      <c r="S28" s="239">
        <f>SUM(S21:S27)</f>
        <v>8.2200000000000006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0.53039999999999998</v>
      </c>
      <c r="Q29" s="39" t="s">
        <v>130</v>
      </c>
      <c r="R29" s="42"/>
      <c r="S29" s="240">
        <f>S28+T26</f>
        <v>8.2200000000000006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3.1823999999999995</v>
      </c>
      <c r="Q30" s="14"/>
      <c r="R30" s="14"/>
      <c r="S30" s="238">
        <f>S29*20%</f>
        <v>1.6440000000000001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9.8640000000000008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3.1823999999999995</v>
      </c>
      <c r="N32" s="12">
        <v>3500</v>
      </c>
      <c r="O32" s="12">
        <f t="shared" ref="O32:O37" si="25">M32*N32</f>
        <v>11138.399999999998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0.86</v>
      </c>
      <c r="N33" s="12">
        <v>25000</v>
      </c>
      <c r="O33" s="12">
        <f t="shared" si="25"/>
        <v>21500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65000</v>
      </c>
      <c r="O34" s="12">
        <f t="shared" si="25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2</v>
      </c>
      <c r="N35" s="250">
        <v>35000</v>
      </c>
      <c r="O35" s="12">
        <f t="shared" si="25"/>
        <v>70000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5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3.66</v>
      </c>
      <c r="N37" s="12">
        <v>1500</v>
      </c>
      <c r="O37" s="12">
        <f t="shared" si="25"/>
        <v>5490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108128.4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227069.63999999998</v>
      </c>
      <c r="P39" s="14" t="s">
        <v>140</v>
      </c>
      <c r="Q39" s="14"/>
      <c r="R39" s="40">
        <f>P30/R38</f>
        <v>0.85806729939603088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77240</v>
      </c>
      <c r="L40" s="250"/>
      <c r="M40" s="14"/>
      <c r="N40" s="12"/>
      <c r="O40" s="12">
        <f>O39/P28</f>
        <v>85622.036199095033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64907.563025210089</v>
      </c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-22415.06503345411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237570</v>
      </c>
      <c r="E11" s="132">
        <f>D11*0.19</f>
        <v>45138.3</v>
      </c>
      <c r="F11" s="131">
        <f>E11+D11</f>
        <v>282708.3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83574.934966545887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62472.490787439616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65574.934966545887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175097.50921256037</v>
      </c>
      <c r="E13" s="221">
        <f>(D11/D12)-1</f>
        <v>2.8027937898029922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56574.934966545887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17574.93496654589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103079.60979927536</v>
      </c>
      <c r="F15" s="216">
        <f>E15-D12</f>
        <v>40607.119011835748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17574.93496654589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57574.934966545887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21500</v>
      </c>
      <c r="E19" s="123">
        <f>D19*0.19</f>
        <v>4085</v>
      </c>
      <c r="F19" s="120">
        <f>SUM(D19:E19)</f>
        <v>25585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11138.399999999998</v>
      </c>
      <c r="E20" s="121">
        <f>D20*0.19</f>
        <v>2116.2959999999998</v>
      </c>
      <c r="F20" s="120">
        <f>SUM(D20:E20)</f>
        <v>13254.695999999998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32638.399999999998</v>
      </c>
      <c r="E21" s="116">
        <f>SUM(E18:E20)</f>
        <v>6201.2960000000003</v>
      </c>
      <c r="F21" s="115">
        <f>SUM(F18:F20)</f>
        <v>38839.695999999996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38937.004000000001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237570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32638.399999999998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175097.50921256037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175097.50921256037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2025-07-10T17:12:39Z</cp:lastPrinted>
  <dcterms:created xsi:type="dcterms:W3CDTF">2013-03-18T13:35:42Z</dcterms:created>
  <dcterms:modified xsi:type="dcterms:W3CDTF">2025-07-10T18:55:33Z</dcterms:modified>
</cp:coreProperties>
</file>