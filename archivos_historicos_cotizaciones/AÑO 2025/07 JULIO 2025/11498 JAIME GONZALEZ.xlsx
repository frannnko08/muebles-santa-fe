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7F53608E-A867-4C1F-8F41-FCA462B0B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2" i="1"/>
  <c r="M22" i="1"/>
  <c r="L22" i="1"/>
  <c r="J35" i="1"/>
  <c r="L21" i="1"/>
  <c r="N21" i="1"/>
  <c r="S22" i="1" l="1"/>
  <c r="O22" i="1"/>
  <c r="P22" i="1" s="1"/>
  <c r="M21" i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39" i="1"/>
  <c r="E15" i="3"/>
  <c r="Q21" i="1" l="1"/>
  <c r="F15" i="3"/>
  <c r="R21" i="1" l="1"/>
  <c r="H21" i="1" l="1"/>
  <c r="H24" i="1" s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<sst xmlns="http://schemas.openxmlformats.org/spreadsheetml/2006/main" count="232" uniqueCount="175">
  <si>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</si>
  <si>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</si>
  <si>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</si>
  <si>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</si>
  <si>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</si>
  <si>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</si>
  <si>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</si>
  <si>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</si>
  <si>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</si>
  <si>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</si>
  <si>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</si>
  <si>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</si>
  <si>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</si>
  <si>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</si>
  <si>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</si>
  <si>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</si>
  <si>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</si>
  <si>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</si>
  <si>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</si>
  <si>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</si>
  <si>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</si>
  <si>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</si>
  <si>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</si>
  <si>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</si>
  <si>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</si>
  <si>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</si>
  <si>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</si>
  <si>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</si>
  <si>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</si>
  <si>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</si>
  <si>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</si>
  <si>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</si>
  <si>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</si>
  <si>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</si>
  <si>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</si>
  <si>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</si>
  <si>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</si>
  <si>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</si>
  <si>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</si>
  <si>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</si>
  <si>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</si>
  <si>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</si>
  <si>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</si>
  <si>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</si>
  <si>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</si>
  <si>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</si>
  <si>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</si>
  <si>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</si>
  <si>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</si>
  <si>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</si>
  <si>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</si>
  <si>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</si>
  <si>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</si>
  <si>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</si>
  <si>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</si>
  <si>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</si>
  <si>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</si>
  <si>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</si>
  <si>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</si>
  <si>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</si>
  <si>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</si>
  <si>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</si>
  <si>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</si>
  <si>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</si>
  <si>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</si>
  <si>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</si>
  <si>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</si>
  <si>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</si>
  <si>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</si>
  <si>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</si>
  <si>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</si>
  <si>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</si>
  <si>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</si>
  <si>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</si>
  <si>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</si>
  <si>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</si>
  <si>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</si>
  <si>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</si>
  <si>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</si>
  <si>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</si>
  <si>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</si>
  <si>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</si>
  <si>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</si>
  <si>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</si>
  <si>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</si>
  <si>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</si>
  <si>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</si>
  <si>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</si>
  <si>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</si>
  <si>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</si>
  <si>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</si>
  <si>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</si>
  <si>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</si>
  <si>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</si>
  <si>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</si>
  <si>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</si>
  <si>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</si>
  <si>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</si>
  <si>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</si>
  <si>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</si>
  <si>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</si>
  <si>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</si>
  <si>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</si>
  <si>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</si>
  <si>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</si>
  <si>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</si>
  <si>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</si>
  <si>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</si>
  <si>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</si>
  <si>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</si>
  <si>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</si>
  <si>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</si>
  <si>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</si>
  <si>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</si>
  <si>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</si>
  <si>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</si>
  <si>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</si>
  <si>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</si>
  <si>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</si>
  <si>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</si>
  <si>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</si>
  <si>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</si>
  <si>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</si>
  <si>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</si>
  <si>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</si>
  <si>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</si>
  <si>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</si>
  <si>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</si>
  <si>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</si>
  <si>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</si>
  <si>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</si>
  <si>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</si>
  <si>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</si>
  <si>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</si>
  <si>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</si>
  <si>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</si>
  <si>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</si>
  <si>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</si>
  <si>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</si>
  <si>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</si>
  <si>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</si>
  <si>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</si>
  <si>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</si>
  <si>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</si>
  <si>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</si>
  <si>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</si>
  <si>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</si>
  <si>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</si>
  <si>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</si>
  <si>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</si>
  <si>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</si>
  <si>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</si>
  <si>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</si>
  <si>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</si>
  <si>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</si>
  <si>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</si>
  <si>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</si>
  <si>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</si>
  <si>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</si>
  <si>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</si>
  <si>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</si>
  <si>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</si>
  <si>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</si>
  <si>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</si>
  <si>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</si>
  <si>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</si>
  <si>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</si>
  <si>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</si>
  <si>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</si>
  <si>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</si>
  <si>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N° 11497</t>
  </si>
  <si>
    <t>CUB C/R FRENTE 180°</t>
  </si>
  <si>
    <t>IND. CONCRETE 3127 MT</t>
  </si>
  <si>
    <t>JAIME GONZALEZ</t>
  </si>
  <si>
    <t>569 7884 9484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</si>
</sst>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CORTADAS A LA MEDIDA Y ENCHAPADAS SIN REGRUESO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173</v>
      </c>
      <c r="D10" s="243"/>
      <c r="E10" s="243"/>
      <c r="F10" s="244" t="s">
        <v>167</v>
      </c>
      <c r="G10" s="275">
        <v>45841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>
        <v>45847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174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90470.716454159076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171</v>
      </c>
      <c r="D21" s="316">
        <v>3.06</v>
      </c>
      <c r="E21" s="316">
        <v>0.6</v>
      </c>
      <c r="F21" s="315" t="s">
        <v>172</v>
      </c>
      <c r="G21" s="317">
        <v>173447</v>
      </c>
      <c r="H21" s="317">
        <f>G21*B21</f>
        <v>173447</v>
      </c>
      <c r="I21" s="305"/>
      <c r="J21" s="264"/>
      <c r="K21" s="47"/>
      <c r="L21" s="47">
        <f>B21</f>
        <v>1</v>
      </c>
      <c r="M21" s="39">
        <f>D21+M$19</f>
        <v>3.14</v>
      </c>
      <c r="N21" s="39">
        <f>E21+$N$19</f>
        <v>0.6</v>
      </c>
      <c r="O21" s="260">
        <f t="shared" ref="O21" si="1">M21*N21</f>
        <v>1.8839999999999999</v>
      </c>
      <c r="P21" s="258">
        <f t="shared" ref="P21" si="2">O21*L21</f>
        <v>1.8839999999999999</v>
      </c>
      <c r="Q21" s="251">
        <f t="shared" ref="Q21" si="3">Q$20*O21</f>
        <v>170446.82979963569</v>
      </c>
      <c r="R21" s="304">
        <f t="shared" ref="R21" si="4">Q21+R$20</f>
        <v>173446.82979963569</v>
      </c>
      <c r="S21" s="292">
        <f>M21*L21</f>
        <v>3.14</v>
      </c>
      <c r="T21" s="46">
        <f>N21*2*L21*2</f>
        <v>2.4</v>
      </c>
      <c r="U21" s="9"/>
      <c r="X21" s="4"/>
    </row>
    <row r="22" spans="1:25" ht="17.399999999999999" x14ac:dyDescent="0.3">
      <c r="B22" s="315">
        <v>1</v>
      </c>
      <c r="C22" s="315" t="s">
        <v>171</v>
      </c>
      <c r="D22" s="316">
        <v>2.27</v>
      </c>
      <c r="E22" s="316">
        <v>0.6</v>
      </c>
      <c r="F22" s="315" t="s">
        <v>172</v>
      </c>
      <c r="G22" s="317">
        <v>130564</v>
      </c>
      <c r="H22" s="317">
        <f t="shared" ref="H22" si="5">G22*B22</f>
        <v>130564</v>
      </c>
      <c r="I22" s="305"/>
      <c r="J22" s="264"/>
      <c r="K22" s="47"/>
      <c r="L22" s="47">
        <f t="shared" ref="L22" si="6">B22</f>
        <v>1</v>
      </c>
      <c r="M22" s="39">
        <f t="shared" ref="M22" si="7">D22+M$19</f>
        <v>2.35</v>
      </c>
      <c r="N22" s="39">
        <f t="shared" ref="N22" si="8">E22+$N$19</f>
        <v>0.6</v>
      </c>
      <c r="O22" s="260">
        <f t="shared" ref="O22" si="9">M22*N22</f>
        <v>1.41</v>
      </c>
      <c r="P22" s="258">
        <f t="shared" ref="P22" si="10">O22*L22</f>
        <v>1.41</v>
      </c>
      <c r="Q22" s="251">
        <f t="shared" ref="Q22" si="11">Q$20*O22</f>
        <v>127563.71020036429</v>
      </c>
      <c r="R22" s="304">
        <f t="shared" ref="R22" si="12">Q22+R$20</f>
        <v>130563.71020036429</v>
      </c>
      <c r="S22" s="292">
        <f t="shared" ref="S22" si="13">M22*L22</f>
        <v>2.35</v>
      </c>
      <c r="T22" s="46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2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9" t="s">
        <v>28</v>
      </c>
      <c r="H24" s="310">
        <f>SUM(H21:H23)</f>
        <v>304011</v>
      </c>
      <c r="I24" s="307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2"/>
      <c r="T24" s="46">
        <f>SUM(T21:T23)</f>
        <v>2.4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91" t="s">
        <v>51</v>
      </c>
      <c r="H25" s="289">
        <f>H24*19%</f>
        <v>57762.090000000004</v>
      </c>
      <c r="I25" s="307"/>
      <c r="J25" s="264"/>
      <c r="K25" s="47"/>
      <c r="L25" s="47"/>
      <c r="M25" s="39">
        <f>SUM(M21:M21)</f>
        <v>3.14</v>
      </c>
      <c r="N25" s="12"/>
      <c r="O25" s="12"/>
      <c r="P25" s="252">
        <f>SUM(P21:P23)</f>
        <v>3.2939999999999996</v>
      </c>
      <c r="Q25" s="14"/>
      <c r="R25" s="12"/>
      <c r="S25" s="239">
        <f>SUM(S21:S24)</f>
        <v>5.49</v>
      </c>
      <c r="T25" s="46"/>
      <c r="U25" s="9"/>
      <c r="X25" s="4"/>
    </row>
    <row r="26" spans="1:25" ht="18" thickBot="1" x14ac:dyDescent="0.35">
      <c r="B26" s="274"/>
      <c r="C26" s="278"/>
      <c r="D26" s="271"/>
      <c r="E26" s="271"/>
      <c r="F26" s="272"/>
      <c r="G26" s="277" t="s">
        <v>6</v>
      </c>
      <c r="H26" s="290">
        <f>H24+H25</f>
        <v>361773.09</v>
      </c>
      <c r="I26" s="307"/>
      <c r="J26" s="264"/>
      <c r="K26" s="47"/>
      <c r="L26" s="47"/>
      <c r="M26" s="39"/>
      <c r="N26" s="12"/>
      <c r="O26" s="12"/>
      <c r="P26" s="252">
        <f>P25</f>
        <v>3.2939999999999996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0.65879999999999994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3.9527999999999994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296" t="s">
        <v>21</v>
      </c>
      <c r="V29" s="293" t="s">
        <v>149</v>
      </c>
      <c r="W29" s="297">
        <v>44971</v>
      </c>
      <c r="X29" s="298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3.9527999999999994</v>
      </c>
      <c r="N30" s="12">
        <v>3500</v>
      </c>
      <c r="O30" s="12">
        <f t="shared" ref="O30:O35" si="14">M30*N30</f>
        <v>13834.799999999997</v>
      </c>
      <c r="P30" s="14" t="s">
        <v>21</v>
      </c>
      <c r="Q30" s="14"/>
      <c r="R30" s="14"/>
      <c r="S30" s="241"/>
      <c r="T30" s="14"/>
      <c r="U30" s="296" t="s">
        <v>150</v>
      </c>
      <c r="V30" s="293">
        <v>3625</v>
      </c>
      <c r="W30" s="59" t="s">
        <v>151</v>
      </c>
      <c r="X30" s="298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1.1000000000000001</v>
      </c>
      <c r="N31" s="12">
        <v>25000</v>
      </c>
      <c r="O31" s="12">
        <f t="shared" si="14"/>
        <v>27500.000000000004</v>
      </c>
      <c r="P31" s="39" t="s">
        <v>31</v>
      </c>
      <c r="Q31" s="42"/>
      <c r="R31" s="14"/>
      <c r="S31" s="240"/>
      <c r="T31" s="14"/>
      <c r="U31" s="296"/>
      <c r="V31" s="59">
        <v>906.25</v>
      </c>
      <c r="W31" s="59" t="s">
        <v>152</v>
      </c>
      <c r="X31" s="298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37000</v>
      </c>
      <c r="O32" s="12">
        <f t="shared" si="1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8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1"/>
      <c r="K33" s="232"/>
      <c r="L33" s="249"/>
      <c r="M33" s="14">
        <v>2</v>
      </c>
      <c r="N33" s="249">
        <v>40000</v>
      </c>
      <c r="O33" s="12">
        <f t="shared" si="14"/>
        <v>80000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8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1">
        <v>60170</v>
      </c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88">
        <f>J34/1.19</f>
        <v>50563.025210084037</v>
      </c>
      <c r="K35" s="259"/>
      <c r="L35" s="249"/>
      <c r="M35" s="265">
        <v>5.49</v>
      </c>
      <c r="N35" s="12">
        <v>1500</v>
      </c>
      <c r="O35" s="12">
        <f t="shared" si="14"/>
        <v>8235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59"/>
      <c r="L36" s="249"/>
      <c r="M36" s="14"/>
      <c r="N36" s="12"/>
      <c r="O36" s="12">
        <f>SUM(O30:O35)</f>
        <v>129569.8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49"/>
      <c r="M37" s="253" t="s">
        <v>33</v>
      </c>
      <c r="N37" s="12"/>
      <c r="O37" s="254">
        <f>O36*2.3</f>
        <v>298010.53999999998</v>
      </c>
      <c r="P37" s="14" t="s">
        <v>138</v>
      </c>
      <c r="Q37" s="14"/>
      <c r="R37" s="40">
        <f>P28/R36</f>
        <v>1.0657894736842104</v>
      </c>
      <c r="S37"/>
      <c r="T37" s="256"/>
    </row>
    <row r="38" spans="2:24" s="230" customFormat="1" ht="17.399999999999999" x14ac:dyDescent="0.35">
      <c r="G38"/>
      <c r="H38" s="259"/>
      <c r="I38" s="259"/>
      <c r="J38" s="259"/>
      <c r="L38" s="249"/>
      <c r="M38" s="14"/>
      <c r="N38" s="12"/>
      <c r="O38" s="12">
        <f>O37/P26</f>
        <v>90470.716454159076</v>
      </c>
      <c r="P38" s="45" t="s">
        <v>24</v>
      </c>
      <c r="Q38" s="14"/>
      <c r="R38" s="14"/>
      <c r="S38"/>
      <c r="T38" s="238"/>
      <c r="U38" s="59" t="s">
        <v>155</v>
      </c>
      <c r="V38" s="293">
        <v>43650</v>
      </c>
    </row>
    <row r="39" spans="2:24" s="230" customFormat="1" ht="17.399999999999999" x14ac:dyDescent="0.35">
      <c r="G39"/>
      <c r="L39" s="249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157</v>
      </c>
      <c r="V39" s="294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295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49"/>
    </row>
    <row r="44" spans="2:24" x14ac:dyDescent="0.3">
      <c r="L44" s="249"/>
      <c r="T44" s="269"/>
    </row>
    <row r="45" spans="2:24" x14ac:dyDescent="0.3">
      <c r="L45" s="249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45841</v>
      </c>
    </row>
    <row r="6" spans="2:31" ht="16.2" thickBot="1" x14ac:dyDescent="0.35">
      <c r="B6" s="140" t="s">
        <v>2</v>
      </c>
      <c r="C6" s="139" t="str">
        <f>'2229'!C10</f>
        <v>JAIME GONZALEZ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-31097.055033454104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304011</v>
      </c>
      <c r="E11" s="132">
        <f>D11*0.19</f>
        <v>57762.090000000004</v>
      </c>
      <c r="F11" s="131">
        <f>E11+D11</f>
        <v>361773.09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74892.944966545896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71168.890787439625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56892.944966545896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232842.10921256038</v>
      </c>
      <c r="E13" s="221">
        <f>(D11/D12)-1</f>
        <v>3.2716838303408542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47892.944966545896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8892.944966545896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117428.66979927538</v>
      </c>
      <c r="F15" s="216">
        <f>E15-D12</f>
        <v>46259.779011835752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8892.944966545896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48892.944966545896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27500.000000000004</v>
      </c>
      <c r="E19" s="123">
        <f>D19*0.19</f>
        <v>5225.0000000000009</v>
      </c>
      <c r="F19" s="120">
        <f>SUM(D19:E19)</f>
        <v>32725.000000000004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13834.799999999997</v>
      </c>
      <c r="E20" s="121">
        <f>D20*0.19</f>
        <v>2628.6119999999996</v>
      </c>
      <c r="F20" s="120">
        <f>SUM(D20:E20)</f>
        <v>16463.411999999997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41334.800000000003</v>
      </c>
      <c r="E21" s="116">
        <f>SUM(E18:E20)</f>
        <v>7853.612000000001</v>
      </c>
      <c r="F21" s="115">
        <f>SUM(F18:F20)</f>
        <v>49188.411999999997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49908.478000000003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304011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41334.800000000003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232842.10921256038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232842.10921256038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2025-07-03T17:05:27Z</cp:lastPrinted>
  <dcterms:created xsi:type="dcterms:W3CDTF">2013-03-18T13:35:42Z</dcterms:created>
  <dcterms:modified xsi:type="dcterms:W3CDTF">2025-07-03T18:18:56Z</dcterms:modified>
</cp:coreProperties>
</file>