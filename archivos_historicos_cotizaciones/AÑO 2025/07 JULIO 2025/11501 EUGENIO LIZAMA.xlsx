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C9A38EC3-787B-4AF0-9408-A038CC3BB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2" i="1"/>
  <c r="O37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J35" i="1"/>
  <c r="L21" i="1"/>
  <c r="N21" i="1"/>
  <c r="M21" i="1" l="1"/>
  <c r="M25" i="1" s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8" i="1" l="1"/>
  <c r="D20" i="3"/>
  <c r="E20" i="3" s="1"/>
  <c r="E21" i="3" s="1"/>
  <c r="Q20" i="1" l="1"/>
  <c r="D21" i="3"/>
  <c r="M43" i="3" s="1"/>
  <c r="D12" i="3" s="1"/>
  <c r="F20" i="3"/>
  <c r="F21" i="3" s="1"/>
  <c r="Q23" i="1" l="1"/>
  <c r="R23" i="1" s="1"/>
  <c r="Q22" i="1"/>
  <c r="R22" i="1" s="1"/>
  <c r="O39" i="1"/>
  <c r="E15" i="3"/>
  <c r="Q21" i="1" l="1"/>
  <c r="F15" i="3"/>
  <c r="R21" i="1" l="1"/>
  <c r="H21" i="1" l="1"/>
  <c r="H24" i="1" s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<sst xmlns="http://schemas.openxmlformats.org/spreadsheetml/2006/main" count="233" uniqueCount="175">
  <si>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</si>
  <si>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</si>
  <si>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</si>
  <si>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</si>
  <si>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</si>
  <si>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</si>
  <si>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</si>
  <si>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</si>
  <si>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</si>
  <si>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</si>
  <si>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</si>
  <si>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</si>
  <si>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</si>
  <si>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</si>
  <si>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</si>
  <si>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</si>
  <si>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</si>
  <si>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</si>
  <si>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</si>
  <si>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</si>
  <si>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</si>
  <si>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</si>
  <si>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</si>
  <si>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</si>
  <si>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</si>
  <si>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</si>
  <si>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</si>
  <si>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</si>
  <si>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</si>
  <si>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</si>
  <si>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</si>
  <si>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</si>
  <si>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</si>
  <si>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</si>
  <si>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</si>
  <si>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</si>
  <si>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</si>
  <si>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</si>
  <si>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</si>
  <si>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</si>
  <si>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</si>
  <si>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</si>
  <si>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</si>
  <si>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</si>
  <si>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</si>
  <si>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</si>
  <si>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</si>
  <si>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</si>
  <si>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</si>
  <si>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</si>
  <si>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</si>
  <si>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</si>
  <si>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</si>
  <si>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</si>
  <si>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</si>
  <si>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</si>
  <si>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</si>
  <si>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</si>
  <si>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</si>
  <si>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</si>
  <si>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</si>
  <si>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</si>
  <si>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</si>
  <si>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</si>
  <si>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</si>
  <si>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</si>
  <si>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</si>
  <si>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</si>
  <si>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</si>
  <si>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</si>
  <si>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</si>
  <si>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</si>
  <si>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</si>
  <si>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</si>
  <si>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</si>
  <si>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</si>
  <si>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</si>
  <si>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</si>
  <si>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</si>
  <si>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</si>
  <si>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</si>
  <si>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</si>
  <si>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</si>
  <si>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</si>
  <si>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</si>
  <si>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</si>
  <si>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</si>
  <si>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</si>
  <si>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</si>
  <si>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</si>
  <si>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</si>
  <si>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</si>
  <si>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</si>
  <si>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</si>
  <si>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</si>
  <si>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</si>
  <si>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</si>
  <si>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</si>
  <si>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</si>
  <si>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</si>
  <si>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</si>
  <si>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</si>
  <si>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</si>
  <si>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</si>
  <si>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</si>
  <si>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</si>
  <si>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</si>
  <si>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</si>
  <si>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</si>
  <si>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</si>
  <si>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</si>
  <si>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</si>
  <si>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</si>
  <si>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</si>
  <si>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</si>
  <si>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</si>
  <si>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</si>
  <si>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</si>
  <si>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</si>
  <si>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</si>
  <si>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</si>
  <si>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</si>
  <si>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</si>
  <si>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</si>
  <si>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</si>
  <si>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</si>
  <si>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</si>
  <si>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</si>
  <si>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</si>
  <si>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</si>
  <si>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</si>
  <si>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</si>
  <si>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</si>
  <si>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</si>
  <si>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</si>
  <si>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</si>
  <si>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</si>
  <si>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</si>
  <si>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</si>
  <si>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</si>
  <si>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</si>
  <si>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</si>
  <si>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</si>
  <si>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</si>
  <si>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</si>
  <si>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</si>
  <si>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</si>
  <si>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</si>
  <si>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</si>
  <si>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</si>
  <si>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</si>
  <si>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</si>
  <si>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</si>
  <si>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</si>
  <si>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</si>
  <si>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</si>
  <si>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</si>
  <si>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</si>
  <si>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</si>
  <si>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</si>
  <si>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</si>
  <si>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</si>
  <si>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</si>
  <si>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</si>
  <si>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</si>
  <si>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</si>
  <si>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</si>
  <si>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</si>
  <si>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</si>
  <si>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5 DIAS HABILES</t>
  </si>
  <si>
    <t>CUB C/R FRENTE 90°</t>
  </si>
  <si>
    <t>N° 11501</t>
  </si>
  <si>
    <t>EUGENIO LIZAMA</t>
  </si>
  <si>
    <t>569 4186 3679</t>
  </si>
  <si>
    <t>GRANITINO NEGRO 3014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</si>
</sst>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B22" sqref="B22:H22"/>
    </sheetView>
  </sheetViews>
  <sheetFormatPr baseColWidth="10" defaultRowHeight="14.4" x14ac:dyDescent="0.3"/>
  <cols>
    <col min="1" max="1" width="6" customWidth="1"/>
    <col min="2" max="2" width="10.5546875" customWidth="1"/>
    <col min="3" max="3" width="33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172</v>
      </c>
      <c r="D10" s="243"/>
      <c r="E10" s="243"/>
      <c r="F10" s="244" t="s">
        <v>167</v>
      </c>
      <c r="G10" s="275">
        <v>45842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169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173</v>
      </c>
      <c r="D15" s="328"/>
      <c r="F15" t="s">
        <v>168</v>
      </c>
      <c r="G15" s="329" t="s">
        <v>133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1:25" ht="15" thickBot="1" x14ac:dyDescent="0.35">
      <c r="B17" s="300" t="s">
        <v>13</v>
      </c>
      <c r="C17" s="301" t="s">
        <v>163</v>
      </c>
      <c r="D17" s="302"/>
      <c r="E17" s="119"/>
      <c r="F17" s="333" t="s">
        <v>162</v>
      </c>
      <c r="G17" s="333"/>
      <c r="H17" s="334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O38</f>
        <v>57373.561460310375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5">
        <v>1</v>
      </c>
      <c r="C21" s="315" t="s">
        <v>170</v>
      </c>
      <c r="D21" s="316">
        <v>3.6</v>
      </c>
      <c r="E21" s="316">
        <v>0.53</v>
      </c>
      <c r="F21" s="315" t="s">
        <v>174</v>
      </c>
      <c r="G21" s="317">
        <v>111901</v>
      </c>
      <c r="H21" s="317">
        <f>G21*B21</f>
        <v>111901</v>
      </c>
      <c r="I21" s="305"/>
      <c r="J21" s="264"/>
      <c r="K21" s="47"/>
      <c r="L21" s="47">
        <f>B21</f>
        <v>1</v>
      </c>
      <c r="M21" s="39">
        <f>D21+M$19</f>
        <v>3.68</v>
      </c>
      <c r="N21" s="39">
        <f>E21+$N$19</f>
        <v>0.53</v>
      </c>
      <c r="O21" s="260">
        <f t="shared" ref="O21" si="1">M21*N21</f>
        <v>1.9504000000000001</v>
      </c>
      <c r="P21" s="258">
        <f t="shared" ref="P21" si="2">O21*L21</f>
        <v>1.9504000000000001</v>
      </c>
      <c r="Q21" s="251">
        <f t="shared" ref="Q21" si="3">Q$20*O21</f>
        <v>111901.39427218937</v>
      </c>
      <c r="R21" s="304">
        <f t="shared" ref="R21" si="4">Q21+R$20</f>
        <v>114901.39427218937</v>
      </c>
      <c r="S21" s="292">
        <f>M21*L21</f>
        <v>3.68</v>
      </c>
      <c r="T21" s="46">
        <f>N21*2*L21*2</f>
        <v>2.12</v>
      </c>
      <c r="U21" s="9"/>
      <c r="X21" s="4"/>
    </row>
    <row r="22" spans="1:25" ht="17.399999999999999" x14ac:dyDescent="0.3">
      <c r="B22" s="315">
        <v>1</v>
      </c>
      <c r="C22" s="315" t="s">
        <v>170</v>
      </c>
      <c r="D22" s="316">
        <v>3</v>
      </c>
      <c r="E22" s="316">
        <v>0.53</v>
      </c>
      <c r="F22" s="315" t="s">
        <v>174</v>
      </c>
      <c r="G22" s="317">
        <v>93967</v>
      </c>
      <c r="H22" s="317">
        <f t="shared" ref="H22" si="5">G22*B22</f>
        <v>93967</v>
      </c>
      <c r="I22" s="305"/>
      <c r="J22" s="264"/>
      <c r="K22" s="47"/>
      <c r="L22" s="47">
        <f t="shared" ref="L22:L23" si="6">B22</f>
        <v>1</v>
      </c>
      <c r="M22" s="39">
        <f t="shared" ref="M22:M23" si="7">D22+M$19</f>
        <v>3.08</v>
      </c>
      <c r="N22" s="39">
        <f t="shared" ref="N22:N23" si="8">E22+$N$19</f>
        <v>0.53</v>
      </c>
      <c r="O22" s="260">
        <f t="shared" ref="O22:O23" si="9">M22*N22</f>
        <v>1.6324000000000001</v>
      </c>
      <c r="P22" s="258">
        <f t="shared" ref="P22:P23" si="10">O22*L22</f>
        <v>1.6324000000000001</v>
      </c>
      <c r="Q22" s="251">
        <f t="shared" ref="Q22:Q23" si="11">Q$20*O22</f>
        <v>93656.601727810659</v>
      </c>
      <c r="R22" s="304">
        <f t="shared" ref="R22:R23" si="12">Q22+R$20</f>
        <v>96656.601727810659</v>
      </c>
      <c r="S22" s="292">
        <f t="shared" ref="S22:S23" si="13">M22*L22</f>
        <v>3.08</v>
      </c>
      <c r="T22" s="46"/>
      <c r="U22" s="9"/>
      <c r="X22" s="4"/>
    </row>
    <row r="23" spans="1:25" ht="18" thickBot="1" x14ac:dyDescent="0.35">
      <c r="B23" s="282"/>
      <c r="C23" s="282"/>
      <c r="D23" s="283"/>
      <c r="E23" s="283"/>
      <c r="F23" s="282"/>
      <c r="G23" s="264"/>
      <c r="H23" s="306"/>
      <c r="I23" s="308"/>
      <c r="J23" s="233"/>
      <c r="K23" s="47"/>
      <c r="L23" s="47">
        <f t="shared" si="6"/>
        <v>0</v>
      </c>
      <c r="M23" s="39">
        <f t="shared" si="7"/>
        <v>0.08</v>
      </c>
      <c r="N23" s="39">
        <f t="shared" si="8"/>
        <v>0</v>
      </c>
      <c r="O23" s="260">
        <f t="shared" si="9"/>
        <v>0</v>
      </c>
      <c r="P23" s="258">
        <f t="shared" si="10"/>
        <v>0</v>
      </c>
      <c r="Q23" s="251">
        <f t="shared" si="11"/>
        <v>0</v>
      </c>
      <c r="R23" s="304">
        <f t="shared" si="12"/>
        <v>3000</v>
      </c>
      <c r="S23" s="292">
        <f t="shared" si="13"/>
        <v>0</v>
      </c>
      <c r="T23" s="14"/>
      <c r="U23" s="9"/>
      <c r="X23" s="4"/>
    </row>
    <row r="24" spans="1:25" ht="17.399999999999999" x14ac:dyDescent="0.3">
      <c r="B24" s="282"/>
      <c r="C24" s="282"/>
      <c r="D24" s="283"/>
      <c r="E24" s="283"/>
      <c r="F24" s="282"/>
      <c r="G24" s="309" t="s">
        <v>28</v>
      </c>
      <c r="H24" s="310">
        <f>SUM(H21:H23)</f>
        <v>205868</v>
      </c>
      <c r="I24" s="307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2"/>
      <c r="T24" s="46">
        <f>SUM(T21:T23)</f>
        <v>2.12</v>
      </c>
      <c r="U24" s="9"/>
      <c r="X24" s="4"/>
    </row>
    <row r="25" spans="1:25" ht="17.399999999999999" x14ac:dyDescent="0.3">
      <c r="B25" s="276"/>
      <c r="C25" s="279"/>
      <c r="D25" s="280"/>
      <c r="E25" s="280"/>
      <c r="F25" s="281"/>
      <c r="G25" s="291" t="s">
        <v>51</v>
      </c>
      <c r="H25" s="289">
        <f>H24*19%</f>
        <v>39114.92</v>
      </c>
      <c r="I25" s="307"/>
      <c r="J25" s="264"/>
      <c r="K25" s="47"/>
      <c r="L25" s="47"/>
      <c r="M25" s="39">
        <f>SUM(M21:M21)</f>
        <v>3.68</v>
      </c>
      <c r="N25" s="12"/>
      <c r="O25" s="12"/>
      <c r="P25" s="252">
        <f>SUM(P21:P23)</f>
        <v>3.5828000000000002</v>
      </c>
      <c r="Q25" s="14"/>
      <c r="R25" s="12"/>
      <c r="S25" s="239">
        <f>SUM(S21:S24)</f>
        <v>6.76</v>
      </c>
      <c r="T25" s="46"/>
      <c r="U25" s="9"/>
      <c r="X25" s="4"/>
    </row>
    <row r="26" spans="1:25" ht="18" thickBot="1" x14ac:dyDescent="0.35">
      <c r="B26" s="274"/>
      <c r="C26" s="278"/>
      <c r="D26" s="271"/>
      <c r="E26" s="271"/>
      <c r="F26" s="272"/>
      <c r="G26" s="277" t="s">
        <v>6</v>
      </c>
      <c r="H26" s="290">
        <f>H24+H25</f>
        <v>244982.91999999998</v>
      </c>
      <c r="I26" s="307"/>
      <c r="J26" s="264"/>
      <c r="K26" s="47"/>
      <c r="L26" s="47"/>
      <c r="M26" s="39"/>
      <c r="N26" s="12"/>
      <c r="O26" s="12"/>
      <c r="P26" s="252">
        <f>P25</f>
        <v>3.5828000000000002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0.71656000000000009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4.2993600000000001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296" t="s">
        <v>21</v>
      </c>
      <c r="V29" s="293" t="s">
        <v>149</v>
      </c>
      <c r="W29" s="297">
        <v>44971</v>
      </c>
      <c r="X29" s="298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4.2993600000000001</v>
      </c>
      <c r="N30" s="12">
        <v>3500</v>
      </c>
      <c r="O30" s="12">
        <f t="shared" ref="O30:O35" si="14">M30*N30</f>
        <v>15047.76</v>
      </c>
      <c r="P30" s="14" t="s">
        <v>21</v>
      </c>
      <c r="Q30" s="14"/>
      <c r="R30" s="14"/>
      <c r="S30" s="241"/>
      <c r="T30" s="14"/>
      <c r="U30" s="296" t="s">
        <v>150</v>
      </c>
      <c r="V30" s="293">
        <v>3625</v>
      </c>
      <c r="W30" s="59" t="s">
        <v>151</v>
      </c>
      <c r="X30" s="298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1.2</v>
      </c>
      <c r="N31" s="12">
        <v>25000</v>
      </c>
      <c r="O31" s="12">
        <f t="shared" si="14"/>
        <v>30000</v>
      </c>
      <c r="P31" s="39" t="s">
        <v>31</v>
      </c>
      <c r="Q31" s="42"/>
      <c r="R31" s="14"/>
      <c r="S31" s="240"/>
      <c r="T31" s="14"/>
      <c r="U31" s="296"/>
      <c r="V31" s="59">
        <v>906.25</v>
      </c>
      <c r="W31" s="59" t="s">
        <v>152</v>
      </c>
      <c r="X31" s="298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1</v>
      </c>
      <c r="N32" s="249">
        <v>42697</v>
      </c>
      <c r="O32" s="12">
        <f t="shared" si="14"/>
        <v>42697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8" t="s">
        <v>153</v>
      </c>
      <c r="X32" s="59"/>
    </row>
    <row r="33" spans="2:24" s="230" customFormat="1" ht="17.399999999999999" x14ac:dyDescent="0.35">
      <c r="B33" s="24" t="s">
        <v>164</v>
      </c>
      <c r="C33"/>
      <c r="D33"/>
      <c r="E33"/>
      <c r="F33"/>
      <c r="J33" s="261"/>
      <c r="K33" s="232"/>
      <c r="L33" s="249"/>
      <c r="M33" s="14"/>
      <c r="N33" s="249">
        <v>25605</v>
      </c>
      <c r="O33" s="12">
        <f t="shared" si="14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8" t="s">
        <v>154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1">
        <v>50810</v>
      </c>
      <c r="K34" s="259"/>
      <c r="L34" s="249"/>
      <c r="M34" s="248"/>
      <c r="N34" s="249">
        <v>900</v>
      </c>
      <c r="O34" s="12">
        <f t="shared" si="14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88">
        <f>J34/1.19</f>
        <v>42697.478991596639</v>
      </c>
      <c r="K35" s="259"/>
      <c r="L35" s="249"/>
      <c r="M35" s="265">
        <v>6.76</v>
      </c>
      <c r="N35" s="12">
        <v>1500</v>
      </c>
      <c r="O35" s="12">
        <f t="shared" si="14"/>
        <v>10140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59"/>
      <c r="L36" s="249"/>
      <c r="M36" s="14"/>
      <c r="N36" s="12"/>
      <c r="O36" s="12">
        <f>SUM(O30:O35)</f>
        <v>97884.760000000009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49"/>
      <c r="M37" s="253" t="s">
        <v>33</v>
      </c>
      <c r="N37" s="12"/>
      <c r="O37" s="254">
        <f>O36*2.1</f>
        <v>205557.99600000001</v>
      </c>
      <c r="P37" s="14" t="s">
        <v>138</v>
      </c>
      <c r="Q37" s="14"/>
      <c r="R37" s="40">
        <f>P28/R36</f>
        <v>1.1592320966350302</v>
      </c>
      <c r="S37"/>
      <c r="T37" s="256"/>
    </row>
    <row r="38" spans="2:24" s="230" customFormat="1" ht="17.399999999999999" x14ac:dyDescent="0.35">
      <c r="G38"/>
      <c r="H38" s="259"/>
      <c r="I38" s="259"/>
      <c r="J38" s="259"/>
      <c r="L38" s="249"/>
      <c r="M38" s="14"/>
      <c r="N38" s="12"/>
      <c r="O38" s="12">
        <f>O37/P26</f>
        <v>57373.561460310375</v>
      </c>
      <c r="P38" s="45" t="s">
        <v>24</v>
      </c>
      <c r="Q38" s="14"/>
      <c r="R38" s="14"/>
      <c r="S38"/>
      <c r="T38" s="238"/>
      <c r="U38" s="59" t="s">
        <v>155</v>
      </c>
      <c r="V38" s="293">
        <v>43650</v>
      </c>
    </row>
    <row r="39" spans="2:24" s="230" customFormat="1" ht="17.399999999999999" x14ac:dyDescent="0.35">
      <c r="G39"/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157</v>
      </c>
      <c r="V39" s="294" t="s">
        <v>156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158</v>
      </c>
      <c r="V40" s="295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49"/>
    </row>
    <row r="44" spans="2:24" x14ac:dyDescent="0.3">
      <c r="L44" s="249"/>
      <c r="T44" s="269"/>
    </row>
    <row r="45" spans="2:24" x14ac:dyDescent="0.3">
      <c r="L45" s="249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45842</v>
      </c>
    </row>
    <row r="6" spans="2:31" ht="16.2" thickBot="1" x14ac:dyDescent="0.35">
      <c r="B6" s="140" t="s">
        <v>2</v>
      </c>
      <c r="C6" s="139" t="str">
        <f>'2229'!C10</f>
        <v>EUGENIO LIZAMA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11501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-1977.1493667874408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205868</v>
      </c>
      <c r="E11" s="132">
        <f>D11*0.19</f>
        <v>39114.92</v>
      </c>
      <c r="F11" s="131">
        <f>E11+D11</f>
        <v>244982.91999999998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104012.85063321255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117578.85078743962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86012.850633212554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88289.149212560384</v>
      </c>
      <c r="E13" s="221">
        <f>(D11/D12)-1</f>
        <v>0.75089311233506195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77012.850633212554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38012.850633212562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194005.10379927536</v>
      </c>
      <c r="F15" s="216">
        <f>E15-D12</f>
        <v>76426.253011835739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38012.850633212562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78012.850633212554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42697</v>
      </c>
      <c r="E18" s="123">
        <f>D18*0.19</f>
        <v>8112.43</v>
      </c>
      <c r="F18" s="120">
        <f>SUM(D18:E18)</f>
        <v>50809.43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30000</v>
      </c>
      <c r="E19" s="123">
        <f>D19*0.19</f>
        <v>5700</v>
      </c>
      <c r="F19" s="120">
        <f>SUM(D19:E19)</f>
        <v>35700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15047.76</v>
      </c>
      <c r="E20" s="121">
        <f>D20*0.19</f>
        <v>2859.0744</v>
      </c>
      <c r="F20" s="120">
        <f>SUM(D20:E20)</f>
        <v>17906.8344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87744.76</v>
      </c>
      <c r="E21" s="116">
        <f>SUM(E18:E20)</f>
        <v>16671.504400000002</v>
      </c>
      <c r="F21" s="115">
        <f>SUM(F18:F20)</f>
        <v>104416.26439999999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22443.415599999997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205868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87744.76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88289.149212560384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88289.149212560384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2025-07-04T16:35:51Z</cp:lastPrinted>
  <dcterms:created xsi:type="dcterms:W3CDTF">2013-03-18T13:35:42Z</dcterms:created>
  <dcterms:modified xsi:type="dcterms:W3CDTF">2025-07-04T16:35:57Z</dcterms:modified>
</cp:coreProperties>
</file>