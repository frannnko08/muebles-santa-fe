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3554954C-0E61-4C68-85A4-FB4E6F389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J36" i="1"/>
  <c r="P27" i="1"/>
  <c r="L22" i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M21" i="1"/>
  <c r="L21" i="1" l="1"/>
  <c r="N21" i="1"/>
  <c r="M27" i="1" l="1"/>
  <c r="S21" i="1" l="1"/>
  <c r="S27" i="1" s="1"/>
  <c r="T21" i="1"/>
  <c r="T26" i="1" s="1"/>
  <c r="O21" i="1"/>
  <c r="P21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s="1"/>
  <c r="D20" i="3" l="1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Q23" i="1"/>
  <c r="R23" i="1" s="1"/>
  <c r="Q24" i="1"/>
  <c r="R24" i="1" s="1"/>
  <c r="O41" i="1"/>
  <c r="Q21" i="1" l="1"/>
  <c r="F15" i="3"/>
  <c r="R21" i="1" l="1"/>
  <c r="H21" i="1" l="1"/>
  <c r="H26" i="1" l="1"/>
  <c r="H27" i="1" s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<sst xmlns="http://schemas.openxmlformats.org/spreadsheetml/2006/main" count="237" uniqueCount="177">
  <si>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</si>
  <si>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</si>
  <si>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</si>
  <si>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</si>
  <si>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</si>
  <si>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</si>
  <si>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</si>
  <si>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</si>
  <si>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</si>
  <si>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</si>
  <si>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</si>
  <si>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</si>
  <si>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</si>
  <si>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</si>
  <si>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</si>
  <si>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</si>
  <si>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</si>
  <si>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</si>
  <si>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</si>
  <si>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</si>
  <si>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</si>
  <si>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</si>
  <si>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</si>
  <si>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</si>
  <si>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</si>
  <si>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</si>
  <si>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</si>
  <si>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</si>
  <si>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</si>
  <si>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</si>
  <si>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</si>
  <si>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</si>
  <si>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</si>
  <si>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</si>
  <si>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</si>
  <si>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</si>
  <si>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</si>
  <si>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</si>
  <si>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</si>
  <si>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</si>
  <si>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</si>
  <si>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</si>
  <si>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</si>
  <si>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</si>
  <si>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</si>
  <si>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</si>
  <si>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</si>
  <si>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</si>
  <si>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</si>
  <si>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</si>
  <si>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</si>
  <si>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</si>
  <si>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</si>
  <si>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</si>
  <si>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</si>
  <si>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</si>
  <si>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</si>
  <si>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</si>
  <si>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</si>
  <si>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</si>
  <si>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</si>
  <si>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</si>
  <si>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</si>
  <si>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</si>
  <si>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</si>
  <si>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</si>
  <si>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</si>
  <si>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</si>
  <si>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</si>
  <si>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</si>
  <si>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</si>
  <si>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</si>
  <si>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</si>
  <si>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</si>
  <si>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</si>
  <si>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</si>
  <si>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</si>
  <si>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</si>
  <si>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</si>
  <si>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</si>
  <si>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</si>
  <si>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</si>
  <si>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</si>
  <si>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</si>
  <si>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</si>
  <si>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</si>
  <si>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</si>
  <si>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</si>
  <si>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</si>
  <si>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</si>
  <si>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</si>
  <si>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</si>
  <si>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</si>
  <si>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</si>
  <si>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</si>
  <si>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</si>
  <si>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</si>
  <si>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</si>
  <si>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</si>
  <si>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</si>
  <si>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</si>
  <si>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</si>
  <si>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</si>
  <si>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</si>
  <si>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</si>
  <si>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</si>
  <si>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</si>
  <si>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</si>
  <si>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</si>
  <si>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</si>
  <si>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</si>
  <si>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</si>
  <si>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</si>
  <si>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</si>
  <si>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</si>
  <si>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</si>
  <si>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</si>
  <si>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</si>
  <si>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</si>
  <si>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</si>
  <si>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</si>
  <si>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</si>
  <si>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</si>
  <si>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</si>
  <si>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</si>
  <si>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</si>
  <si>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</si>
  <si>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</si>
  <si>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</si>
  <si>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</si>
  <si>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</si>
  <si>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</si>
  <si>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</si>
  <si>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</si>
  <si>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</si>
  <si>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</si>
  <si>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</si>
  <si>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</si>
  <si>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</si>
  <si>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</si>
  <si>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</si>
  <si>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</si>
  <si>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</si>
  <si>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</si>
  <si>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</si>
  <si>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</si>
  <si>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</si>
  <si>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</si>
  <si>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</si>
  <si>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</si>
  <si>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</si>
  <si>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</si>
  <si>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</si>
  <si>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</si>
  <si>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</si>
  <si>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</si>
  <si>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</si>
  <si>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</si>
  <si>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</si>
  <si>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</si>
  <si>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</si>
  <si>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</si>
  <si>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</si>
  <si>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</si>
  <si>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</si>
  <si>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</si>
  <si>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</si>
  <si>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</si>
  <si>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</si>
  <si>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</si>
  <si>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11531</t>
  </si>
  <si>
    <t>ANDREA NUÑEZ</t>
  </si>
  <si>
    <t>5 DIAS HABILES</t>
  </si>
  <si>
    <t>+569 6191 4275</t>
  </si>
  <si>
    <t>WHITE OAK MT</t>
  </si>
  <si>
    <t>CUB SIN RESPALDO FRENTE 90°</t>
  </si>
  <si>
    <t>CUB MESA 90°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</si>
</sst>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3" zoomScale="93" zoomScaleNormal="93" workbookViewId="0">
      <selection activeCell="H39" sqref="H3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171</v>
      </c>
      <c r="D10" s="239"/>
      <c r="E10" s="239"/>
      <c r="F10" s="240" t="s">
        <v>167</v>
      </c>
      <c r="G10" s="271">
        <v>45856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172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 t="s">
        <v>173</v>
      </c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2:25" ht="15" thickBot="1" x14ac:dyDescent="0.35">
      <c r="B17" s="294" t="s">
        <v>13</v>
      </c>
      <c r="C17" s="295" t="s">
        <v>163</v>
      </c>
      <c r="D17" s="296"/>
      <c r="E17" s="116"/>
      <c r="F17" s="329" t="s">
        <v>162</v>
      </c>
      <c r="G17" s="329"/>
      <c r="H17" s="330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84396.154760059915</v>
      </c>
      <c r="R20" s="253">
        <v>3000</v>
      </c>
      <c r="S20" s="35"/>
      <c r="T20" s="14" t="s">
        <v>127</v>
      </c>
      <c r="U20" s="9"/>
      <c r="X20" s="4"/>
    </row>
    <row r="21" spans="2:25" ht="18" thickBot="1" x14ac:dyDescent="0.35">
      <c r="B21" s="341">
        <v>3</v>
      </c>
      <c r="C21" s="342" t="s">
        <v>175</v>
      </c>
      <c r="D21" s="343">
        <v>2.4300000000000002</v>
      </c>
      <c r="E21" s="343">
        <v>0.45</v>
      </c>
      <c r="F21" s="342" t="s">
        <v>174</v>
      </c>
      <c r="G21" s="344">
        <v>98325</v>
      </c>
      <c r="H21" s="345">
        <f>G21*B21</f>
        <v>294975</v>
      </c>
      <c r="I21" s="299"/>
      <c r="J21" s="260"/>
      <c r="K21" s="44"/>
      <c r="L21" s="44">
        <f>B21</f>
        <v>3</v>
      </c>
      <c r="M21" s="36">
        <f>D21+M$19</f>
        <v>2.5100000000000002</v>
      </c>
      <c r="N21" s="36">
        <f>E21+$N$19</f>
        <v>0.45</v>
      </c>
      <c r="O21" s="256">
        <f t="shared" ref="O21" si="1">M21*N21</f>
        <v>1.1295000000000002</v>
      </c>
      <c r="P21" s="254">
        <f t="shared" ref="P21" si="2">O21*L21</f>
        <v>3.3885000000000005</v>
      </c>
      <c r="Q21" s="247">
        <f t="shared" ref="Q21" si="3">Q$20*O21</f>
        <v>95325.456801487686</v>
      </c>
      <c r="R21" s="298">
        <f t="shared" ref="R21" si="4">Q21+R$20</f>
        <v>98325.456801487686</v>
      </c>
      <c r="S21" s="286">
        <f>M21*L21</f>
        <v>7.5300000000000011</v>
      </c>
      <c r="T21" s="43">
        <f>N21*2*L21*2</f>
        <v>5.4</v>
      </c>
      <c r="U21" s="9"/>
      <c r="X21" s="4"/>
    </row>
    <row r="22" spans="2:25" ht="18" thickBot="1" x14ac:dyDescent="0.35">
      <c r="B22" s="346">
        <v>2</v>
      </c>
      <c r="C22" s="346" t="s">
        <v>175</v>
      </c>
      <c r="D22" s="347">
        <v>2.58</v>
      </c>
      <c r="E22" s="347">
        <v>0.45</v>
      </c>
      <c r="F22" s="346" t="s">
        <v>174</v>
      </c>
      <c r="G22" s="348">
        <v>104022</v>
      </c>
      <c r="H22" s="345">
        <f t="shared" ref="H22:H24" si="5">G22*B22</f>
        <v>208044</v>
      </c>
      <c r="I22" s="299"/>
      <c r="J22" s="260"/>
      <c r="K22" s="44"/>
      <c r="L22" s="44">
        <f t="shared" ref="L22:L24" si="6">B22</f>
        <v>2</v>
      </c>
      <c r="M22" s="36">
        <f t="shared" ref="M22:M24" si="7">D22+M$19</f>
        <v>2.66</v>
      </c>
      <c r="N22" s="36">
        <f t="shared" ref="N22:N24" si="8">E22+$N$19</f>
        <v>0.45</v>
      </c>
      <c r="O22" s="256">
        <f t="shared" ref="O22:O24" si="9">M22*N22</f>
        <v>1.1970000000000001</v>
      </c>
      <c r="P22" s="254">
        <f t="shared" ref="P22:P24" si="10">O22*L22</f>
        <v>2.3940000000000001</v>
      </c>
      <c r="Q22" s="247">
        <f t="shared" ref="Q22:Q24" si="11">Q$20*O22</f>
        <v>101022.19724779173</v>
      </c>
      <c r="R22" s="298">
        <f t="shared" ref="R22:R24" si="12">Q22+R$20</f>
        <v>104022.19724779173</v>
      </c>
      <c r="S22" s="286">
        <f t="shared" ref="S22:S24" si="13">M22*L22</f>
        <v>5.32</v>
      </c>
      <c r="T22" s="43"/>
      <c r="U22" s="9"/>
      <c r="X22" s="4"/>
    </row>
    <row r="23" spans="2:25" ht="18" thickBot="1" x14ac:dyDescent="0.35">
      <c r="B23" s="346">
        <v>2</v>
      </c>
      <c r="C23" s="346" t="s">
        <v>175</v>
      </c>
      <c r="D23" s="347">
        <v>2.38</v>
      </c>
      <c r="E23" s="347">
        <v>0.45</v>
      </c>
      <c r="F23" s="346" t="s">
        <v>174</v>
      </c>
      <c r="G23" s="348">
        <v>96427</v>
      </c>
      <c r="H23" s="345">
        <f t="shared" si="5"/>
        <v>192854</v>
      </c>
      <c r="I23" s="299"/>
      <c r="J23" s="260"/>
      <c r="K23" s="44"/>
      <c r="L23" s="44">
        <f t="shared" si="6"/>
        <v>2</v>
      </c>
      <c r="M23" s="36">
        <f t="shared" si="7"/>
        <v>2.46</v>
      </c>
      <c r="N23" s="36">
        <f t="shared" si="8"/>
        <v>0.45</v>
      </c>
      <c r="O23" s="256">
        <f t="shared" si="9"/>
        <v>1.107</v>
      </c>
      <c r="P23" s="254">
        <f t="shared" si="10"/>
        <v>2.214</v>
      </c>
      <c r="Q23" s="247">
        <f t="shared" si="11"/>
        <v>93426.543319386328</v>
      </c>
      <c r="R23" s="298">
        <f t="shared" si="12"/>
        <v>96426.543319386328</v>
      </c>
      <c r="S23" s="286">
        <f t="shared" si="13"/>
        <v>4.92</v>
      </c>
      <c r="T23" s="43"/>
      <c r="U23" s="9"/>
      <c r="X23" s="4"/>
    </row>
    <row r="24" spans="2:25" ht="17.399999999999999" x14ac:dyDescent="0.3">
      <c r="B24" s="346">
        <v>1</v>
      </c>
      <c r="C24" s="346" t="s">
        <v>176</v>
      </c>
      <c r="D24" s="347">
        <v>1.45</v>
      </c>
      <c r="E24" s="347">
        <v>1.1000000000000001</v>
      </c>
      <c r="F24" s="346" t="s">
        <v>174</v>
      </c>
      <c r="G24" s="348">
        <v>145039</v>
      </c>
      <c r="H24" s="345">
        <f t="shared" si="5"/>
        <v>145039</v>
      </c>
      <c r="I24" s="299"/>
      <c r="J24" s="260"/>
      <c r="K24" s="44"/>
      <c r="L24" s="44">
        <f t="shared" si="6"/>
        <v>1</v>
      </c>
      <c r="M24" s="36">
        <f t="shared" si="7"/>
        <v>1.53</v>
      </c>
      <c r="N24" s="36">
        <f t="shared" si="8"/>
        <v>1.1000000000000001</v>
      </c>
      <c r="O24" s="256">
        <f t="shared" si="9"/>
        <v>1.6830000000000003</v>
      </c>
      <c r="P24" s="254">
        <f t="shared" si="10"/>
        <v>1.6830000000000003</v>
      </c>
      <c r="Q24" s="247">
        <f t="shared" si="11"/>
        <v>142038.72846118087</v>
      </c>
      <c r="R24" s="298">
        <f t="shared" si="12"/>
        <v>145038.72846118087</v>
      </c>
      <c r="S24" s="286">
        <f t="shared" si="13"/>
        <v>1.53</v>
      </c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300"/>
      <c r="I25" s="302"/>
      <c r="J25" s="229"/>
      <c r="K25" s="44"/>
      <c r="L25" s="44"/>
      <c r="M25" s="36"/>
      <c r="N25" s="36"/>
      <c r="O25" s="256"/>
      <c r="P25" s="254"/>
      <c r="Q25" s="247"/>
      <c r="R25" s="253"/>
      <c r="S25" s="286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3" t="s">
        <v>28</v>
      </c>
      <c r="H26" s="304">
        <f>SUM(H21:H25)</f>
        <v>840912</v>
      </c>
      <c r="I26" s="301"/>
      <c r="J26" s="260"/>
      <c r="K26" s="319"/>
      <c r="L26" s="44"/>
      <c r="M26" s="36"/>
      <c r="N26" s="36"/>
      <c r="O26" s="256"/>
      <c r="P26" s="254"/>
      <c r="Q26" s="247"/>
      <c r="R26" s="253"/>
      <c r="S26" s="286"/>
      <c r="T26" s="43">
        <f>SUM(T21:T25)</f>
        <v>5.4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5" t="s">
        <v>51</v>
      </c>
      <c r="H27" s="283">
        <f>H26*19%</f>
        <v>159773.28</v>
      </c>
      <c r="I27" s="301"/>
      <c r="J27" s="260"/>
      <c r="K27" s="319"/>
      <c r="L27" s="44"/>
      <c r="M27" s="36">
        <f>SUM(M21:M21)</f>
        <v>2.5100000000000002</v>
      </c>
      <c r="N27" s="12"/>
      <c r="O27" s="12"/>
      <c r="P27" s="248">
        <f>SUM(P21:P25)</f>
        <v>9.6795000000000009</v>
      </c>
      <c r="Q27" s="14"/>
      <c r="R27" s="12"/>
      <c r="S27" s="235">
        <f>SUM(S21:S26)</f>
        <v>19.300000000000004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284">
        <f>H26+H27</f>
        <v>1000685.28</v>
      </c>
      <c r="I28" s="301"/>
      <c r="J28" s="260"/>
      <c r="K28" s="319"/>
      <c r="L28" s="44"/>
      <c r="M28" s="36"/>
      <c r="N28" s="12"/>
      <c r="O28" s="12"/>
      <c r="P28" s="248">
        <f>P27</f>
        <v>9.6795000000000009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9"/>
      <c r="L29" s="44"/>
      <c r="M29" s="14"/>
      <c r="N29" s="12"/>
      <c r="O29" s="12"/>
      <c r="P29" s="36">
        <f>P28*20%</f>
        <v>1.9359000000000002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11.615400000000001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90" t="s">
        <v>21</v>
      </c>
      <c r="V31" s="287" t="s">
        <v>149</v>
      </c>
      <c r="W31" s="291">
        <v>44971</v>
      </c>
      <c r="X31" s="292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11.615400000000001</v>
      </c>
      <c r="N32" s="12">
        <v>3500</v>
      </c>
      <c r="O32" s="12">
        <f t="shared" ref="O32:O37" si="14">M32*N32</f>
        <v>40653.9</v>
      </c>
      <c r="P32" s="14" t="s">
        <v>21</v>
      </c>
      <c r="Q32" s="14"/>
      <c r="R32" s="14"/>
      <c r="S32" s="237"/>
      <c r="T32" s="14"/>
      <c r="U32" s="290" t="s">
        <v>150</v>
      </c>
      <c r="V32" s="287">
        <v>3625</v>
      </c>
      <c r="W32" s="56" t="s">
        <v>151</v>
      </c>
      <c r="X32" s="292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3</v>
      </c>
      <c r="N33" s="12">
        <v>23500</v>
      </c>
      <c r="O33" s="12">
        <f t="shared" si="14"/>
        <v>70500</v>
      </c>
      <c r="P33" s="36" t="s">
        <v>169</v>
      </c>
      <c r="Q33" s="39"/>
      <c r="R33" s="14"/>
      <c r="S33" s="236"/>
      <c r="T33" s="14"/>
      <c r="U33" s="290"/>
      <c r="V33" s="56">
        <v>906.25</v>
      </c>
      <c r="W33" s="56" t="s">
        <v>152</v>
      </c>
      <c r="X33" s="292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14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2" t="s">
        <v>153</v>
      </c>
      <c r="X34" s="56"/>
    </row>
    <row r="35" spans="1:24" s="226" customFormat="1" ht="17.399999999999999" x14ac:dyDescent="0.35">
      <c r="B35" s="21" t="s">
        <v>164</v>
      </c>
      <c r="C35"/>
      <c r="D35"/>
      <c r="E35"/>
      <c r="F35"/>
      <c r="J35" s="257">
        <v>61920</v>
      </c>
      <c r="K35" s="228"/>
      <c r="L35" s="245"/>
      <c r="M35" s="14">
        <v>5</v>
      </c>
      <c r="N35" s="245">
        <v>52034</v>
      </c>
      <c r="O35" s="12">
        <f t="shared" si="14"/>
        <v>260170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2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52033.613445378156</v>
      </c>
      <c r="K36" s="255"/>
      <c r="L36" s="245"/>
      <c r="M36" s="244"/>
      <c r="N36" s="245">
        <v>900</v>
      </c>
      <c r="O36" s="12">
        <f t="shared" si="14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/>
      <c r="N37" s="12">
        <v>1500</v>
      </c>
      <c r="O37" s="12">
        <f t="shared" si="14"/>
        <v>0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371323.9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O38*2.2</f>
        <v>816912.58000000007</v>
      </c>
      <c r="P39" s="14" t="s">
        <v>138</v>
      </c>
      <c r="Q39" s="14"/>
      <c r="R39" s="37">
        <f>P30/R38</f>
        <v>3.1318485763589301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84396.154760059915</v>
      </c>
      <c r="P40" s="42" t="s">
        <v>24</v>
      </c>
      <c r="Q40" s="14"/>
      <c r="R40" s="14"/>
      <c r="S40"/>
      <c r="T40" s="234"/>
      <c r="U40" s="56" t="s">
        <v>155</v>
      </c>
      <c r="V40" s="287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2.2000000000000002</v>
      </c>
      <c r="P41" s="15"/>
      <c r="Q41"/>
      <c r="R41"/>
      <c r="S41"/>
      <c r="T41" s="234"/>
      <c r="U41" s="56" t="s">
        <v>157</v>
      </c>
      <c r="V41" s="288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20"/>
      <c r="H42" s="327"/>
      <c r="L42" s="12"/>
      <c r="T42" s="234"/>
      <c r="U42" s="56" t="s">
        <v>158</v>
      </c>
      <c r="V42" s="289">
        <v>395.37</v>
      </c>
    </row>
    <row r="43" spans="1:24" s="226" customFormat="1" ht="17.399999999999999" x14ac:dyDescent="0.35">
      <c r="B43"/>
      <c r="C43" s="328"/>
      <c r="D43" s="279"/>
      <c r="E43" s="279"/>
      <c r="F43" s="278"/>
      <c r="G43" s="320"/>
      <c r="H43" s="327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20"/>
      <c r="H44" s="327"/>
      <c r="L44" s="12"/>
      <c r="U44" s="56"/>
      <c r="V44" s="56"/>
    </row>
    <row r="45" spans="1:24" ht="17.399999999999999" x14ac:dyDescent="0.35">
      <c r="D45" s="279"/>
      <c r="E45" s="279"/>
      <c r="F45" s="278"/>
      <c r="G45" s="320"/>
      <c r="H45" s="327"/>
      <c r="L45" s="245"/>
    </row>
    <row r="46" spans="1:24" ht="17.399999999999999" x14ac:dyDescent="0.35">
      <c r="D46" s="279"/>
      <c r="E46" s="279"/>
      <c r="F46" s="278"/>
      <c r="G46" s="320"/>
      <c r="H46" s="327"/>
      <c r="L46" s="245"/>
      <c r="T46" s="265"/>
    </row>
    <row r="47" spans="1:24" ht="17.399999999999999" x14ac:dyDescent="0.35">
      <c r="D47" s="279"/>
      <c r="E47" s="279"/>
      <c r="F47" s="278"/>
      <c r="G47" s="320"/>
      <c r="H47" s="327"/>
      <c r="L47" s="245"/>
    </row>
    <row r="48" spans="1:24" ht="15" customHeight="1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</row>
    <row r="50" spans="4:20" ht="17.399999999999999" x14ac:dyDescent="0.35">
      <c r="D50" s="279"/>
      <c r="E50" s="279"/>
      <c r="F50" s="278"/>
      <c r="G50" s="320"/>
      <c r="H50" s="327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20"/>
      <c r="H51" s="327"/>
    </row>
    <row r="52" spans="4:20" ht="17.399999999999999" x14ac:dyDescent="0.35">
      <c r="D52" s="279"/>
      <c r="E52" s="279"/>
      <c r="F52" s="278"/>
      <c r="G52" s="320"/>
      <c r="H52" s="327"/>
      <c r="O52" s="51"/>
      <c r="P52" s="51"/>
    </row>
    <row r="53" spans="4:20" ht="17.399999999999999" x14ac:dyDescent="0.35">
      <c r="D53" s="279"/>
      <c r="E53" s="279"/>
      <c r="F53" s="278"/>
      <c r="G53" s="320"/>
      <c r="H53" s="327"/>
      <c r="S53" s="18"/>
      <c r="T53" s="18"/>
    </row>
    <row r="54" spans="4:20" ht="17.399999999999999" x14ac:dyDescent="0.35">
      <c r="D54" s="279"/>
      <c r="E54" s="279"/>
      <c r="F54" s="278"/>
      <c r="G54" s="320"/>
      <c r="H54" s="327"/>
      <c r="S54" s="18"/>
      <c r="T54" s="18"/>
    </row>
    <row r="55" spans="4:20" ht="17.399999999999999" x14ac:dyDescent="0.35">
      <c r="D55" s="279"/>
      <c r="E55" s="279"/>
      <c r="F55" s="278"/>
      <c r="G55" s="320"/>
      <c r="H55" s="327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45856</v>
      </c>
    </row>
    <row r="6" spans="1:31" ht="16.2" thickBot="1" x14ac:dyDescent="0.35">
      <c r="B6" s="137" t="s">
        <v>2</v>
      </c>
      <c r="C6" s="136" t="str">
        <f>'2229'!C10</f>
        <v>ANDREA NUÑEZ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-105183.25059323672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840912</v>
      </c>
      <c r="E11" s="129">
        <f>D11*0.19</f>
        <v>159773.28</v>
      </c>
      <c r="F11" s="128">
        <f>E11+D11</f>
        <v>1000685.28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806.74940676327969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131132.81027536231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-17193.25059323672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709779.18972463766</v>
      </c>
      <c r="E13" s="218">
        <f>(D11/D12)-1</f>
        <v>5.4126742821586085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-26193.25059323672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-65193.25059323672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249676.87076428984</v>
      </c>
      <c r="C15" s="210" t="s">
        <v>121</v>
      </c>
      <c r="D15" s="211">
        <v>0.6</v>
      </c>
      <c r="E15" s="212">
        <f>(100%+D15)*D12</f>
        <v>209812.49644057971</v>
      </c>
      <c r="F15" s="213">
        <f>E15-D12</f>
        <v>78679.686165217398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-65193.25059323672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-25193.25059323672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70500</v>
      </c>
      <c r="E19" s="120">
        <f>D19*0.19</f>
        <v>13395</v>
      </c>
      <c r="F19" s="117">
        <f>SUM(D19:E19)</f>
        <v>83895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40653.9</v>
      </c>
      <c r="E20" s="118">
        <f>D20*0.19</f>
        <v>7724.241</v>
      </c>
      <c r="F20" s="117">
        <f>SUM(D20:E20)</f>
        <v>48378.141000000003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111153.9</v>
      </c>
      <c r="E21" s="113">
        <f>SUM(E18:E20)</f>
        <v>21119.241000000002</v>
      </c>
      <c r="F21" s="112">
        <f>SUM(F18:F20)</f>
        <v>132273.141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138654.03899999999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840912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111153.9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709779.18972463766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709779.18972463766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2025-07-18T13:32:36Z</cp:lastPrinted>
  <dcterms:created xsi:type="dcterms:W3CDTF">2013-03-18T13:35:42Z</dcterms:created>
  <dcterms:modified xsi:type="dcterms:W3CDTF">2025-07-18T18:31:35Z</dcterms:modified>
</cp:coreProperties>
</file>