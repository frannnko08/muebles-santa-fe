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85DCB5C4-0A53-4FF5-98B1-352073550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<sst xmlns="http://schemas.openxmlformats.org/spreadsheetml/2006/main" count="229" uniqueCount="174">
  <si>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</si>
  <si>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</si>
  <si>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</si>
  <si>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</si>
  <si>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</si>
  <si>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</si>
  <si>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</si>
  <si>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</si>
  <si>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</si>
  <si>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</si>
  <si>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</si>
  <si>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</si>
  <si>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</si>
  <si>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</si>
  <si>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</si>
  <si>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</si>
  <si>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</si>
  <si>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</si>
  <si>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</si>
  <si>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</si>
  <si>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</si>
  <si>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</si>
  <si>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</si>
  <si>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</si>
  <si>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</si>
  <si>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</si>
  <si>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</si>
  <si>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</si>
  <si>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</si>
  <si>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</si>
  <si>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</si>
  <si>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</si>
  <si>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</si>
  <si>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</si>
  <si>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</si>
  <si>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</si>
  <si>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</si>
  <si>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</si>
  <si>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</si>
  <si>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</si>
  <si>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</si>
  <si>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</si>
  <si>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</si>
  <si>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</si>
  <si>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</si>
  <si>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</si>
  <si>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</si>
  <si>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</si>
  <si>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</si>
  <si>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</si>
  <si>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</si>
  <si>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</si>
  <si>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</si>
  <si>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</si>
  <si>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</si>
  <si>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</si>
  <si>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</si>
  <si>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</si>
  <si>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</si>
  <si>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</si>
  <si>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</si>
  <si>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</si>
  <si>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</si>
  <si>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</si>
  <si>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</si>
  <si>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</si>
  <si>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</si>
  <si>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</si>
  <si>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</si>
  <si>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</si>
  <si>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</si>
  <si>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</si>
  <si>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</si>
  <si>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</si>
  <si>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</si>
  <si>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</si>
  <si>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</si>
  <si>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</si>
  <si>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</si>
  <si>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</si>
  <si>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</si>
  <si>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</si>
  <si>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</si>
  <si>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</si>
  <si>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</si>
  <si>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</si>
  <si>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</si>
  <si>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</si>
  <si>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</si>
  <si>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</si>
  <si>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</si>
  <si>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</si>
  <si>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</si>
  <si>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</si>
  <si>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</si>
  <si>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</si>
  <si>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</si>
  <si>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</si>
  <si>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</si>
  <si>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</si>
  <si>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</si>
  <si>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</si>
  <si>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</si>
  <si>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</si>
  <si>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</si>
  <si>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</si>
  <si>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</si>
  <si>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</si>
  <si>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</si>
  <si>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</si>
  <si>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</si>
  <si>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</si>
  <si>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</si>
  <si>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</si>
  <si>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</si>
  <si>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</si>
  <si>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</si>
  <si>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</si>
  <si>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</si>
  <si>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</si>
  <si>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</si>
  <si>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</si>
  <si>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</si>
  <si>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</si>
  <si>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</si>
  <si>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</si>
  <si>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</si>
  <si>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</si>
  <si>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</si>
  <si>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</si>
  <si>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</si>
  <si>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</si>
  <si>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</si>
  <si>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</si>
  <si>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</si>
  <si>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</si>
  <si>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</si>
  <si>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</si>
  <si>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</si>
  <si>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</si>
  <si>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</si>
  <si>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</si>
  <si>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</si>
  <si>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</si>
  <si>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</si>
  <si>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</si>
  <si>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</si>
  <si>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</si>
  <si>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</si>
  <si>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</si>
  <si>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</si>
  <si>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</si>
  <si>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</si>
  <si>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</si>
  <si>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</si>
  <si>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</si>
  <si>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</si>
  <si>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</si>
  <si>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</si>
  <si>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</si>
  <si>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</si>
  <si>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</si>
  <si>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</si>
  <si>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</si>
  <si>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</si>
  <si>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</si>
  <si>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</si>
  <si>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</si>
  <si>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</si>
  <si>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</si>
  <si>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</si>
  <si>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</si>
  <si>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ENRIQUE GUTIERREZ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</si>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</sst>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>
        <v>11544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45862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58395.949367088608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1.5</v>
      </c>
      <c r="E21" s="331">
        <v>0.5</v>
      </c>
      <c r="F21" s="330" t="s">
        <v>173</v>
      </c>
      <c r="G21" s="332">
        <f>Q21</f>
        <v>46132.800000000003</v>
      </c>
      <c r="H21" s="333">
        <f>G21*B21</f>
        <v>46132.800000000003</v>
      </c>
      <c r="I21" s="299"/>
      <c r="J21" s="260"/>
      <c r="K21" s="44"/>
      <c r="L21" s="44">
        <f>B21</f>
        <v>1</v>
      </c>
      <c r="M21" s="36">
        <f>D21+M$19</f>
        <v>1.58</v>
      </c>
      <c r="N21" s="36">
        <f>E21+$N$19</f>
        <v>0.5</v>
      </c>
      <c r="O21" s="256">
        <f t="shared" ref="O21" si="1">M21*N21</f>
        <v>0.79</v>
      </c>
      <c r="P21" s="254">
        <f t="shared" ref="P21" si="2">O21*L21</f>
        <v>0.79</v>
      </c>
      <c r="Q21" s="247">
        <f t="shared" ref="Q21" si="3">Q$20*O21</f>
        <v>46132.800000000003</v>
      </c>
      <c r="R21" s="298">
        <f t="shared" ref="R21" si="4">Q21+R$20</f>
        <v>49132.800000000003</v>
      </c>
      <c r="S21" s="286">
        <f>M21*L21</f>
        <v>1.58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46132.800000000003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8765.232</v>
      </c>
      <c r="I24" s="301"/>
      <c r="J24" s="260"/>
      <c r="K24" s="319"/>
      <c r="L24" s="44"/>
      <c r="M24" s="36">
        <f>SUM(M21:M21)</f>
        <v>1.58</v>
      </c>
      <c r="N24" s="12"/>
      <c r="O24" s="12"/>
      <c r="P24" s="248">
        <f>SUM(P21:P22)</f>
        <v>0.79</v>
      </c>
      <c r="Q24" s="14"/>
      <c r="R24" s="12"/>
      <c r="S24" s="235">
        <f>SUM(S21:S23)</f>
        <v>1.58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54898.032000000007</v>
      </c>
      <c r="I25" s="301"/>
      <c r="J25" s="260"/>
      <c r="K25" s="319"/>
      <c r="L25" s="44"/>
      <c r="M25" s="36"/>
      <c r="N25" s="12"/>
      <c r="O25" s="12"/>
      <c r="P25" s="248">
        <f>P24</f>
        <v>0.79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0.15800000000000003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34"/>
      <c r="K27" s="44"/>
      <c r="L27" s="44"/>
      <c r="M27" s="14"/>
      <c r="N27" s="12"/>
      <c r="O27" s="12"/>
      <c r="P27" s="43">
        <f>P25+P26</f>
        <v>0.94800000000000006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0.94800000000000006</v>
      </c>
      <c r="N29" s="12">
        <v>3500</v>
      </c>
      <c r="O29" s="12">
        <f t="shared" ref="O29:O34" si="5">M29*N29</f>
        <v>3318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0.3</v>
      </c>
      <c r="N30" s="12">
        <v>23500</v>
      </c>
      <c r="O30" s="12">
        <f t="shared" si="5"/>
        <v>7050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0.5</v>
      </c>
      <c r="N32" s="245">
        <v>20000</v>
      </c>
      <c r="O32" s="12">
        <f t="shared" si="5"/>
        <v>10000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1.6</v>
      </c>
      <c r="N34" s="12">
        <v>1000</v>
      </c>
      <c r="O34" s="12">
        <f t="shared" si="5"/>
        <v>1600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21968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46132.800000000003</v>
      </c>
      <c r="P36" s="14" t="s">
        <v>138</v>
      </c>
      <c r="Q36" s="14"/>
      <c r="R36" s="37">
        <f>P27/R35</f>
        <v>0.25560828300258848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58395.949367088608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45862</v>
      </c>
    </row>
    <row r="6" spans="1:31" ht="16.2" thickBot="1" x14ac:dyDescent="0.35">
      <c r="B6" s="137" t="s">
        <v>2</v>
      </c>
      <c r="C6" s="136" t="str">
        <f>'2229'!C10</f>
        <v>ENRIQUE GUTIERREZ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>
        <f>'2229'!D8</f>
        <v>11544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403.7094067632849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46132.800000000003</v>
      </c>
      <c r="E11" s="129">
        <f>D11*0.19</f>
        <v>8765.232</v>
      </c>
      <c r="F11" s="128">
        <f>E11+D11</f>
        <v>54898.032000000007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106393.70940676329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30346.910275362319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88393.709406763286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15785.889724637684</v>
      </c>
      <c r="E13" s="218">
        <f>(D11/D12)-1</f>
        <v>0.52018111832141734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79393.709406763286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40393.709406763286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57780.517164289857</v>
      </c>
      <c r="C15" s="210" t="s">
        <v>121</v>
      </c>
      <c r="D15" s="211">
        <v>0.6</v>
      </c>
      <c r="E15" s="212">
        <f>(100%+D15)*D12</f>
        <v>48555.056440579712</v>
      </c>
      <c r="F15" s="213">
        <f>E15-D12</f>
        <v>18208.146165217393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40393.709406763286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80393.709406763286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3318</v>
      </c>
      <c r="E20" s="118">
        <f>D20*0.19</f>
        <v>630.41999999999996</v>
      </c>
      <c r="F20" s="117">
        <f>SUM(D20:E20)</f>
        <v>3948.42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10368</v>
      </c>
      <c r="E21" s="113">
        <f>SUM(E18:E20)</f>
        <v>1969.92</v>
      </c>
      <c r="F21" s="112">
        <f>SUM(F18:F20)</f>
        <v>12337.92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6795.3119999999999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46132.800000000003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10368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15785.889724637684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15785.889724637684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2025-07-30T13:50:53Z</cp:lastPrinted>
  <dcterms:created xsi:type="dcterms:W3CDTF">2013-03-18T13:35:42Z</dcterms:created>
  <dcterms:modified xsi:type="dcterms:W3CDTF">2025-07-30T13:51:03Z</dcterms:modified>
</cp:coreProperties>
</file>