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86916B57-F57F-4DF7-8F24-840BE6BB1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P30" i="1"/>
  <c r="O26" i="1"/>
  <c r="P26" i="1" s="1"/>
  <c r="N26" i="1"/>
  <c r="M26" i="1"/>
  <c r="L26" i="1"/>
  <c r="N25" i="1"/>
  <c r="O25" i="1" s="1"/>
  <c r="P25" i="1" s="1"/>
  <c r="M25" i="1"/>
  <c r="L25" i="1"/>
  <c r="N24" i="1"/>
  <c r="M24" i="1"/>
  <c r="O24" i="1" s="1"/>
  <c r="P24" i="1" s="1"/>
  <c r="L24" i="1"/>
  <c r="N23" i="1"/>
  <c r="M23" i="1"/>
  <c r="O23" i="1" s="1"/>
  <c r="P23" i="1" s="1"/>
  <c r="L23" i="1"/>
  <c r="O22" i="1"/>
  <c r="P22" i="1" s="1"/>
  <c r="N22" i="1"/>
  <c r="M22" i="1"/>
  <c r="L22" i="1"/>
  <c r="J40" i="1"/>
  <c r="L21" i="1"/>
  <c r="N21" i="1"/>
  <c r="M21" i="1" l="1"/>
  <c r="M30" i="1" s="1"/>
  <c r="S21" i="1" l="1"/>
  <c r="S30" i="1" s="1"/>
  <c r="T21" i="1"/>
  <c r="T29" i="1" s="1"/>
  <c r="O21" i="1"/>
  <c r="P21" i="1" s="1"/>
  <c r="V37" i="1" l="1"/>
  <c r="V38" i="1" s="1"/>
  <c r="O36" i="1" l="1"/>
  <c r="P31" i="1" l="1"/>
  <c r="N20" i="1"/>
  <c r="L20" i="1"/>
  <c r="P32" i="1" l="1"/>
  <c r="P33" i="1" s="1"/>
  <c r="M35" i="1" s="1"/>
  <c r="O37" i="1"/>
  <c r="R41" i="1"/>
  <c r="R42" i="1" l="1"/>
  <c r="O38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0" i="1"/>
  <c r="O39" i="1"/>
  <c r="F18" i="3" l="1"/>
  <c r="O35" i="1" l="1"/>
  <c r="O41" i="1" s="1"/>
  <c r="O42" i="1" s="1"/>
  <c r="O43" i="1" l="1"/>
  <c r="D20" i="3"/>
  <c r="E20" i="3" s="1"/>
  <c r="E21" i="3" s="1"/>
  <c r="Q20" i="1" l="1"/>
  <c r="D21" i="3"/>
  <c r="M43" i="3" s="1"/>
  <c r="D12" i="3" s="1"/>
  <c r="F20" i="3"/>
  <c r="F21" i="3" s="1"/>
  <c r="Q25" i="1" l="1"/>
  <c r="R25" i="1" s="1"/>
  <c r="Q23" i="1"/>
  <c r="R23" i="1" s="1"/>
  <c r="Q24" i="1"/>
  <c r="R24" i="1" s="1"/>
  <c r="Q26" i="1"/>
  <c r="R26" i="1" s="1"/>
  <c r="Q22" i="1"/>
  <c r="R22" i="1" s="1"/>
  <c r="O44" i="1"/>
  <c r="E15" i="3"/>
  <c r="Q21" i="1" l="1"/>
  <c r="F15" i="3"/>
  <c r="R21" i="1" l="1"/>
  <c r="H21" i="1" l="1"/>
  <c r="H29" i="1" s="1"/>
  <c r="H30" i="1" s="1"/>
  <c r="D11" i="3" l="1"/>
  <c r="X9" i="3" s="1"/>
  <c r="X15" i="3" s="1"/>
  <c r="H31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<sst xmlns="http://schemas.openxmlformats.org/spreadsheetml/2006/main" count="241" uniqueCount="176">
  <si>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</si>
  <si>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</si>
  <si>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</si>
  <si>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</si>
  <si>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</si>
  <si>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</si>
  <si>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</si>
  <si>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</si>
  <si>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</si>
  <si>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</si>
  <si>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</si>
  <si>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</si>
  <si>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</si>
  <si>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</si>
  <si>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</si>
  <si>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</si>
  <si>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</si>
  <si>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</si>
  <si>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</si>
  <si>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</si>
  <si>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</si>
  <si>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</si>
  <si>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</si>
  <si>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</si>
  <si>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</si>
  <si>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</si>
  <si>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</si>
  <si>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</si>
  <si>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</si>
  <si>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</si>
  <si>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</si>
  <si>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</si>
  <si>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</si>
  <si>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</si>
  <si>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</si>
  <si>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</si>
  <si>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</si>
  <si>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</si>
  <si>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</si>
  <si>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</si>
  <si>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</si>
  <si>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</si>
  <si>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</si>
  <si>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</si>
  <si>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</si>
  <si>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</si>
  <si>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</si>
  <si>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</si>
  <si>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</si>
  <si>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</si>
  <si>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</si>
  <si>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</si>
  <si>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</si>
  <si>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</si>
  <si>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</si>
  <si>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</si>
  <si>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</si>
  <si>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</si>
  <si>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</si>
  <si>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</si>
  <si>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</si>
  <si>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</si>
  <si>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</si>
  <si>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</si>
  <si>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</si>
  <si>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</si>
  <si>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</si>
  <si>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</si>
  <si>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</si>
  <si>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</si>
  <si>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</si>
  <si>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</si>
  <si>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</si>
  <si>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</si>
  <si>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</si>
  <si>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</si>
  <si>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</si>
  <si>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</si>
  <si>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</si>
  <si>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</si>
  <si>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</si>
  <si>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</si>
  <si>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</si>
  <si>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</si>
  <si>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</si>
  <si>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</si>
  <si>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</si>
  <si>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</si>
  <si>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</si>
  <si>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</si>
  <si>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</si>
  <si>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</si>
  <si>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</si>
  <si>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</si>
  <si>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</si>
  <si>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</si>
  <si>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</si>
  <si>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</si>
  <si>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</si>
  <si>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</si>
  <si>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</si>
  <si>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</si>
  <si>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</si>
  <si>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</si>
  <si>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</si>
  <si>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</si>
  <si>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</si>
  <si>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</si>
  <si>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</si>
  <si>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</si>
  <si>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</si>
  <si>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</si>
  <si>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</si>
  <si>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</si>
  <si>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</si>
  <si>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</si>
  <si>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</si>
  <si>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</si>
  <si>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</si>
  <si>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</si>
  <si>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</si>
  <si>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</si>
  <si>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</si>
  <si>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</si>
  <si>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</si>
  <si>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</si>
  <si>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</si>
  <si>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</si>
  <si>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</si>
  <si>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</si>
  <si>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</si>
  <si>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</si>
  <si>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</si>
  <si>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</si>
  <si>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</si>
  <si>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</si>
  <si>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</si>
  <si>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</si>
  <si>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</si>
  <si>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</si>
  <si>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</si>
  <si>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</si>
  <si>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</si>
  <si>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</si>
  <si>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</si>
  <si>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</si>
  <si>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</si>
  <si>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</si>
  <si>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</si>
  <si>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</si>
  <si>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</si>
  <si>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</si>
  <si>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</si>
  <si>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</si>
  <si>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</si>
  <si>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</si>
  <si>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</si>
  <si>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</si>
  <si>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</si>
  <si>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</si>
  <si>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</si>
  <si>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</si>
  <si>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</si>
  <si>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</si>
  <si>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</si>
  <si>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</si>
  <si>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</si>
  <si>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</si>
  <si>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</si>
  <si>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5 DIAS HABILES</t>
  </si>
  <si>
    <t>N° 11495</t>
  </si>
  <si>
    <t>CARLA GONZALEZ</t>
  </si>
  <si>
    <t>569 2693 3067</t>
  </si>
  <si>
    <t>SI</t>
  </si>
  <si>
    <t>PUERTA POSTFORMADA R6</t>
  </si>
  <si>
    <t>BLANCO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</si>
</sst>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8194</xdr:rowOff>
    </xdr:from>
    <xdr:to>
      <xdr:col>8</xdr:col>
      <xdr:colOff>8193</xdr:colOff>
      <xdr:row>35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1745226</xdr:colOff>
      <xdr:row>35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28</xdr:row>
      <xdr:rowOff>9525</xdr:rowOff>
    </xdr:from>
    <xdr:to>
      <xdr:col>5</xdr:col>
      <xdr:colOff>1728839</xdr:colOff>
      <xdr:row>31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ENCHAPADAS CON TAPACANTO PVC 0,4MM COLOR BLANCO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6"/>
  <sheetViews>
    <sheetView tabSelected="1" zoomScale="93" zoomScaleNormal="93" workbookViewId="0">
      <selection activeCell="B1" sqref="B1:H40"/>
    </sheetView>
  </sheetViews>
  <sheetFormatPr baseColWidth="10" defaultRowHeight="14.4" x14ac:dyDescent="0.3"/>
  <cols>
    <col min="1" max="1" width="6" customWidth="1"/>
    <col min="2" max="2" width="10.5546875" customWidth="1"/>
    <col min="3" max="3" width="54.664062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86" t="s">
        <v>125</v>
      </c>
      <c r="C8" s="287"/>
      <c r="D8" s="314" t="s">
        <v>170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9" t="s">
        <v>159</v>
      </c>
      <c r="C10" s="318" t="s">
        <v>171</v>
      </c>
      <c r="D10" s="243"/>
      <c r="E10" s="243"/>
      <c r="F10" s="244" t="s">
        <v>167</v>
      </c>
      <c r="G10" s="275">
        <v>45840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4" t="s">
        <v>12</v>
      </c>
      <c r="C11" s="319"/>
      <c r="F11" t="s">
        <v>166</v>
      </c>
      <c r="G11" s="320" t="s">
        <v>169</v>
      </c>
      <c r="H11" s="285"/>
      <c r="Q11" s="19"/>
      <c r="R11" s="25" t="s">
        <v>18</v>
      </c>
      <c r="S11" s="19"/>
    </row>
    <row r="12" spans="2:24" x14ac:dyDescent="0.3">
      <c r="B12" s="246" t="s">
        <v>142</v>
      </c>
      <c r="C12" s="321"/>
      <c r="D12" s="322"/>
      <c r="E12" s="322"/>
      <c r="F12" s="322" t="s">
        <v>126</v>
      </c>
      <c r="G12" s="323" t="s">
        <v>133</v>
      </c>
      <c r="H12" s="247"/>
      <c r="Q12" s="19"/>
      <c r="R12" s="25"/>
      <c r="S12" s="19"/>
    </row>
    <row r="13" spans="2:24" x14ac:dyDescent="0.3">
      <c r="B13" s="284" t="s">
        <v>143</v>
      </c>
      <c r="F13" t="s">
        <v>165</v>
      </c>
      <c r="G13" s="324" t="s">
        <v>133</v>
      </c>
      <c r="H13" s="285"/>
      <c r="Q13" s="19"/>
      <c r="R13" s="25"/>
      <c r="S13" s="19"/>
    </row>
    <row r="14" spans="2:24" x14ac:dyDescent="0.3">
      <c r="B14" s="246" t="s">
        <v>137</v>
      </c>
      <c r="C14" s="325"/>
      <c r="D14" s="322"/>
      <c r="E14" s="322"/>
      <c r="F14" s="322" t="s">
        <v>134</v>
      </c>
      <c r="G14" s="326" t="s">
        <v>173</v>
      </c>
      <c r="H14" s="247"/>
      <c r="K14" s="29"/>
      <c r="Q14" s="20"/>
      <c r="R14" s="26" t="s">
        <v>17</v>
      </c>
      <c r="S14" s="20"/>
    </row>
    <row r="15" spans="2:24" ht="15.6" x14ac:dyDescent="0.3">
      <c r="B15" s="284" t="s">
        <v>4</v>
      </c>
      <c r="C15" s="327" t="s">
        <v>172</v>
      </c>
      <c r="D15" s="328"/>
      <c r="F15" t="s">
        <v>168</v>
      </c>
      <c r="G15" s="329" t="s">
        <v>133</v>
      </c>
      <c r="H15" s="285"/>
    </row>
    <row r="16" spans="2:24" ht="16.8" x14ac:dyDescent="0.4">
      <c r="B16" s="303" t="s">
        <v>3</v>
      </c>
      <c r="C16" s="330"/>
      <c r="D16" s="322"/>
      <c r="E16" s="322"/>
      <c r="F16" s="331" t="s">
        <v>128</v>
      </c>
      <c r="G16" s="332" t="s">
        <v>160</v>
      </c>
      <c r="H16" s="247"/>
    </row>
    <row r="17" spans="2:25" ht="15" thickBot="1" x14ac:dyDescent="0.35">
      <c r="B17" s="300" t="s">
        <v>13</v>
      </c>
      <c r="C17" s="301" t="s">
        <v>163</v>
      </c>
      <c r="D17" s="302"/>
      <c r="E17" s="119"/>
      <c r="F17" s="333" t="s">
        <v>162</v>
      </c>
      <c r="G17" s="333"/>
      <c r="H17" s="334"/>
      <c r="I17" s="262"/>
      <c r="J17" s="262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3"/>
      <c r="J19" s="263"/>
      <c r="K19" s="5"/>
      <c r="L19" s="249"/>
      <c r="M19" s="14">
        <v>0.08</v>
      </c>
      <c r="N19" s="14"/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11" t="s">
        <v>7</v>
      </c>
      <c r="C20" s="312" t="s">
        <v>1</v>
      </c>
      <c r="D20" s="312" t="s">
        <v>10</v>
      </c>
      <c r="E20" s="312" t="s">
        <v>11</v>
      </c>
      <c r="F20" s="312" t="s">
        <v>8</v>
      </c>
      <c r="G20" s="312" t="s">
        <v>5</v>
      </c>
      <c r="H20" s="313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 t="shared" ref="N20" si="0">E20</f>
        <v>ANCHO</v>
      </c>
      <c r="O20" s="260" t="s">
        <v>131</v>
      </c>
      <c r="P20" s="258" t="s">
        <v>16</v>
      </c>
      <c r="Q20" s="251">
        <f>O43</f>
        <v>74340.680598024439</v>
      </c>
      <c r="R20" s="257">
        <v>3000</v>
      </c>
      <c r="S20" s="38"/>
      <c r="T20" s="14" t="s">
        <v>127</v>
      </c>
      <c r="U20" s="9"/>
      <c r="X20" s="4"/>
    </row>
    <row r="21" spans="2:25" ht="17.399999999999999" x14ac:dyDescent="0.3">
      <c r="B21" s="315">
        <v>2</v>
      </c>
      <c r="C21" s="315" t="s">
        <v>174</v>
      </c>
      <c r="D21" s="316">
        <v>0.7</v>
      </c>
      <c r="E21" s="316">
        <v>0.42</v>
      </c>
      <c r="F21" s="315" t="s">
        <v>175</v>
      </c>
      <c r="G21" s="317">
        <v>27354</v>
      </c>
      <c r="H21" s="317">
        <f>G21*B21</f>
        <v>54708</v>
      </c>
      <c r="I21" s="305"/>
      <c r="J21" s="264"/>
      <c r="K21" s="47"/>
      <c r="L21" s="47">
        <f>B21</f>
        <v>2</v>
      </c>
      <c r="M21" s="39">
        <f>D21+M$19</f>
        <v>0.77999999999999992</v>
      </c>
      <c r="N21" s="39">
        <f>E21+$N$19</f>
        <v>0.42</v>
      </c>
      <c r="O21" s="260">
        <f t="shared" ref="O21" si="1">M21*N21</f>
        <v>0.32759999999999995</v>
      </c>
      <c r="P21" s="258">
        <f t="shared" ref="P21" si="2">O21*L21</f>
        <v>0.65519999999999989</v>
      </c>
      <c r="Q21" s="251">
        <f t="shared" ref="Q21" si="3">Q$20*O21</f>
        <v>24354.006963912801</v>
      </c>
      <c r="R21" s="304">
        <f t="shared" ref="R21" si="4">Q21+R$20</f>
        <v>27354.006963912801</v>
      </c>
      <c r="S21" s="292">
        <f>M21*L21</f>
        <v>1.5599999999999998</v>
      </c>
      <c r="T21" s="46">
        <f>N21*2*L21*2</f>
        <v>3.36</v>
      </c>
      <c r="U21" s="9"/>
      <c r="X21" s="4"/>
    </row>
    <row r="22" spans="2:25" ht="17.399999999999999" x14ac:dyDescent="0.3">
      <c r="B22" s="315">
        <v>2</v>
      </c>
      <c r="C22" s="315" t="s">
        <v>174</v>
      </c>
      <c r="D22" s="316">
        <v>0.7</v>
      </c>
      <c r="E22" s="316">
        <v>0.29499999999999998</v>
      </c>
      <c r="F22" s="315" t="s">
        <v>175</v>
      </c>
      <c r="G22" s="317">
        <v>20106</v>
      </c>
      <c r="H22" s="317">
        <f t="shared" ref="H22:H26" si="5">G22*B22</f>
        <v>40212</v>
      </c>
      <c r="I22" s="305"/>
      <c r="J22" s="264"/>
      <c r="K22" s="47"/>
      <c r="L22" s="47">
        <f t="shared" ref="L22:L26" si="6">B22</f>
        <v>2</v>
      </c>
      <c r="M22" s="39">
        <f t="shared" ref="M22:M26" si="7">D22+M$19</f>
        <v>0.77999999999999992</v>
      </c>
      <c r="N22" s="39">
        <f t="shared" ref="N22:N26" si="8">E22+$N$19</f>
        <v>0.29499999999999998</v>
      </c>
      <c r="O22" s="260">
        <f t="shared" ref="O22:O26" si="9">M22*N22</f>
        <v>0.23009999999999997</v>
      </c>
      <c r="P22" s="258">
        <f t="shared" ref="P22:P26" si="10">O22*L22</f>
        <v>0.46019999999999994</v>
      </c>
      <c r="Q22" s="251">
        <f t="shared" ref="Q22:Q26" si="11">Q$20*O22</f>
        <v>17105.79060560542</v>
      </c>
      <c r="R22" s="304">
        <f t="shared" ref="R22:R26" si="12">Q22+R$20</f>
        <v>20105.79060560542</v>
      </c>
      <c r="S22" s="292"/>
      <c r="T22" s="46"/>
      <c r="U22" s="9"/>
      <c r="X22" s="4"/>
    </row>
    <row r="23" spans="2:25" ht="17.399999999999999" x14ac:dyDescent="0.3">
      <c r="B23" s="315">
        <v>3</v>
      </c>
      <c r="C23" s="315" t="s">
        <v>174</v>
      </c>
      <c r="D23" s="316">
        <v>0.7</v>
      </c>
      <c r="E23" s="316">
        <v>0.34499999999999997</v>
      </c>
      <c r="F23" s="315" t="s">
        <v>175</v>
      </c>
      <c r="G23" s="317">
        <v>23005</v>
      </c>
      <c r="H23" s="317">
        <f t="shared" si="5"/>
        <v>69015</v>
      </c>
      <c r="I23" s="305"/>
      <c r="J23" s="264"/>
      <c r="K23" s="47"/>
      <c r="L23" s="47">
        <f t="shared" si="6"/>
        <v>3</v>
      </c>
      <c r="M23" s="39">
        <f t="shared" si="7"/>
        <v>0.77999999999999992</v>
      </c>
      <c r="N23" s="39">
        <f t="shared" si="8"/>
        <v>0.34499999999999997</v>
      </c>
      <c r="O23" s="260">
        <f t="shared" si="9"/>
        <v>0.26909999999999995</v>
      </c>
      <c r="P23" s="258">
        <f t="shared" si="10"/>
        <v>0.80729999999999991</v>
      </c>
      <c r="Q23" s="251">
        <f t="shared" si="11"/>
        <v>20005.077148928372</v>
      </c>
      <c r="R23" s="304">
        <f t="shared" si="12"/>
        <v>23005.077148928372</v>
      </c>
      <c r="S23" s="292"/>
      <c r="T23" s="46"/>
      <c r="U23" s="9"/>
      <c r="X23" s="4"/>
    </row>
    <row r="24" spans="2:25" ht="17.399999999999999" x14ac:dyDescent="0.3">
      <c r="B24" s="315">
        <v>4</v>
      </c>
      <c r="C24" s="315" t="s">
        <v>174</v>
      </c>
      <c r="D24" s="316">
        <v>0.7</v>
      </c>
      <c r="E24" s="316">
        <v>0.28000000000000003</v>
      </c>
      <c r="F24" s="315" t="s">
        <v>175</v>
      </c>
      <c r="G24" s="317">
        <v>19236</v>
      </c>
      <c r="H24" s="317">
        <f t="shared" si="5"/>
        <v>76944</v>
      </c>
      <c r="I24" s="305"/>
      <c r="J24" s="264"/>
      <c r="K24" s="47"/>
      <c r="L24" s="47">
        <f t="shared" si="6"/>
        <v>4</v>
      </c>
      <c r="M24" s="39">
        <f t="shared" si="7"/>
        <v>0.77999999999999992</v>
      </c>
      <c r="N24" s="39">
        <f t="shared" si="8"/>
        <v>0.28000000000000003</v>
      </c>
      <c r="O24" s="260">
        <f t="shared" si="9"/>
        <v>0.21840000000000001</v>
      </c>
      <c r="P24" s="258">
        <f t="shared" si="10"/>
        <v>0.87360000000000004</v>
      </c>
      <c r="Q24" s="251">
        <f t="shared" si="11"/>
        <v>16236.004642608539</v>
      </c>
      <c r="R24" s="304">
        <f t="shared" si="12"/>
        <v>19236.004642608539</v>
      </c>
      <c r="S24" s="292"/>
      <c r="T24" s="46"/>
      <c r="U24" s="9"/>
      <c r="X24" s="4"/>
    </row>
    <row r="25" spans="2:25" ht="17.399999999999999" x14ac:dyDescent="0.3">
      <c r="B25" s="315">
        <v>2</v>
      </c>
      <c r="C25" s="315" t="s">
        <v>174</v>
      </c>
      <c r="D25" s="316">
        <v>0.2</v>
      </c>
      <c r="E25" s="316">
        <v>0.44500000000000001</v>
      </c>
      <c r="F25" s="315" t="s">
        <v>175</v>
      </c>
      <c r="G25" s="317">
        <v>12263</v>
      </c>
      <c r="H25" s="317">
        <f t="shared" si="5"/>
        <v>24526</v>
      </c>
      <c r="I25" s="305"/>
      <c r="J25" s="264"/>
      <c r="K25" s="47"/>
      <c r="L25" s="47">
        <f t="shared" si="6"/>
        <v>2</v>
      </c>
      <c r="M25" s="39">
        <f t="shared" si="7"/>
        <v>0.28000000000000003</v>
      </c>
      <c r="N25" s="39">
        <f t="shared" si="8"/>
        <v>0.44500000000000001</v>
      </c>
      <c r="O25" s="260">
        <f t="shared" si="9"/>
        <v>0.12460000000000002</v>
      </c>
      <c r="P25" s="258">
        <f t="shared" si="10"/>
        <v>0.24920000000000003</v>
      </c>
      <c r="Q25" s="251">
        <f t="shared" si="11"/>
        <v>9262.8488025138467</v>
      </c>
      <c r="R25" s="304">
        <f t="shared" si="12"/>
        <v>12262.848802513847</v>
      </c>
      <c r="S25" s="292"/>
      <c r="T25" s="46"/>
      <c r="U25" s="9"/>
      <c r="X25" s="4"/>
    </row>
    <row r="26" spans="2:25" ht="17.399999999999999" x14ac:dyDescent="0.3">
      <c r="B26" s="315">
        <v>2</v>
      </c>
      <c r="C26" s="315" t="s">
        <v>174</v>
      </c>
      <c r="D26" s="316">
        <v>0.48499999999999999</v>
      </c>
      <c r="E26" s="316">
        <v>0.44500000000000001</v>
      </c>
      <c r="F26" s="315" t="s">
        <v>175</v>
      </c>
      <c r="G26" s="317">
        <v>21691</v>
      </c>
      <c r="H26" s="317">
        <f t="shared" si="5"/>
        <v>43382</v>
      </c>
      <c r="I26" s="305"/>
      <c r="J26" s="264"/>
      <c r="K26" s="47"/>
      <c r="L26" s="47">
        <f t="shared" si="6"/>
        <v>2</v>
      </c>
      <c r="M26" s="39">
        <f t="shared" si="7"/>
        <v>0.56499999999999995</v>
      </c>
      <c r="N26" s="39">
        <f t="shared" si="8"/>
        <v>0.44500000000000001</v>
      </c>
      <c r="O26" s="260">
        <f t="shared" si="9"/>
        <v>0.25142499999999995</v>
      </c>
      <c r="P26" s="258">
        <f t="shared" si="10"/>
        <v>0.50284999999999991</v>
      </c>
      <c r="Q26" s="251">
        <f t="shared" si="11"/>
        <v>18691.105619358292</v>
      </c>
      <c r="R26" s="304">
        <f t="shared" si="12"/>
        <v>21691.105619358292</v>
      </c>
      <c r="S26" s="292"/>
      <c r="T26" s="46"/>
      <c r="U26" s="9"/>
      <c r="X26" s="4"/>
    </row>
    <row r="27" spans="2:25" ht="17.399999999999999" x14ac:dyDescent="0.3">
      <c r="B27" s="282"/>
      <c r="C27" s="345"/>
      <c r="D27" s="283"/>
      <c r="E27" s="283"/>
      <c r="F27" s="345"/>
      <c r="G27" s="305"/>
      <c r="H27" s="305"/>
      <c r="I27" s="305"/>
      <c r="J27" s="264"/>
      <c r="K27" s="47"/>
      <c r="L27" s="47"/>
      <c r="M27" s="39"/>
      <c r="N27" s="39"/>
      <c r="O27" s="260"/>
      <c r="P27" s="258"/>
      <c r="Q27" s="251"/>
      <c r="R27" s="304"/>
      <c r="S27" s="292"/>
      <c r="T27" s="46"/>
      <c r="U27" s="9"/>
      <c r="X27" s="4"/>
    </row>
    <row r="28" spans="2:25" ht="18" thickBot="1" x14ac:dyDescent="0.35">
      <c r="B28" s="282"/>
      <c r="C28" s="282"/>
      <c r="D28" s="283"/>
      <c r="E28" s="283"/>
      <c r="F28" s="282"/>
      <c r="G28" s="264"/>
      <c r="H28" s="306"/>
      <c r="I28" s="308"/>
      <c r="J28" s="233"/>
      <c r="K28" s="47"/>
      <c r="L28" s="47"/>
      <c r="M28" s="39"/>
      <c r="N28" s="39"/>
      <c r="O28" s="260"/>
      <c r="P28" s="258"/>
      <c r="Q28" s="251"/>
      <c r="R28" s="257"/>
      <c r="S28" s="292"/>
      <c r="T28" s="14"/>
      <c r="U28" s="9"/>
      <c r="X28" s="4"/>
    </row>
    <row r="29" spans="2:25" ht="17.399999999999999" x14ac:dyDescent="0.3">
      <c r="B29" s="282"/>
      <c r="C29" s="282"/>
      <c r="D29" s="283"/>
      <c r="E29" s="283"/>
      <c r="F29" s="282"/>
      <c r="G29" s="309" t="s">
        <v>28</v>
      </c>
      <c r="H29" s="310">
        <f>SUM(H21:H28)</f>
        <v>308787</v>
      </c>
      <c r="I29" s="307"/>
      <c r="J29" s="264"/>
      <c r="K29" s="47">
        <v>2600000</v>
      </c>
      <c r="L29" s="47"/>
      <c r="M29" s="39"/>
      <c r="N29" s="39"/>
      <c r="O29" s="260"/>
      <c r="P29" s="258"/>
      <c r="Q29" s="251"/>
      <c r="R29" s="257"/>
      <c r="S29" s="292"/>
      <c r="T29" s="46">
        <f>SUM(T21:T28)</f>
        <v>3.36</v>
      </c>
      <c r="U29" s="9"/>
      <c r="X29" s="4"/>
    </row>
    <row r="30" spans="2:25" ht="17.399999999999999" x14ac:dyDescent="0.3">
      <c r="B30" s="276"/>
      <c r="C30" s="279"/>
      <c r="D30" s="280"/>
      <c r="E30" s="280"/>
      <c r="F30" s="281"/>
      <c r="G30" s="291" t="s">
        <v>51</v>
      </c>
      <c r="H30" s="289">
        <f>H29*19%</f>
        <v>58669.53</v>
      </c>
      <c r="I30" s="307"/>
      <c r="J30" s="264"/>
      <c r="K30" s="47"/>
      <c r="L30" s="47"/>
      <c r="M30" s="39">
        <f>SUM(M21:M21)</f>
        <v>0.77999999999999992</v>
      </c>
      <c r="N30" s="12"/>
      <c r="O30" s="12"/>
      <c r="P30" s="252">
        <f>SUM(P21:P28)</f>
        <v>3.5483499999999997</v>
      </c>
      <c r="Q30" s="14"/>
      <c r="R30" s="12"/>
      <c r="S30" s="239">
        <f>SUM(S21:S29)</f>
        <v>1.5599999999999998</v>
      </c>
      <c r="T30" s="46"/>
      <c r="U30" s="9"/>
      <c r="X30" s="4"/>
    </row>
    <row r="31" spans="2:25" ht="18" thickBot="1" x14ac:dyDescent="0.35">
      <c r="B31" s="274"/>
      <c r="C31" s="278"/>
      <c r="D31" s="271"/>
      <c r="E31" s="271"/>
      <c r="F31" s="272"/>
      <c r="G31" s="277" t="s">
        <v>6</v>
      </c>
      <c r="H31" s="290">
        <f>H29+H30</f>
        <v>367456.53</v>
      </c>
      <c r="I31" s="307"/>
      <c r="J31" s="264"/>
      <c r="K31" s="47"/>
      <c r="L31" s="47"/>
      <c r="M31" s="39"/>
      <c r="N31" s="12"/>
      <c r="O31" s="12"/>
      <c r="P31" s="252">
        <f>P30</f>
        <v>3.5483499999999997</v>
      </c>
      <c r="Q31" s="14"/>
      <c r="R31" s="12"/>
      <c r="S31" s="239"/>
      <c r="T31" s="46"/>
      <c r="U31" s="9"/>
      <c r="X31" s="4"/>
    </row>
    <row r="32" spans="2:25" ht="17.399999999999999" x14ac:dyDescent="0.3">
      <c r="B32" s="274"/>
      <c r="C32" s="270"/>
      <c r="D32" s="271"/>
      <c r="E32" s="271"/>
      <c r="F32" s="272"/>
      <c r="J32" s="264"/>
      <c r="K32" s="47"/>
      <c r="L32" s="47"/>
      <c r="M32" s="14"/>
      <c r="N32" s="12"/>
      <c r="O32" s="12"/>
      <c r="P32" s="39">
        <f>P31*20%</f>
        <v>0.70967000000000002</v>
      </c>
      <c r="Q32" s="39" t="s">
        <v>129</v>
      </c>
      <c r="R32" s="42"/>
      <c r="S32" s="240"/>
      <c r="T32" s="14"/>
      <c r="U32" s="9"/>
      <c r="X32" s="4"/>
    </row>
    <row r="33" spans="1:24" ht="17.399999999999999" x14ac:dyDescent="0.35">
      <c r="B33" s="268"/>
      <c r="C33" s="230"/>
      <c r="D33" s="230"/>
      <c r="E33" s="233"/>
      <c r="F33" s="234"/>
      <c r="G33" s="230"/>
      <c r="H33" s="273"/>
      <c r="I33" s="273"/>
      <c r="J33" s="264"/>
      <c r="K33" s="47"/>
      <c r="L33" s="47"/>
      <c r="M33" s="14"/>
      <c r="N33" s="12"/>
      <c r="O33" s="12"/>
      <c r="P33" s="46">
        <f>P31+P32</f>
        <v>4.2580200000000001</v>
      </c>
      <c r="Q33" s="14"/>
      <c r="R33" s="14"/>
      <c r="S33" s="238"/>
      <c r="T33" s="14"/>
      <c r="U33" s="9"/>
      <c r="X33" s="4"/>
    </row>
    <row r="34" spans="1:24" ht="17.399999999999999" x14ac:dyDescent="0.35">
      <c r="B34" s="235"/>
      <c r="C34" s="236"/>
      <c r="D34" s="237"/>
      <c r="E34" s="235"/>
      <c r="F34" s="230"/>
      <c r="G34" s="230"/>
      <c r="I34" s="273"/>
      <c r="J34" s="264"/>
      <c r="K34" s="47"/>
      <c r="L34" s="47"/>
      <c r="M34" s="14"/>
      <c r="N34" s="14"/>
      <c r="O34" s="14"/>
      <c r="P34" s="14"/>
      <c r="Q34" s="14"/>
      <c r="R34" s="14"/>
      <c r="S34" s="240"/>
      <c r="T34" s="14"/>
      <c r="U34" s="296" t="s">
        <v>21</v>
      </c>
      <c r="V34" s="293" t="s">
        <v>149</v>
      </c>
      <c r="W34" s="297">
        <v>44971</v>
      </c>
      <c r="X34" s="298"/>
    </row>
    <row r="35" spans="1:24" ht="17.399999999999999" x14ac:dyDescent="0.35">
      <c r="B35" s="230"/>
      <c r="C35" s="230"/>
      <c r="D35" s="230"/>
      <c r="E35" s="230"/>
      <c r="F35" s="230"/>
      <c r="G35" s="230"/>
      <c r="J35" s="264"/>
      <c r="K35" s="47"/>
      <c r="L35" s="47"/>
      <c r="M35" s="39">
        <f>P33</f>
        <v>4.2580200000000001</v>
      </c>
      <c r="N35" s="12">
        <v>3500</v>
      </c>
      <c r="O35" s="12">
        <f t="shared" ref="O35:O40" si="13">M35*N35</f>
        <v>14903.07</v>
      </c>
      <c r="P35" s="14" t="s">
        <v>21</v>
      </c>
      <c r="Q35" s="14"/>
      <c r="R35" s="14"/>
      <c r="S35" s="241"/>
      <c r="T35" s="14"/>
      <c r="U35" s="296" t="s">
        <v>150</v>
      </c>
      <c r="V35" s="293">
        <v>3625</v>
      </c>
      <c r="W35" s="59" t="s">
        <v>151</v>
      </c>
      <c r="X35" s="298"/>
    </row>
    <row r="36" spans="1:24" ht="17.399999999999999" x14ac:dyDescent="0.35">
      <c r="A36" s="230"/>
      <c r="B36" s="230"/>
      <c r="C36" s="230"/>
      <c r="D36" s="230"/>
      <c r="E36" s="230"/>
      <c r="F36" s="230"/>
      <c r="G36" s="230"/>
      <c r="H36" s="230"/>
      <c r="J36" s="264"/>
      <c r="K36" s="47"/>
      <c r="L36" s="47"/>
      <c r="M36" s="248">
        <v>1.2</v>
      </c>
      <c r="N36" s="12">
        <v>45000</v>
      </c>
      <c r="O36" s="12">
        <f t="shared" si="13"/>
        <v>54000</v>
      </c>
      <c r="P36" s="39" t="s">
        <v>31</v>
      </c>
      <c r="Q36" s="42"/>
      <c r="R36" s="14"/>
      <c r="S36" s="240"/>
      <c r="T36" s="14"/>
      <c r="U36" s="296"/>
      <c r="V36" s="59">
        <v>906.25</v>
      </c>
      <c r="W36" s="59" t="s">
        <v>152</v>
      </c>
      <c r="X36" s="298"/>
    </row>
    <row r="37" spans="1:24" s="230" customFormat="1" ht="17.399999999999999" x14ac:dyDescent="0.35">
      <c r="B37" s="24" t="s">
        <v>148</v>
      </c>
      <c r="J37" s="261"/>
      <c r="K37" s="232"/>
      <c r="L37" s="249"/>
      <c r="M37" s="14"/>
      <c r="N37" s="249">
        <v>62300</v>
      </c>
      <c r="O37" s="12">
        <f t="shared" si="13"/>
        <v>0</v>
      </c>
      <c r="P37" s="39" t="s">
        <v>30</v>
      </c>
      <c r="Q37" s="42"/>
      <c r="S37" s="240"/>
      <c r="T37" s="255"/>
      <c r="U37" s="59"/>
      <c r="V37" s="59">
        <f>V36*20%</f>
        <v>181.25</v>
      </c>
      <c r="W37" s="298" t="s">
        <v>153</v>
      </c>
      <c r="X37" s="59"/>
    </row>
    <row r="38" spans="1:24" s="230" customFormat="1" ht="17.399999999999999" x14ac:dyDescent="0.35">
      <c r="B38" s="24" t="s">
        <v>164</v>
      </c>
      <c r="C38"/>
      <c r="D38"/>
      <c r="E38"/>
      <c r="F38"/>
      <c r="J38" s="261"/>
      <c r="K38" s="232"/>
      <c r="L38" s="249"/>
      <c r="M38" s="14">
        <v>2</v>
      </c>
      <c r="N38" s="249">
        <v>25500</v>
      </c>
      <c r="O38" s="12">
        <f t="shared" si="13"/>
        <v>51000</v>
      </c>
      <c r="P38" s="14" t="s">
        <v>139</v>
      </c>
      <c r="Q38" s="17"/>
      <c r="S38" s="238"/>
      <c r="T38" s="255"/>
      <c r="U38" s="59"/>
      <c r="V38" s="59">
        <f>V36+V37</f>
        <v>1087.5</v>
      </c>
      <c r="W38" s="298" t="s">
        <v>154</v>
      </c>
      <c r="X38" s="59"/>
    </row>
    <row r="39" spans="1:24" s="230" customFormat="1" ht="17.399999999999999" x14ac:dyDescent="0.35">
      <c r="B39" s="29" t="s">
        <v>124</v>
      </c>
      <c r="C39"/>
      <c r="D39"/>
      <c r="E39"/>
      <c r="F39" s="229" t="s">
        <v>15</v>
      </c>
      <c r="J39" s="261">
        <v>60910</v>
      </c>
      <c r="K39" s="259"/>
      <c r="L39" s="249"/>
      <c r="M39" s="248"/>
      <c r="N39" s="249">
        <v>900</v>
      </c>
      <c r="O39" s="12">
        <f t="shared" si="13"/>
        <v>0</v>
      </c>
      <c r="P39" s="14" t="s">
        <v>32</v>
      </c>
      <c r="Q39" s="14"/>
      <c r="R39" s="230">
        <v>1.52</v>
      </c>
      <c r="S39" s="238"/>
      <c r="T39" s="238"/>
    </row>
    <row r="40" spans="1:24" s="230" customFormat="1" ht="17.399999999999999" x14ac:dyDescent="0.35">
      <c r="J40" s="288">
        <f>J39/1.19</f>
        <v>51184.873949579836</v>
      </c>
      <c r="K40" s="259"/>
      <c r="L40" s="249"/>
      <c r="M40" s="265"/>
      <c r="N40" s="12">
        <v>1500</v>
      </c>
      <c r="O40" s="12">
        <f t="shared" si="13"/>
        <v>0</v>
      </c>
      <c r="P40" s="14" t="s">
        <v>22</v>
      </c>
      <c r="Q40" s="14"/>
      <c r="R40">
        <v>2.44</v>
      </c>
      <c r="S40"/>
      <c r="T40" s="238"/>
      <c r="X40" s="231"/>
    </row>
    <row r="41" spans="1:24" s="230" customFormat="1" ht="17.399999999999999" x14ac:dyDescent="0.35">
      <c r="K41" s="259"/>
      <c r="L41" s="249"/>
      <c r="M41" s="14"/>
      <c r="N41" s="12"/>
      <c r="O41" s="12">
        <f>SUM(O35:O40)</f>
        <v>119903.07</v>
      </c>
      <c r="P41" s="39" t="s">
        <v>23</v>
      </c>
      <c r="Q41" s="14"/>
      <c r="R41">
        <f>R39*R40</f>
        <v>3.7088000000000001</v>
      </c>
      <c r="S41"/>
      <c r="T41" s="238"/>
      <c r="X41" s="231"/>
    </row>
    <row r="42" spans="1:24" s="230" customFormat="1" ht="17.399999999999999" x14ac:dyDescent="0.35">
      <c r="L42" s="249"/>
      <c r="M42" s="253" t="s">
        <v>33</v>
      </c>
      <c r="N42" s="12"/>
      <c r="O42" s="254">
        <f>O41*2.2</f>
        <v>263786.75400000002</v>
      </c>
      <c r="P42" s="14" t="s">
        <v>138</v>
      </c>
      <c r="Q42" s="14"/>
      <c r="R42" s="40">
        <f>P33/R41</f>
        <v>1.1480856341673857</v>
      </c>
      <c r="S42"/>
      <c r="T42" s="256"/>
    </row>
    <row r="43" spans="1:24" s="230" customFormat="1" ht="17.399999999999999" x14ac:dyDescent="0.35">
      <c r="G43"/>
      <c r="H43" s="259"/>
      <c r="I43" s="259"/>
      <c r="J43" s="259"/>
      <c r="L43" s="249"/>
      <c r="M43" s="14"/>
      <c r="N43" s="12"/>
      <c r="O43" s="12">
        <f>O42/P31</f>
        <v>74340.680598024439</v>
      </c>
      <c r="P43" s="45" t="s">
        <v>24</v>
      </c>
      <c r="Q43" s="14"/>
      <c r="R43" s="14"/>
      <c r="S43"/>
      <c r="T43" s="238"/>
      <c r="U43" s="59" t="s">
        <v>155</v>
      </c>
      <c r="V43" s="293">
        <v>43650</v>
      </c>
    </row>
    <row r="44" spans="1:24" s="230" customFormat="1" ht="17.399999999999999" x14ac:dyDescent="0.35">
      <c r="G44"/>
      <c r="L44" s="249"/>
      <c r="M44" s="13"/>
      <c r="N44" s="14"/>
      <c r="O44" s="17">
        <f>O42/O41</f>
        <v>2.2000000000000002</v>
      </c>
      <c r="P44" s="15"/>
      <c r="Q44"/>
      <c r="R44"/>
      <c r="S44"/>
      <c r="T44" s="238"/>
      <c r="U44" s="59" t="s">
        <v>157</v>
      </c>
      <c r="V44" s="294" t="s">
        <v>156</v>
      </c>
      <c r="W44" s="59">
        <v>2.4</v>
      </c>
    </row>
    <row r="45" spans="1:24" s="230" customFormat="1" ht="17.399999999999999" x14ac:dyDescent="0.35">
      <c r="G45" s="23"/>
      <c r="L45" s="12"/>
      <c r="T45" s="238"/>
      <c r="U45" s="59" t="s">
        <v>158</v>
      </c>
      <c r="V45" s="295">
        <v>395.37</v>
      </c>
    </row>
    <row r="46" spans="1:24" s="230" customFormat="1" ht="17.399999999999999" x14ac:dyDescent="0.35">
      <c r="B46"/>
      <c r="C46" s="228"/>
      <c r="D46" s="22"/>
      <c r="E46" s="22"/>
      <c r="F46" s="21"/>
      <c r="G46" s="23"/>
      <c r="L46" s="12"/>
      <c r="T46" s="238"/>
      <c r="U46" s="59" t="s">
        <v>153</v>
      </c>
      <c r="V46" s="59">
        <v>474.45</v>
      </c>
    </row>
    <row r="47" spans="1:24" ht="14.4" customHeight="1" x14ac:dyDescent="0.3">
      <c r="L47" s="12"/>
      <c r="U47" s="59"/>
      <c r="V47" s="59"/>
    </row>
    <row r="48" spans="1:24" x14ac:dyDescent="0.3">
      <c r="L48" s="249"/>
    </row>
    <row r="49" spans="12:20" x14ac:dyDescent="0.3">
      <c r="L49" s="249"/>
      <c r="T49" s="269"/>
    </row>
    <row r="50" spans="12:20" x14ac:dyDescent="0.3">
      <c r="L50" s="249"/>
    </row>
    <row r="51" spans="12:20" ht="15" customHeight="1" x14ac:dyDescent="0.3"/>
    <row r="53" spans="12:20" x14ac:dyDescent="0.3">
      <c r="O53">
        <v>40935</v>
      </c>
      <c r="P53" t="s">
        <v>16</v>
      </c>
      <c r="Q53" t="s">
        <v>26</v>
      </c>
    </row>
    <row r="55" spans="12:20" x14ac:dyDescent="0.3">
      <c r="O55" s="54"/>
      <c r="P55" s="54"/>
    </row>
    <row r="56" spans="12:20" x14ac:dyDescent="0.3">
      <c r="S56" s="18"/>
      <c r="T56" s="18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7" spans="3:15" x14ac:dyDescent="0.3">
      <c r="O67" s="43"/>
    </row>
    <row r="68" spans="3:15" x14ac:dyDescent="0.3">
      <c r="O68" s="43"/>
    </row>
    <row r="69" spans="3:15" x14ac:dyDescent="0.3">
      <c r="O69" s="6"/>
    </row>
    <row r="70" spans="3:15" x14ac:dyDescent="0.3">
      <c r="O70" s="6"/>
    </row>
    <row r="78" spans="3:15" x14ac:dyDescent="0.3">
      <c r="C78" t="s">
        <v>145</v>
      </c>
    </row>
    <row r="79" spans="3:15" x14ac:dyDescent="0.3">
      <c r="C79" t="s">
        <v>144</v>
      </c>
    </row>
    <row r="82" spans="3:3" x14ac:dyDescent="0.3">
      <c r="C82" t="s">
        <v>144</v>
      </c>
    </row>
    <row r="159" spans="3:3" x14ac:dyDescent="0.3">
      <c r="C159" t="s">
        <v>144</v>
      </c>
    </row>
    <row r="160" spans="3:3" x14ac:dyDescent="0.3">
      <c r="C160" t="s">
        <v>146</v>
      </c>
    </row>
    <row r="161" spans="3:3" x14ac:dyDescent="0.3">
      <c r="C161" t="s">
        <v>147</v>
      </c>
    </row>
    <row r="586" spans="3:3" x14ac:dyDescent="0.3">
      <c r="C586" t="s">
        <v>144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45840</v>
      </c>
    </row>
    <row r="6" spans="2:31" ht="16.2" thickBot="1" x14ac:dyDescent="0.35">
      <c r="B6" s="140" t="s">
        <v>2</v>
      </c>
      <c r="C6" s="139" t="str">
        <f>'2229'!C10</f>
        <v>CARLA GONZALEZ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11495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-24311.780783454105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'2229'!H29</f>
        <v>308787</v>
      </c>
      <c r="E11" s="132">
        <f>D11*0.19</f>
        <v>58669.53</v>
      </c>
      <c r="F11" s="131">
        <f>E11+D11</f>
        <v>367456.53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81678.219216545898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98737.160787439614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63678.219216545898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210049.83921256039</v>
      </c>
      <c r="E13" s="221">
        <f>(D11/D12)-1</f>
        <v>2.1273635735258138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54678.219216545898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15678.219216545895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162916.31529927536</v>
      </c>
      <c r="F15" s="216">
        <f>E15-D12</f>
        <v>64179.154511835746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15678.219216545895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55678.219216545898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'2229'!O37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'2229'!O36</f>
        <v>54000</v>
      </c>
      <c r="E19" s="123">
        <f>D19*0.19</f>
        <v>10260</v>
      </c>
      <c r="F19" s="120">
        <f>SUM(D19:E19)</f>
        <v>64260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'2229'!O35</f>
        <v>14903.07</v>
      </c>
      <c r="E20" s="121">
        <f>D20*0.19</f>
        <v>2831.5832999999998</v>
      </c>
      <c r="F20" s="120">
        <f>SUM(D20:E20)</f>
        <v>17734.653299999998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68903.070000000007</v>
      </c>
      <c r="E21" s="116">
        <f>SUM(E18:E20)</f>
        <v>13091.5833</v>
      </c>
      <c r="F21" s="115">
        <f>SUM(F18:F20)</f>
        <v>81994.653300000005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45577.9467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308787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68903.070000000007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210049.83921256039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210049.83921256039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2025-07-02T13:31:03Z</cp:lastPrinted>
  <dcterms:created xsi:type="dcterms:W3CDTF">2013-03-18T13:35:42Z</dcterms:created>
  <dcterms:modified xsi:type="dcterms:W3CDTF">2025-07-02T13:31:30Z</dcterms:modified>
</cp:coreProperties>
</file>