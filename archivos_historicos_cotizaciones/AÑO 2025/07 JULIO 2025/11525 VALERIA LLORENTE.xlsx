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7A7B5AB7-3174-44C8-B63C-DF9523F65EBE}" xr6:coauthVersionLast="47" xr6:coauthVersionMax="47" xr10:uidLastSave="{00000000-0000-0000-0000-000000000000}"/>
  <bookViews>
    <workbookView minimized="1" xWindow="3024" yWindow="3024" windowWidth="17280" windowHeight="888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L21" i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<sst xmlns="http://schemas.openxmlformats.org/spreadsheetml/2006/main" count="231" uniqueCount="176">
  <si>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</si>
  <si>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</si>
  <si>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</si>
  <si>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</si>
  <si>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</si>
  <si>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</si>
  <si>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</si>
  <si>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</si>
  <si>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</si>
  <si>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</si>
  <si>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</si>
  <si>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</si>
  <si>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</si>
  <si>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</si>
  <si>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</si>
  <si>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</si>
  <si>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</si>
  <si>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</si>
  <si>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</si>
  <si>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</si>
  <si>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</si>
  <si>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</si>
  <si>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</si>
  <si>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</si>
  <si>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</si>
  <si>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</si>
  <si>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</si>
  <si>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</si>
  <si>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</si>
  <si>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</si>
  <si>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</si>
  <si>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</si>
  <si>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</si>
  <si>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</si>
  <si>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</si>
  <si>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</si>
  <si>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</si>
  <si>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</si>
  <si>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</si>
  <si>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</si>
  <si>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</si>
  <si>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</si>
  <si>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</si>
  <si>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</si>
  <si>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</si>
  <si>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</si>
  <si>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</si>
  <si>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</si>
  <si>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</si>
  <si>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</si>
  <si>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</si>
  <si>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</si>
  <si>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</si>
  <si>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</si>
  <si>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</si>
  <si>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</si>
  <si>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</si>
  <si>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</si>
  <si>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</si>
  <si>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</si>
  <si>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</si>
  <si>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</si>
  <si>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</si>
  <si>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</si>
  <si>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</si>
  <si>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</si>
  <si>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</si>
  <si>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</si>
  <si>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</si>
  <si>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</si>
  <si>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</si>
  <si>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</si>
  <si>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</si>
  <si>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</si>
  <si>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</si>
  <si>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</si>
  <si>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</si>
  <si>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</si>
  <si>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</si>
  <si>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</si>
  <si>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</si>
  <si>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</si>
  <si>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</si>
  <si>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</si>
  <si>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</si>
  <si>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</si>
  <si>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</si>
  <si>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</si>
  <si>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</si>
  <si>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</si>
  <si>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</si>
  <si>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</si>
  <si>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</si>
  <si>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</si>
  <si>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</si>
  <si>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</si>
  <si>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</si>
  <si>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</si>
  <si>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</si>
  <si>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</si>
  <si>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</si>
  <si>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</si>
  <si>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</si>
  <si>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</si>
  <si>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</si>
  <si>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</si>
  <si>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</si>
  <si>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</si>
  <si>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</si>
  <si>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</si>
  <si>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</si>
  <si>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</si>
  <si>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</si>
  <si>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</si>
  <si>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</si>
  <si>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</si>
  <si>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</si>
  <si>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</si>
  <si>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</si>
  <si>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</si>
  <si>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</si>
  <si>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</si>
  <si>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</si>
  <si>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</si>
  <si>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</si>
  <si>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</si>
  <si>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</si>
  <si>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</si>
  <si>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</si>
  <si>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</si>
  <si>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</si>
  <si>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</si>
  <si>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</si>
  <si>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</si>
  <si>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</si>
  <si>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</si>
  <si>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</si>
  <si>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</si>
  <si>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</si>
  <si>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</si>
  <si>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</si>
  <si>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</si>
  <si>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</si>
  <si>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</si>
  <si>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</si>
  <si>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</si>
  <si>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</si>
  <si>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</si>
  <si>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</si>
  <si>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</si>
  <si>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</si>
  <si>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</si>
  <si>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</si>
  <si>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</si>
  <si>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</si>
  <si>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</si>
  <si>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</si>
  <si>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</si>
  <si>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</si>
  <si>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</si>
  <si>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</si>
  <si>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</si>
  <si>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</si>
  <si>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</si>
  <si>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</si>
  <si>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</si>
  <si>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</si>
  <si>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</si>
  <si>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</si>
  <si>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</si>
  <si>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</si>
  <si>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N° 11524</t>
  </si>
  <si>
    <t>VALERIA LLORENTE</t>
  </si>
  <si>
    <t>569 9817 0227</t>
  </si>
  <si>
    <t>CUBIERTA C/R FRENTE 90° R2</t>
  </si>
  <si>
    <t>SEA WHITE 1502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</si>
</sst>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9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5" t="s">
        <v>125</v>
      </c>
      <c r="C8" s="326"/>
      <c r="D8" s="327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8" t="s">
        <v>172</v>
      </c>
      <c r="D10" s="239"/>
      <c r="E10" s="239"/>
      <c r="F10" s="240" t="s">
        <v>167</v>
      </c>
      <c r="G10" s="271">
        <v>45853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9"/>
      <c r="F11" t="s">
        <v>166</v>
      </c>
      <c r="G11" s="310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5"/>
      <c r="D14" s="312"/>
      <c r="E14" s="312"/>
      <c r="F14" s="312" t="s">
        <v>134</v>
      </c>
      <c r="G14" s="316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7" t="s">
        <v>173</v>
      </c>
      <c r="D15" s="318"/>
      <c r="F15" t="s">
        <v>168</v>
      </c>
      <c r="G15" s="319" t="s">
        <v>133</v>
      </c>
      <c r="H15" s="281"/>
    </row>
    <row r="16" spans="2:24" ht="16.8" x14ac:dyDescent="0.4">
      <c r="B16" s="297" t="s">
        <v>3</v>
      </c>
      <c r="C16" s="320"/>
      <c r="D16" s="312"/>
      <c r="E16" s="312"/>
      <c r="F16" s="321" t="s">
        <v>128</v>
      </c>
      <c r="G16" s="322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75323.590308370054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05">
        <v>1</v>
      </c>
      <c r="C21" s="305" t="s">
        <v>174</v>
      </c>
      <c r="D21" s="306">
        <v>9</v>
      </c>
      <c r="E21" s="306">
        <v>0.6</v>
      </c>
      <c r="F21" s="305" t="s">
        <v>175</v>
      </c>
      <c r="G21" s="307">
        <f>Q21</f>
        <v>410362.92000000004</v>
      </c>
      <c r="H21" s="307">
        <f>G21*B21</f>
        <v>410362.92000000004</v>
      </c>
      <c r="I21" s="299"/>
      <c r="J21" s="260"/>
      <c r="K21" s="44"/>
      <c r="L21" s="44">
        <f>B21</f>
        <v>1</v>
      </c>
      <c r="M21" s="36">
        <f>D21+M$19</f>
        <v>9.08</v>
      </c>
      <c r="N21" s="36">
        <f>E21+$N$19</f>
        <v>0.6</v>
      </c>
      <c r="O21" s="256">
        <f t="shared" ref="O21" si="1">M21*N21</f>
        <v>5.4479999999999995</v>
      </c>
      <c r="P21" s="254">
        <f t="shared" ref="P21" si="2">O21*L21</f>
        <v>5.4479999999999995</v>
      </c>
      <c r="Q21" s="247">
        <f t="shared" ref="Q21" si="3">Q$20*O21</f>
        <v>410362.92000000004</v>
      </c>
      <c r="R21" s="298">
        <f t="shared" ref="R21" si="4">Q21+R$20</f>
        <v>413362.92000000004</v>
      </c>
      <c r="S21" s="286">
        <f>M21*L21</f>
        <v>9.08</v>
      </c>
      <c r="T21" s="43">
        <f>N21*2*L21*2</f>
        <v>2.4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410362.92000000004</v>
      </c>
      <c r="I23" s="301"/>
      <c r="J23" s="260"/>
      <c r="K23" s="323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2.4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77968.954800000007</v>
      </c>
      <c r="I24" s="301"/>
      <c r="J24" s="260"/>
      <c r="K24" s="323"/>
      <c r="L24" s="44"/>
      <c r="M24" s="36">
        <f>SUM(M21:M21)</f>
        <v>9.08</v>
      </c>
      <c r="N24" s="12"/>
      <c r="O24" s="12"/>
      <c r="P24" s="248">
        <f>SUM(P21:P22)</f>
        <v>5.4479999999999995</v>
      </c>
      <c r="Q24" s="14"/>
      <c r="R24" s="12"/>
      <c r="S24" s="235">
        <f>SUM(S21:S23)</f>
        <v>9.08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488331.87480000005</v>
      </c>
      <c r="I25" s="301"/>
      <c r="J25" s="260"/>
      <c r="K25" s="323"/>
      <c r="L25" s="44"/>
      <c r="M25" s="36"/>
      <c r="N25" s="12"/>
      <c r="O25" s="12"/>
      <c r="P25" s="248">
        <f>P24</f>
        <v>5.4479999999999995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23"/>
      <c r="L26" s="44"/>
      <c r="M26" s="14"/>
      <c r="N26" s="12"/>
      <c r="O26" s="12"/>
      <c r="P26" s="36">
        <f>P25*20%</f>
        <v>1.0895999999999999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6.5375999999999994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6.5375999999999994</v>
      </c>
      <c r="N29" s="12">
        <v>3500</v>
      </c>
      <c r="O29" s="12">
        <f t="shared" ref="O29:O34" si="5">M29*N29</f>
        <v>22881.599999999999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1.8</v>
      </c>
      <c r="N30" s="12">
        <v>23500</v>
      </c>
      <c r="O30" s="12">
        <f t="shared" si="5"/>
        <v>42300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3</v>
      </c>
      <c r="N32" s="245">
        <v>38949</v>
      </c>
      <c r="O32" s="12">
        <f t="shared" si="5"/>
        <v>116847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9</v>
      </c>
      <c r="N34" s="12">
        <v>500</v>
      </c>
      <c r="O34" s="12">
        <f t="shared" si="5"/>
        <v>4500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186528.6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O35*2.2</f>
        <v>410362.92000000004</v>
      </c>
      <c r="P36" s="14" t="s">
        <v>138</v>
      </c>
      <c r="Q36" s="14"/>
      <c r="R36" s="37">
        <f>P27/R35</f>
        <v>1.7627264883520275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75323.590308370054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2.2000000000000002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4"/>
      <c r="H39" s="331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32"/>
      <c r="D40" s="279"/>
      <c r="E40" s="279"/>
      <c r="F40" s="278"/>
      <c r="G40" s="324"/>
      <c r="H40" s="331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4"/>
      <c r="H41" s="331"/>
      <c r="L41" s="12"/>
      <c r="U41" s="56"/>
      <c r="V41" s="56"/>
    </row>
    <row r="42" spans="2:24" ht="17.399999999999999" x14ac:dyDescent="0.35">
      <c r="D42" s="279"/>
      <c r="E42" s="279"/>
      <c r="F42" s="278"/>
      <c r="G42" s="324"/>
      <c r="H42" s="331"/>
      <c r="L42" s="245"/>
    </row>
    <row r="43" spans="2:24" ht="17.399999999999999" x14ac:dyDescent="0.35">
      <c r="D43" s="279"/>
      <c r="E43" s="279"/>
      <c r="F43" s="278"/>
      <c r="G43" s="324"/>
      <c r="H43" s="331"/>
      <c r="L43" s="245"/>
      <c r="T43" s="265"/>
    </row>
    <row r="44" spans="2:24" ht="17.399999999999999" x14ac:dyDescent="0.35">
      <c r="D44" s="279"/>
      <c r="E44" s="279"/>
      <c r="F44" s="278"/>
      <c r="G44" s="324"/>
      <c r="H44" s="331"/>
      <c r="L44" s="245"/>
    </row>
    <row r="45" spans="2:24" ht="15" customHeight="1" x14ac:dyDescent="0.35">
      <c r="D45" s="279"/>
      <c r="E45" s="279"/>
      <c r="F45" s="278"/>
      <c r="G45" s="324"/>
      <c r="H45" s="331"/>
    </row>
    <row r="46" spans="2:24" ht="17.399999999999999" x14ac:dyDescent="0.35">
      <c r="D46" s="279"/>
      <c r="E46" s="279"/>
      <c r="F46" s="278"/>
      <c r="G46" s="324"/>
      <c r="H46" s="331"/>
    </row>
    <row r="47" spans="2:24" ht="17.399999999999999" x14ac:dyDescent="0.35">
      <c r="D47" s="279"/>
      <c r="E47" s="279"/>
      <c r="F47" s="278"/>
      <c r="G47" s="324"/>
      <c r="H47" s="331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4"/>
      <c r="H48" s="331"/>
    </row>
    <row r="49" spans="4:20" ht="17.399999999999999" x14ac:dyDescent="0.35">
      <c r="D49" s="279"/>
      <c r="E49" s="279"/>
      <c r="F49" s="278"/>
      <c r="G49" s="324"/>
      <c r="H49" s="331"/>
      <c r="O49" s="51"/>
      <c r="P49" s="51"/>
    </row>
    <row r="50" spans="4:20" ht="17.399999999999999" x14ac:dyDescent="0.35">
      <c r="D50" s="279"/>
      <c r="E50" s="279"/>
      <c r="F50" s="278"/>
      <c r="G50" s="324"/>
      <c r="H50" s="331"/>
      <c r="S50" s="18"/>
      <c r="T50" s="18"/>
    </row>
    <row r="51" spans="4:20" ht="17.399999999999999" x14ac:dyDescent="0.35">
      <c r="D51" s="279"/>
      <c r="E51" s="279"/>
      <c r="F51" s="278"/>
      <c r="G51" s="324"/>
      <c r="H51" s="331"/>
      <c r="S51" s="18"/>
      <c r="T51" s="18"/>
    </row>
    <row r="52" spans="4:20" ht="17.399999999999999" x14ac:dyDescent="0.35">
      <c r="D52" s="279"/>
      <c r="E52" s="279"/>
      <c r="F52" s="278"/>
      <c r="G52" s="324"/>
      <c r="H52" s="331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45853</v>
      </c>
    </row>
    <row r="6" spans="1:31" ht="16.2" thickBot="1" x14ac:dyDescent="0.35">
      <c r="B6" s="137" t="s">
        <v>2</v>
      </c>
      <c r="C6" s="136" t="str">
        <f>'2229'!C10</f>
        <v>VALERIA LLORENTE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11524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-45684.350593236719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410362.92000000004</v>
      </c>
      <c r="E11" s="129">
        <f>D11*0.19</f>
        <v>77968.954800000007</v>
      </c>
      <c r="F11" s="128">
        <f>E11+D11</f>
        <v>488331.87480000005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60305.649406763281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85160.510275362321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42305.649406763281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325202.40972463775</v>
      </c>
      <c r="E13" s="218">
        <f>(D11/D12)-1</f>
        <v>3.818699637579809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33305.649406763281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-5694.3505932367189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162145.61156428987</v>
      </c>
      <c r="C15" s="210" t="s">
        <v>121</v>
      </c>
      <c r="D15" s="211">
        <v>0.6</v>
      </c>
      <c r="E15" s="212">
        <f>(100%+D15)*D12</f>
        <v>136256.81644057971</v>
      </c>
      <c r="F15" s="213">
        <f>E15-D12</f>
        <v>51096.306165217393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-5694.3505932367189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34305.649406763281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42300</v>
      </c>
      <c r="E19" s="120">
        <f>D19*0.19</f>
        <v>8037</v>
      </c>
      <c r="F19" s="117">
        <f>SUM(D19:E19)</f>
        <v>50337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22881.599999999999</v>
      </c>
      <c r="E20" s="118">
        <f>D20*0.19</f>
        <v>4347.5039999999999</v>
      </c>
      <c r="F20" s="117">
        <f>SUM(D20:E20)</f>
        <v>27229.103999999999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65181.599999999999</v>
      </c>
      <c r="E21" s="113">
        <f>SUM(E18:E20)</f>
        <v>12384.504000000001</v>
      </c>
      <c r="F21" s="112">
        <f>SUM(F18:F20)</f>
        <v>77566.103999999992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65584.450800000006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410362.92000000004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65181.599999999999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325202.40972463775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325202.40972463775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2025-07-15T18:45:43Z</cp:lastPrinted>
  <dcterms:created xsi:type="dcterms:W3CDTF">2013-03-18T13:35:42Z</dcterms:created>
  <dcterms:modified xsi:type="dcterms:W3CDTF">2025-07-17T02:28:38Z</dcterms:modified>
</cp:coreProperties>
</file>