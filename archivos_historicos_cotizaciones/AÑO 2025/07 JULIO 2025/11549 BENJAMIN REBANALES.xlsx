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2008401-24BA-4473-8353-610E173A5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M30" i="1"/>
  <c r="H22" i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l="1"/>
  <c r="O38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G21" i="1" s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<sst xmlns="http://schemas.openxmlformats.org/spreadsheetml/2006/main" count="230" uniqueCount="176">
  <si>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</si>
  <si>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</si>
  <si>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</si>
  <si>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</si>
  <si>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</si>
  <si>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</si>
  <si>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</si>
  <si>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</si>
  <si>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</si>
  <si>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</si>
  <si>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</si>
  <si>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</si>
  <si>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</si>
  <si>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</si>
  <si>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</si>
  <si>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</si>
  <si>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</si>
  <si>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</si>
  <si>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</si>
  <si>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</si>
  <si>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</si>
  <si>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</si>
  <si>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</si>
  <si>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</si>
  <si>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</si>
  <si>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</si>
  <si>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</si>
  <si>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</si>
  <si>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</si>
  <si>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</si>
  <si>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</si>
  <si>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</si>
  <si>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</si>
  <si>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</si>
  <si>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</si>
  <si>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</si>
  <si>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</si>
  <si>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</si>
  <si>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</si>
  <si>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</si>
  <si>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</si>
  <si>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</si>
  <si>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</si>
  <si>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</si>
  <si>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</si>
  <si>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</si>
  <si>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</si>
  <si>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</si>
  <si>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</si>
  <si>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</si>
  <si>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</si>
  <si>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</si>
  <si>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</si>
  <si>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</si>
  <si>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</si>
  <si>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</si>
  <si>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</si>
  <si>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</si>
  <si>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</si>
  <si>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</si>
  <si>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</si>
  <si>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</si>
  <si>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</si>
  <si>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</si>
  <si>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</si>
  <si>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</si>
  <si>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</si>
  <si>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</si>
  <si>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</si>
  <si>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</si>
  <si>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</si>
  <si>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</si>
  <si>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</si>
  <si>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</si>
  <si>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</si>
  <si>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</si>
  <si>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</si>
  <si>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</si>
  <si>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</si>
  <si>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</si>
  <si>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</si>
  <si>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</si>
  <si>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</si>
  <si>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</si>
  <si>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</si>
  <si>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</si>
  <si>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</si>
  <si>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</si>
  <si>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</si>
  <si>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</si>
  <si>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</si>
  <si>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</si>
  <si>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</si>
  <si>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</si>
  <si>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</si>
  <si>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</si>
  <si>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</si>
  <si>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</si>
  <si>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</si>
  <si>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</si>
  <si>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</si>
  <si>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</si>
  <si>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</si>
  <si>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</si>
  <si>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</si>
  <si>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</si>
  <si>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</si>
  <si>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</si>
  <si>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</si>
  <si>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</si>
  <si>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</si>
  <si>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</si>
  <si>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</si>
  <si>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</si>
  <si>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</si>
  <si>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</si>
  <si>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</si>
  <si>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</si>
  <si>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</si>
  <si>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</si>
  <si>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</si>
  <si>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</si>
  <si>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</si>
  <si>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</si>
  <si>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</si>
  <si>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</si>
  <si>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</si>
  <si>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</si>
  <si>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</si>
  <si>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</si>
  <si>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</si>
  <si>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</si>
  <si>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</si>
  <si>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</si>
  <si>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</si>
  <si>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</si>
  <si>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</si>
  <si>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</si>
  <si>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</si>
  <si>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</si>
  <si>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</si>
  <si>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</si>
  <si>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</si>
  <si>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</si>
  <si>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</si>
  <si>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</si>
  <si>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</si>
  <si>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</si>
  <si>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</si>
  <si>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</si>
  <si>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</si>
  <si>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</si>
  <si>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</si>
  <si>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</si>
  <si>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</si>
  <si>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</si>
  <si>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</si>
  <si>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</si>
  <si>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</si>
  <si>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</si>
  <si>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</si>
  <si>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</si>
  <si>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</si>
  <si>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</si>
  <si>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</si>
  <si>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</si>
  <si>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</si>
  <si>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</si>
  <si>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</si>
  <si>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</si>
  <si>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ENCHAPE RECTO 2 CARAS (PUERTA INTERIOR)</t>
  </si>
  <si>
    <t>NOCE NATURALE 1534 PR</t>
  </si>
  <si>
    <t>SERVICIO DE RETIRO MAS INSTALACION</t>
  </si>
  <si>
    <t>BENJAMIN REBANALES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</si>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</sst>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NO INCLUYE BISAGRAS</a:t>
          </a:r>
          <a:r>
            <a:rPr lang="es-CL" sz="1200" b="1" baseline="0"/>
            <a:t> NI MARCO DE PUERTA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49.5546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0" t="s">
        <v>125</v>
      </c>
      <c r="C8" s="321"/>
      <c r="D8" s="322">
        <v>11549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173</v>
      </c>
      <c r="D10" s="239"/>
      <c r="E10" s="239"/>
      <c r="F10" s="240" t="s">
        <v>167</v>
      </c>
      <c r="G10" s="271">
        <v>45868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49">
        <v>56979877883</v>
      </c>
      <c r="D15" s="313"/>
      <c r="F15" t="s">
        <v>168</v>
      </c>
      <c r="G15" s="314" t="s">
        <v>175</v>
      </c>
      <c r="H15" s="281"/>
    </row>
    <row r="16" spans="2:24" ht="16.8" x14ac:dyDescent="0.4">
      <c r="B16" s="297" t="s">
        <v>3</v>
      </c>
      <c r="C16" s="315"/>
      <c r="D16" s="308"/>
      <c r="E16" s="308"/>
      <c r="F16" s="316" t="s">
        <v>128</v>
      </c>
      <c r="G16" s="317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3" t="s">
        <v>7</v>
      </c>
      <c r="C20" s="324" t="s">
        <v>1</v>
      </c>
      <c r="D20" s="324" t="s">
        <v>130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135211.05943152457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12</v>
      </c>
      <c r="C21" s="330" t="s">
        <v>170</v>
      </c>
      <c r="D21" s="331">
        <v>2.5</v>
      </c>
      <c r="E21" s="331">
        <v>0.9</v>
      </c>
      <c r="F21" s="330" t="s">
        <v>171</v>
      </c>
      <c r="G21" s="332">
        <f>Q21</f>
        <v>313960.08000000007</v>
      </c>
      <c r="H21" s="333">
        <f>G21*B21</f>
        <v>3767520.9600000009</v>
      </c>
      <c r="I21" s="299"/>
      <c r="J21" s="260"/>
      <c r="K21" s="44"/>
      <c r="L21" s="44">
        <f>B21</f>
        <v>12</v>
      </c>
      <c r="M21" s="36">
        <f>D21+M$19</f>
        <v>2.58</v>
      </c>
      <c r="N21" s="36">
        <f>E21+$N$19</f>
        <v>0.9</v>
      </c>
      <c r="O21" s="256">
        <f t="shared" ref="O21" si="1">M21*N21</f>
        <v>2.3220000000000001</v>
      </c>
      <c r="P21" s="254">
        <f t="shared" ref="P21" si="2">O21*L21</f>
        <v>27.864000000000001</v>
      </c>
      <c r="Q21" s="247">
        <f t="shared" ref="Q21" si="3">Q$20*O21</f>
        <v>313960.08000000007</v>
      </c>
      <c r="R21" s="298">
        <f t="shared" ref="R21" si="4">Q21+R$20</f>
        <v>316960.08000000007</v>
      </c>
      <c r="S21" s="286">
        <f>M21*L21</f>
        <v>30.96</v>
      </c>
      <c r="T21" s="43">
        <f>N21*2*L21*2</f>
        <v>43.2</v>
      </c>
      <c r="U21" s="9"/>
      <c r="X21" s="4"/>
    </row>
    <row r="22" spans="1:25" ht="17.399999999999999" x14ac:dyDescent="0.3">
      <c r="B22" s="334">
        <v>1</v>
      </c>
      <c r="C22" s="334" t="s">
        <v>172</v>
      </c>
      <c r="D22" s="335"/>
      <c r="E22" s="335"/>
      <c r="F22" s="334"/>
      <c r="G22" s="336">
        <v>250000</v>
      </c>
      <c r="H22" s="336">
        <f>G22*B22</f>
        <v>250000</v>
      </c>
      <c r="I22" s="299"/>
      <c r="J22" s="260"/>
      <c r="K22" s="44"/>
      <c r="L22" s="44"/>
      <c r="M22" s="36"/>
      <c r="N22" s="36"/>
      <c r="O22" s="256"/>
      <c r="P22" s="254"/>
      <c r="Q22" s="247"/>
      <c r="R22" s="298"/>
      <c r="S22" s="286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300"/>
      <c r="I23" s="302"/>
      <c r="J23" s="229"/>
      <c r="K23" s="44"/>
      <c r="L23" s="44"/>
      <c r="M23" s="36"/>
      <c r="N23" s="36"/>
      <c r="O23" s="256"/>
      <c r="P23" s="254"/>
      <c r="Q23" s="247"/>
      <c r="R23" s="253"/>
      <c r="S23" s="286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3" t="s">
        <v>28</v>
      </c>
      <c r="H24" s="304">
        <f>SUM(H21:H23)</f>
        <v>4017520.9600000009</v>
      </c>
      <c r="I24" s="301"/>
      <c r="J24" s="260"/>
      <c r="K24" s="318"/>
      <c r="L24" s="44"/>
      <c r="M24" s="36"/>
      <c r="N24" s="36"/>
      <c r="O24" s="256"/>
      <c r="P24" s="254"/>
      <c r="Q24" s="247"/>
      <c r="R24" s="253"/>
      <c r="S24" s="286"/>
      <c r="T24" s="43">
        <f>SUM(T21:T23)</f>
        <v>43.2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5" t="s">
        <v>51</v>
      </c>
      <c r="H25" s="283">
        <f>H24*19%</f>
        <v>763328.98240000021</v>
      </c>
      <c r="I25" s="301"/>
      <c r="J25" s="260"/>
      <c r="K25" s="318"/>
      <c r="L25" s="44"/>
      <c r="M25" s="36">
        <f>SUM(M21:M21)</f>
        <v>2.58</v>
      </c>
      <c r="N25" s="12"/>
      <c r="O25" s="12"/>
      <c r="P25" s="248">
        <f>SUM(P21:P23)</f>
        <v>27.864000000000001</v>
      </c>
      <c r="Q25" s="14"/>
      <c r="R25" s="12"/>
      <c r="S25" s="235">
        <f>SUM(S21:S24)</f>
        <v>30.96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284">
        <f>H24+H25</f>
        <v>4780849.942400001</v>
      </c>
      <c r="I26" s="301"/>
      <c r="J26" s="260"/>
      <c r="K26" s="318"/>
      <c r="L26" s="44"/>
      <c r="M26" s="36"/>
      <c r="N26" s="12"/>
      <c r="O26" s="12"/>
      <c r="P26" s="248">
        <f>P25</f>
        <v>27.864000000000001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8"/>
      <c r="L27" s="44"/>
      <c r="M27" s="14"/>
      <c r="N27" s="12"/>
      <c r="O27" s="12"/>
      <c r="P27" s="36">
        <f>P26*20%</f>
        <v>5.5728000000000009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328"/>
      <c r="K28" s="44"/>
      <c r="L28" s="44"/>
      <c r="M28" s="14"/>
      <c r="N28" s="12"/>
      <c r="O28" s="12"/>
      <c r="P28" s="43">
        <f>P26+P27</f>
        <v>33.436800000000005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90" t="s">
        <v>21</v>
      </c>
      <c r="V29" s="287" t="s">
        <v>149</v>
      </c>
      <c r="W29" s="291">
        <v>44971</v>
      </c>
      <c r="X29" s="292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P28*2</f>
        <v>66.87360000000001</v>
      </c>
      <c r="N30" s="12">
        <v>3500</v>
      </c>
      <c r="O30" s="12">
        <f t="shared" ref="O30:O35" si="5">M30*N30</f>
        <v>234057.60000000003</v>
      </c>
      <c r="P30" s="14" t="s">
        <v>21</v>
      </c>
      <c r="Q30" s="14"/>
      <c r="R30" s="14"/>
      <c r="S30" s="237"/>
      <c r="T30" s="14"/>
      <c r="U30" s="290" t="s">
        <v>150</v>
      </c>
      <c r="V30" s="287">
        <v>3625</v>
      </c>
      <c r="W30" s="56" t="s">
        <v>151</v>
      </c>
      <c r="X30" s="292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/>
      <c r="N31" s="12">
        <v>23500</v>
      </c>
      <c r="O31" s="12">
        <f t="shared" si="5"/>
        <v>0</v>
      </c>
      <c r="P31" s="36" t="s">
        <v>169</v>
      </c>
      <c r="Q31" s="39"/>
      <c r="R31" s="14"/>
      <c r="S31" s="236"/>
      <c r="T31" s="14"/>
      <c r="U31" s="290"/>
      <c r="V31" s="56">
        <v>906.25</v>
      </c>
      <c r="W31" s="56" t="s">
        <v>152</v>
      </c>
      <c r="X31" s="292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2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/>
      <c r="K33" s="228"/>
      <c r="L33" s="245"/>
      <c r="M33" s="14">
        <v>24</v>
      </c>
      <c r="N33" s="245">
        <v>65000</v>
      </c>
      <c r="O33" s="12">
        <f t="shared" si="5"/>
        <v>1560000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2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/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>
        <v>77210</v>
      </c>
      <c r="K35" s="255"/>
      <c r="L35" s="245"/>
      <c r="M35" s="261"/>
      <c r="N35" s="12">
        <v>1000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J36" s="282">
        <f>J35/1.19</f>
        <v>64882.352941176476</v>
      </c>
      <c r="K36" s="255"/>
      <c r="L36" s="245"/>
      <c r="M36" s="14"/>
      <c r="N36" s="12"/>
      <c r="O36" s="12">
        <f>SUM(O30:O35)</f>
        <v>1794057.6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3767520.9600000004</v>
      </c>
      <c r="P37" s="14" t="s">
        <v>138</v>
      </c>
      <c r="Q37" s="14"/>
      <c r="R37" s="37">
        <f>P28/R36</f>
        <v>9.0155306298533233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135211.05943152457</v>
      </c>
      <c r="P38" s="42" t="s">
        <v>24</v>
      </c>
      <c r="Q38" s="14"/>
      <c r="R38" s="14"/>
      <c r="S38"/>
      <c r="T38" s="234"/>
      <c r="U38" s="56" t="s">
        <v>155</v>
      </c>
      <c r="V38" s="287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8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9"/>
      <c r="H40" s="326"/>
      <c r="L40" s="12"/>
      <c r="T40" s="234"/>
      <c r="U40" s="56" t="s">
        <v>158</v>
      </c>
      <c r="V40" s="289">
        <v>395.37</v>
      </c>
    </row>
    <row r="41" spans="2:24" s="226" customFormat="1" ht="17.399999999999999" x14ac:dyDescent="0.35">
      <c r="B41"/>
      <c r="C41" s="327"/>
      <c r="D41" s="279"/>
      <c r="E41" s="279"/>
      <c r="F41" s="278"/>
      <c r="G41" s="319"/>
      <c r="H41" s="326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9"/>
      <c r="H42" s="326"/>
      <c r="L42" s="12"/>
      <c r="U42" s="56"/>
      <c r="V42" s="56"/>
    </row>
    <row r="43" spans="2:24" ht="17.399999999999999" x14ac:dyDescent="0.35">
      <c r="D43" s="279"/>
      <c r="E43" s="279"/>
      <c r="F43" s="278"/>
      <c r="G43" s="319"/>
      <c r="H43" s="326"/>
      <c r="L43" s="245"/>
    </row>
    <row r="44" spans="2:24" ht="17.399999999999999" x14ac:dyDescent="0.35">
      <c r="D44" s="279"/>
      <c r="E44" s="279"/>
      <c r="F44" s="278"/>
      <c r="G44" s="319"/>
      <c r="H44" s="326"/>
      <c r="L44" s="245"/>
      <c r="T44" s="265"/>
    </row>
    <row r="45" spans="2:24" ht="17.399999999999999" x14ac:dyDescent="0.35">
      <c r="D45" s="279"/>
      <c r="E45" s="279"/>
      <c r="F45" s="278"/>
      <c r="G45" s="319"/>
      <c r="H45" s="326"/>
      <c r="L45" s="245"/>
    </row>
    <row r="46" spans="2:24" ht="15" customHeight="1" x14ac:dyDescent="0.35">
      <c r="D46" s="279"/>
      <c r="E46" s="279"/>
      <c r="F46" s="278"/>
      <c r="G46" s="319"/>
      <c r="H46" s="326"/>
    </row>
    <row r="47" spans="2:24" ht="17.399999999999999" x14ac:dyDescent="0.35">
      <c r="D47" s="279"/>
      <c r="E47" s="279"/>
      <c r="F47" s="278"/>
      <c r="G47" s="319"/>
      <c r="H47" s="326"/>
    </row>
    <row r="48" spans="2:24" ht="17.399999999999999" x14ac:dyDescent="0.35">
      <c r="D48" s="279"/>
      <c r="E48" s="279"/>
      <c r="F48" s="278"/>
      <c r="G48" s="319"/>
      <c r="H48" s="326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9"/>
      <c r="H49" s="326"/>
    </row>
    <row r="50" spans="4:20" ht="17.399999999999999" x14ac:dyDescent="0.35">
      <c r="D50" s="279"/>
      <c r="E50" s="279"/>
      <c r="F50" s="278"/>
      <c r="G50" s="319"/>
      <c r="H50" s="326"/>
      <c r="O50" s="51"/>
      <c r="P50" s="51"/>
    </row>
    <row r="51" spans="4:20" ht="17.399999999999999" x14ac:dyDescent="0.35">
      <c r="D51" s="279"/>
      <c r="E51" s="279"/>
      <c r="F51" s="278"/>
      <c r="G51" s="319"/>
      <c r="H51" s="326"/>
      <c r="S51" s="18"/>
      <c r="T51" s="18"/>
    </row>
    <row r="52" spans="4:20" ht="17.399999999999999" x14ac:dyDescent="0.35">
      <c r="D52" s="279"/>
      <c r="E52" s="279"/>
      <c r="F52" s="278"/>
      <c r="G52" s="319"/>
      <c r="H52" s="326"/>
      <c r="S52" s="18"/>
      <c r="T52" s="18"/>
    </row>
    <row r="53" spans="4:20" ht="17.399999999999999" x14ac:dyDescent="0.35">
      <c r="D53" s="279"/>
      <c r="E53" s="279"/>
      <c r="F53" s="278"/>
      <c r="G53" s="319"/>
      <c r="H53" s="326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45868</v>
      </c>
    </row>
    <row r="6" spans="1:31" ht="16.2" thickBot="1" x14ac:dyDescent="0.35">
      <c r="B6" s="137" t="s">
        <v>2</v>
      </c>
      <c r="C6" s="136" t="str">
        <f>'2229'!C10</f>
        <v>BENJAMIN REBANALES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>
        <f>'2229'!D8</f>
        <v>11549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-601843.75725990348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4017520.9600000009</v>
      </c>
      <c r="E11" s="129">
        <f>D11*0.19</f>
        <v>763328.98240000021</v>
      </c>
      <c r="F11" s="128">
        <f>E11+D11</f>
        <v>4780849.942400001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-495853.75725990348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254036.51027536235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-513853.75725990348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3763484.4497246384</v>
      </c>
      <c r="E13" s="218">
        <f>(D11/D12)-1</f>
        <v>14.814738423407004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-522853.75725990348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-561853.75725990348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483685.51556428993</v>
      </c>
      <c r="C15" s="210" t="s">
        <v>121</v>
      </c>
      <c r="D15" s="211">
        <v>0.6</v>
      </c>
      <c r="E15" s="212">
        <f>(100%+D15)*D12</f>
        <v>406458.41644057981</v>
      </c>
      <c r="F15" s="213">
        <f>E15-D12</f>
        <v>152421.90616521746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-561853.75725990348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-521853.75725990348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0</v>
      </c>
      <c r="E19" s="120">
        <f>D19*0.19</f>
        <v>0</v>
      </c>
      <c r="F19" s="117">
        <f>SUM(D19:E19)</f>
        <v>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234057.60000000003</v>
      </c>
      <c r="E20" s="118">
        <f>D20*0.19</f>
        <v>44470.94400000001</v>
      </c>
      <c r="F20" s="117">
        <f>SUM(D20:E20)</f>
        <v>278528.54400000005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234057.60000000003</v>
      </c>
      <c r="E21" s="113">
        <f>SUM(E18:E20)</f>
        <v>44470.94400000001</v>
      </c>
      <c r="F21" s="112">
        <f>SUM(F18:F20)</f>
        <v>278528.54400000005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718858.03840000019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4017520.9600000009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234057.60000000003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3763484.4497246384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3763484.4497246384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2025-07-30T13:50:53Z</cp:lastPrinted>
  <dcterms:created xsi:type="dcterms:W3CDTF">2013-03-18T13:35:42Z</dcterms:created>
  <dcterms:modified xsi:type="dcterms:W3CDTF">2025-07-30T22:15:59Z</dcterms:modified>
</cp:coreProperties>
</file>