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5149E2CD-4DF4-47DE-A16D-F6A30C9E3B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K29" i="1"/>
  <c r="M27" i="1"/>
  <c r="H24" i="1"/>
  <c r="L24" i="1"/>
  <c r="H23" i="1"/>
  <c r="H22" i="1"/>
  <c r="N23" i="1"/>
  <c r="M23" i="1"/>
  <c r="S23" i="1" s="1"/>
  <c r="L23" i="1"/>
  <c r="N22" i="1"/>
  <c r="M22" i="1"/>
  <c r="L22" i="1"/>
  <c r="J37" i="1"/>
  <c r="L21" i="1"/>
  <c r="N21" i="1"/>
  <c r="S22" i="1" l="1"/>
  <c r="O23" i="1"/>
  <c r="O22" i="1"/>
  <c r="P22" i="1" s="1"/>
  <c r="P23" i="1"/>
  <c r="P27" i="1" s="1"/>
  <c r="M21" i="1"/>
  <c r="S21" i="1" l="1"/>
  <c r="S27" i="1" s="1"/>
  <c r="T21" i="1"/>
  <c r="T26" i="1" s="1"/>
  <c r="O21" i="1"/>
  <c r="P21" i="1" s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O40" i="1" l="1"/>
  <c r="D20" i="3"/>
  <c r="E20" i="3" s="1"/>
  <c r="E21" i="3" s="1"/>
  <c r="Q20" i="1" l="1"/>
  <c r="D21" i="3"/>
  <c r="M43" i="3" s="1"/>
  <c r="D12" i="3" s="1"/>
  <c r="F20" i="3"/>
  <c r="F21" i="3" s="1"/>
  <c r="Q23" i="1" l="1"/>
  <c r="R23" i="1" s="1"/>
  <c r="Q22" i="1"/>
  <c r="R22" i="1" s="1"/>
  <c r="O41" i="1"/>
  <c r="E15" i="3"/>
  <c r="Q21" i="1" l="1"/>
  <c r="F15" i="3"/>
  <c r="R21" i="1" l="1"/>
  <c r="H21" i="1" l="1"/>
  <c r="H27" i="1" s="1"/>
  <c r="D11" i="3" l="1"/>
  <c r="X9" i="3" s="1"/>
  <c r="X15" i="3" s="1"/>
  <c r="H28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<sst xmlns="http://schemas.openxmlformats.org/spreadsheetml/2006/main" count="236" uniqueCount="177">
  <si>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</si>
  <si>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</si>
  <si>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</si>
  <si>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</si>
  <si>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</si>
  <si>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</si>
  <si>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</si>
  <si>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</si>
  <si>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</si>
  <si>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</si>
  <si>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</si>
  <si>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</si>
  <si>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</si>
  <si>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</si>
  <si>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</si>
  <si>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</si>
  <si>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</si>
  <si>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</si>
  <si>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</si>
  <si>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</si>
  <si>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</si>
  <si>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</si>
  <si>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</si>
  <si>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</si>
  <si>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</si>
  <si>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</si>
  <si>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</si>
  <si>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</si>
  <si>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</si>
  <si>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</si>
  <si>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</si>
  <si>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</si>
  <si>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</si>
  <si>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</si>
  <si>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</si>
  <si>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</si>
  <si>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</si>
  <si>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</si>
  <si>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</si>
  <si>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</si>
  <si>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</si>
  <si>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</si>
  <si>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</si>
  <si>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</si>
  <si>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</si>
  <si>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</si>
  <si>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</si>
  <si>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</si>
  <si>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</si>
  <si>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</si>
  <si>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</si>
  <si>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</si>
  <si>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</si>
  <si>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</si>
  <si>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</si>
  <si>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</si>
  <si>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</si>
  <si>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</si>
  <si>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</si>
  <si>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</si>
  <si>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</si>
  <si>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</si>
  <si>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</si>
  <si>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</si>
  <si>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</si>
  <si>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</si>
  <si>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</si>
  <si>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</si>
  <si>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</si>
  <si>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</si>
  <si>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</si>
  <si>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</si>
  <si>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</si>
  <si>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</si>
  <si>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</si>
  <si>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</si>
  <si>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</si>
  <si>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</si>
  <si>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</si>
  <si>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</si>
  <si>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</si>
  <si>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</si>
  <si>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</si>
  <si>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</si>
  <si>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</si>
  <si>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</si>
  <si>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</si>
  <si>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</si>
  <si>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</si>
  <si>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</si>
  <si>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</si>
  <si>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</si>
  <si>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</si>
  <si>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</si>
  <si>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</si>
  <si>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</si>
  <si>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</si>
  <si>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</si>
  <si>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</si>
  <si>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</si>
  <si>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</si>
  <si>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</si>
  <si>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</si>
  <si>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</si>
  <si>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</si>
  <si>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</si>
  <si>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</si>
  <si>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</si>
  <si>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</si>
  <si>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</si>
  <si>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</si>
  <si>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</si>
  <si>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</si>
  <si>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</si>
  <si>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</si>
  <si>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</si>
  <si>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</si>
  <si>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</si>
  <si>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</si>
  <si>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</si>
  <si>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</si>
  <si>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</si>
  <si>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</si>
  <si>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</si>
  <si>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</si>
  <si>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</si>
  <si>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</si>
  <si>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</si>
  <si>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</si>
  <si>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</si>
  <si>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</si>
  <si>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</si>
  <si>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</si>
  <si>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</si>
  <si>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</si>
  <si>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</si>
  <si>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</si>
  <si>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</si>
  <si>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</si>
  <si>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</si>
  <si>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</si>
  <si>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</si>
  <si>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</si>
  <si>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</si>
  <si>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</si>
  <si>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</si>
  <si>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</si>
  <si>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</si>
  <si>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</si>
  <si>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</si>
  <si>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</si>
  <si>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</si>
  <si>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</si>
  <si>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</si>
  <si>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</si>
  <si>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</si>
  <si>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</si>
  <si>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</si>
  <si>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</si>
  <si>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</si>
  <si>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</si>
  <si>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</si>
  <si>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</si>
  <si>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</si>
  <si>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</si>
  <si>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</si>
  <si>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</si>
  <si>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</si>
  <si>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</si>
  <si>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SI</t>
  </si>
  <si>
    <t>8 DIAS HABILES</t>
  </si>
  <si>
    <t>N° 11503</t>
  </si>
  <si>
    <t>DAVID PALACIOS</t>
  </si>
  <si>
    <t>569 3174 2220</t>
  </si>
  <si>
    <t>CUB C/R FRENTE 90°</t>
  </si>
  <si>
    <t>SERVICIO DE CORTE 45°</t>
  </si>
  <si>
    <t>INK 21032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</si>
</sst>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9" fontId="0" fillId="0" borderId="0" xfId="0" applyNumberFormat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NO INCLUYEN TERFMINACIONES Y SE ENTREGAN CON SOBRE MEDIDA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zoomScale="93" zoomScaleNormal="93" workbookViewId="0">
      <selection activeCell="K22" sqref="K22"/>
    </sheetView>
  </sheetViews>
  <sheetFormatPr baseColWidth="10" defaultRowHeight="14.4" x14ac:dyDescent="0.3"/>
  <cols>
    <col min="1" max="1" width="6" customWidth="1"/>
    <col min="2" max="2" width="10.5546875" customWidth="1"/>
    <col min="3" max="3" width="54.664062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86" t="s">
        <v>125</v>
      </c>
      <c r="C8" s="287"/>
      <c r="D8" s="314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9" t="s">
        <v>159</v>
      </c>
      <c r="C10" s="318" t="s">
        <v>172</v>
      </c>
      <c r="D10" s="243"/>
      <c r="E10" s="243"/>
      <c r="F10" s="244" t="s">
        <v>167</v>
      </c>
      <c r="G10" s="275">
        <v>45842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4" t="s">
        <v>12</v>
      </c>
      <c r="C11" s="319"/>
      <c r="F11" t="s">
        <v>166</v>
      </c>
      <c r="G11" s="320" t="s">
        <v>170</v>
      </c>
      <c r="H11" s="285"/>
      <c r="Q11" s="19"/>
      <c r="R11" s="25" t="s">
        <v>18</v>
      </c>
      <c r="S11" s="19"/>
    </row>
    <row r="12" spans="2:24" x14ac:dyDescent="0.3">
      <c r="B12" s="246" t="s">
        <v>142</v>
      </c>
      <c r="C12" s="321"/>
      <c r="D12" s="322"/>
      <c r="E12" s="322"/>
      <c r="F12" s="322" t="s">
        <v>126</v>
      </c>
      <c r="G12" s="323" t="s">
        <v>133</v>
      </c>
      <c r="H12" s="247"/>
      <c r="Q12" s="19"/>
      <c r="R12" s="25"/>
      <c r="S12" s="19"/>
    </row>
    <row r="13" spans="2:24" x14ac:dyDescent="0.3">
      <c r="B13" s="284" t="s">
        <v>143</v>
      </c>
      <c r="F13" t="s">
        <v>165</v>
      </c>
      <c r="G13" s="324" t="s">
        <v>133</v>
      </c>
      <c r="H13" s="285"/>
      <c r="Q13" s="19"/>
      <c r="R13" s="25"/>
      <c r="S13" s="19"/>
    </row>
    <row r="14" spans="2:24" x14ac:dyDescent="0.3">
      <c r="B14" s="246" t="s">
        <v>137</v>
      </c>
      <c r="C14" s="325"/>
      <c r="D14" s="322"/>
      <c r="E14" s="322"/>
      <c r="F14" s="322" t="s">
        <v>134</v>
      </c>
      <c r="G14" s="326" t="s">
        <v>169</v>
      </c>
      <c r="H14" s="247"/>
      <c r="K14" s="29"/>
      <c r="Q14" s="20"/>
      <c r="R14" s="26" t="s">
        <v>17</v>
      </c>
      <c r="S14" s="20"/>
    </row>
    <row r="15" spans="2:24" ht="15.6" x14ac:dyDescent="0.3">
      <c r="B15" s="284" t="s">
        <v>4</v>
      </c>
      <c r="C15" s="327" t="s">
        <v>173</v>
      </c>
      <c r="D15" s="328"/>
      <c r="F15" t="s">
        <v>168</v>
      </c>
      <c r="G15" s="329" t="s">
        <v>169</v>
      </c>
      <c r="H15" s="285"/>
    </row>
    <row r="16" spans="2:24" ht="16.8" x14ac:dyDescent="0.4">
      <c r="B16" s="303" t="s">
        <v>3</v>
      </c>
      <c r="C16" s="330"/>
      <c r="D16" s="322"/>
      <c r="E16" s="322"/>
      <c r="F16" s="331" t="s">
        <v>128</v>
      </c>
      <c r="G16" s="332" t="s">
        <v>160</v>
      </c>
      <c r="H16" s="247"/>
    </row>
    <row r="17" spans="2:25" ht="15" thickBot="1" x14ac:dyDescent="0.35">
      <c r="B17" s="300" t="s">
        <v>13</v>
      </c>
      <c r="C17" s="301" t="s">
        <v>163</v>
      </c>
      <c r="D17" s="302"/>
      <c r="E17" s="119"/>
      <c r="F17" s="333" t="s">
        <v>162</v>
      </c>
      <c r="G17" s="333"/>
      <c r="H17" s="334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11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 t="shared" ref="N20" si="0">E20</f>
        <v>ANCHO</v>
      </c>
      <c r="O20" s="260" t="s">
        <v>131</v>
      </c>
      <c r="P20" s="258" t="s">
        <v>16</v>
      </c>
      <c r="Q20" s="251">
        <f>O40</f>
        <v>71141.766996106628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315">
        <v>1</v>
      </c>
      <c r="C21" s="315" t="s">
        <v>174</v>
      </c>
      <c r="D21" s="316">
        <v>1.1299999999999999</v>
      </c>
      <c r="E21" s="316">
        <v>0.53</v>
      </c>
      <c r="F21" s="315" t="s">
        <v>176</v>
      </c>
      <c r="G21" s="317">
        <v>48623</v>
      </c>
      <c r="H21" s="317">
        <f>G21*B21</f>
        <v>48623</v>
      </c>
      <c r="I21" s="305"/>
      <c r="J21" s="264"/>
      <c r="K21" s="47"/>
      <c r="L21" s="47">
        <f>B21</f>
        <v>1</v>
      </c>
      <c r="M21" s="39">
        <f>D21+M$19</f>
        <v>1.21</v>
      </c>
      <c r="N21" s="39">
        <f>E21+$N$19</f>
        <v>0.53</v>
      </c>
      <c r="O21" s="260">
        <f t="shared" ref="O21" si="1">M21*N21</f>
        <v>0.64129999999999998</v>
      </c>
      <c r="P21" s="258">
        <f t="shared" ref="P21" si="2">O21*L21</f>
        <v>0.64129999999999998</v>
      </c>
      <c r="Q21" s="251">
        <f t="shared" ref="Q21" si="3">Q$20*O21</f>
        <v>45623.215174603181</v>
      </c>
      <c r="R21" s="304">
        <f t="shared" ref="R21" si="4">Q21+R$20</f>
        <v>48623.215174603181</v>
      </c>
      <c r="S21" s="292">
        <f>M21*L21</f>
        <v>1.21</v>
      </c>
      <c r="T21" s="46">
        <f>N21*2*L21*2</f>
        <v>2.12</v>
      </c>
      <c r="U21" s="9"/>
      <c r="X21" s="4"/>
    </row>
    <row r="22" spans="2:25" ht="17.399999999999999" x14ac:dyDescent="0.3">
      <c r="B22" s="315">
        <v>1</v>
      </c>
      <c r="C22" s="315" t="s">
        <v>174</v>
      </c>
      <c r="D22" s="316">
        <v>1.1399999999999999</v>
      </c>
      <c r="E22" s="316">
        <v>0.53</v>
      </c>
      <c r="F22" s="315" t="s">
        <v>176</v>
      </c>
      <c r="G22" s="317">
        <v>49000</v>
      </c>
      <c r="H22" s="317">
        <f t="shared" ref="H22:H24" si="5">G22*B22</f>
        <v>49000</v>
      </c>
      <c r="I22" s="305"/>
      <c r="J22" s="264"/>
      <c r="K22" s="47"/>
      <c r="L22" s="47">
        <f t="shared" ref="L22:L24" si="6">B22</f>
        <v>1</v>
      </c>
      <c r="M22" s="39">
        <f t="shared" ref="M22:M23" si="7">D22+M$19</f>
        <v>1.22</v>
      </c>
      <c r="N22" s="39">
        <f t="shared" ref="N22:N23" si="8">E22+$N$19</f>
        <v>0.53</v>
      </c>
      <c r="O22" s="260">
        <f t="shared" ref="O22:O23" si="9">M22*N22</f>
        <v>0.64660000000000006</v>
      </c>
      <c r="P22" s="258">
        <f t="shared" ref="P22:P23" si="10">O22*L22</f>
        <v>0.64660000000000006</v>
      </c>
      <c r="Q22" s="251">
        <f t="shared" ref="Q22:Q23" si="11">Q$20*O22</f>
        <v>46000.266539682547</v>
      </c>
      <c r="R22" s="304">
        <f t="shared" ref="R22:R23" si="12">Q22+R$20</f>
        <v>49000.266539682547</v>
      </c>
      <c r="S22" s="292">
        <f t="shared" ref="S22:S23" si="13">M22*L22</f>
        <v>1.22</v>
      </c>
      <c r="T22" s="46"/>
      <c r="U22" s="9"/>
      <c r="X22" s="4"/>
    </row>
    <row r="23" spans="2:25" ht="17.399999999999999" x14ac:dyDescent="0.3">
      <c r="B23" s="315">
        <v>1</v>
      </c>
      <c r="C23" s="315" t="s">
        <v>174</v>
      </c>
      <c r="D23" s="316">
        <v>0.64</v>
      </c>
      <c r="E23" s="316">
        <v>0.53</v>
      </c>
      <c r="F23" s="315" t="s">
        <v>176</v>
      </c>
      <c r="G23" s="317">
        <v>30148</v>
      </c>
      <c r="H23" s="317">
        <f t="shared" si="5"/>
        <v>30148</v>
      </c>
      <c r="I23" s="305"/>
      <c r="J23" s="264"/>
      <c r="K23" s="47"/>
      <c r="L23" s="47">
        <f t="shared" si="6"/>
        <v>1</v>
      </c>
      <c r="M23" s="39">
        <f t="shared" si="7"/>
        <v>0.72</v>
      </c>
      <c r="N23" s="39">
        <f t="shared" si="8"/>
        <v>0.53</v>
      </c>
      <c r="O23" s="260">
        <f t="shared" si="9"/>
        <v>0.38159999999999999</v>
      </c>
      <c r="P23" s="258">
        <f t="shared" si="10"/>
        <v>0.38159999999999999</v>
      </c>
      <c r="Q23" s="251">
        <f t="shared" si="11"/>
        <v>27147.69828571429</v>
      </c>
      <c r="R23" s="304">
        <f t="shared" si="12"/>
        <v>30147.69828571429</v>
      </c>
      <c r="S23" s="292">
        <f t="shared" si="13"/>
        <v>0.72</v>
      </c>
      <c r="T23" s="46"/>
      <c r="U23" s="9"/>
      <c r="X23" s="4"/>
    </row>
    <row r="24" spans="2:25" ht="17.399999999999999" x14ac:dyDescent="0.3">
      <c r="B24" s="315">
        <v>4</v>
      </c>
      <c r="C24" s="315" t="s">
        <v>175</v>
      </c>
      <c r="D24" s="316"/>
      <c r="E24" s="316"/>
      <c r="F24" s="315"/>
      <c r="G24" s="317">
        <v>20000</v>
      </c>
      <c r="H24" s="317">
        <f t="shared" si="5"/>
        <v>80000</v>
      </c>
      <c r="I24" s="305"/>
      <c r="J24" s="264"/>
      <c r="K24" s="47"/>
      <c r="L24" s="47">
        <f t="shared" si="6"/>
        <v>4</v>
      </c>
      <c r="M24" s="39"/>
      <c r="N24" s="39"/>
      <c r="O24" s="260"/>
      <c r="P24" s="258"/>
      <c r="Q24" s="251"/>
      <c r="R24" s="304"/>
      <c r="S24" s="292"/>
      <c r="T24" s="46"/>
      <c r="U24" s="9"/>
      <c r="X24" s="4"/>
    </row>
    <row r="25" spans="2:25" ht="18" thickBot="1" x14ac:dyDescent="0.35">
      <c r="B25" s="282"/>
      <c r="C25" s="282"/>
      <c r="D25" s="283"/>
      <c r="E25" s="283"/>
      <c r="F25" s="282"/>
      <c r="G25" s="264"/>
      <c r="H25" s="306"/>
      <c r="I25" s="308"/>
      <c r="J25" s="233"/>
      <c r="K25" s="47"/>
      <c r="L25" s="47"/>
      <c r="M25" s="39"/>
      <c r="N25" s="39"/>
      <c r="O25" s="260"/>
      <c r="P25" s="258"/>
      <c r="Q25" s="251"/>
      <c r="R25" s="257"/>
      <c r="S25" s="292"/>
      <c r="T25" s="14"/>
      <c r="U25" s="9"/>
      <c r="X25" s="4"/>
    </row>
    <row r="26" spans="2:25" ht="17.399999999999999" x14ac:dyDescent="0.3">
      <c r="B26" s="282"/>
      <c r="C26" s="282"/>
      <c r="D26" s="283"/>
      <c r="E26" s="283"/>
      <c r="F26" s="282"/>
      <c r="G26" s="309" t="s">
        <v>28</v>
      </c>
      <c r="H26" s="310">
        <f>SUM(H21:H25)</f>
        <v>207771</v>
      </c>
      <c r="I26" s="307"/>
      <c r="J26" s="264"/>
      <c r="K26" s="345">
        <v>1.1299999999999999</v>
      </c>
      <c r="L26" s="47"/>
      <c r="M26" s="39"/>
      <c r="N26" s="39"/>
      <c r="O26" s="260"/>
      <c r="P26" s="258"/>
      <c r="Q26" s="251"/>
      <c r="R26" s="257"/>
      <c r="S26" s="292"/>
      <c r="T26" s="46">
        <f>SUM(T21:T25)</f>
        <v>2.12</v>
      </c>
      <c r="U26" s="9"/>
      <c r="X26" s="4"/>
    </row>
    <row r="27" spans="2:25" ht="17.399999999999999" x14ac:dyDescent="0.3">
      <c r="B27" s="276"/>
      <c r="C27" s="279"/>
      <c r="D27" s="280"/>
      <c r="E27" s="280"/>
      <c r="F27" s="281"/>
      <c r="G27" s="291" t="s">
        <v>51</v>
      </c>
      <c r="H27" s="289">
        <f>H26*19%</f>
        <v>39476.49</v>
      </c>
      <c r="I27" s="307"/>
      <c r="J27" s="264"/>
      <c r="K27" s="345">
        <v>1.1399999999999999</v>
      </c>
      <c r="L27" s="47"/>
      <c r="M27" s="39">
        <f>SUM(M21:M23)</f>
        <v>3.1499999999999995</v>
      </c>
      <c r="N27" s="12"/>
      <c r="O27" s="12"/>
      <c r="P27" s="252">
        <f>SUM(P21:P25)</f>
        <v>1.6695</v>
      </c>
      <c r="Q27" s="14"/>
      <c r="R27" s="12"/>
      <c r="S27" s="239">
        <f>SUM(S21:S26)</f>
        <v>3.1499999999999995</v>
      </c>
      <c r="T27" s="46"/>
      <c r="U27" s="9"/>
      <c r="X27" s="4"/>
    </row>
    <row r="28" spans="2:25" ht="18" thickBot="1" x14ac:dyDescent="0.35">
      <c r="B28" s="274"/>
      <c r="C28" s="278"/>
      <c r="D28" s="271"/>
      <c r="E28" s="271"/>
      <c r="F28" s="272"/>
      <c r="G28" s="277" t="s">
        <v>6</v>
      </c>
      <c r="H28" s="290">
        <f>H26+H27</f>
        <v>247247.49</v>
      </c>
      <c r="I28" s="307"/>
      <c r="J28" s="264"/>
      <c r="K28" s="345">
        <v>0.64</v>
      </c>
      <c r="L28" s="47"/>
      <c r="M28" s="39"/>
      <c r="N28" s="12"/>
      <c r="O28" s="12"/>
      <c r="P28" s="252">
        <f>P27</f>
        <v>1.6695</v>
      </c>
      <c r="Q28" s="14"/>
      <c r="R28" s="12"/>
      <c r="S28" s="239"/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345">
        <f>SUM(K26:K28)</f>
        <v>2.9099999999999997</v>
      </c>
      <c r="L29" s="47"/>
      <c r="M29" s="14"/>
      <c r="N29" s="12"/>
      <c r="O29" s="12"/>
      <c r="P29" s="39">
        <f>P28*20%</f>
        <v>0.33390000000000003</v>
      </c>
      <c r="Q29" s="39" t="s">
        <v>129</v>
      </c>
      <c r="R29" s="42"/>
      <c r="S29" s="240"/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2.0034000000000001</v>
      </c>
      <c r="Q30" s="14"/>
      <c r="R30" s="14"/>
      <c r="S30" s="238"/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/>
      <c r="L31" s="47"/>
      <c r="M31" s="14"/>
      <c r="N31" s="14"/>
      <c r="O31" s="14"/>
      <c r="P31" s="14"/>
      <c r="Q31" s="14"/>
      <c r="R31" s="14"/>
      <c r="S31" s="240"/>
      <c r="T31" s="14"/>
      <c r="U31" s="296" t="s">
        <v>21</v>
      </c>
      <c r="V31" s="293" t="s">
        <v>149</v>
      </c>
      <c r="W31" s="297">
        <v>44971</v>
      </c>
      <c r="X31" s="298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/>
      <c r="L32" s="47"/>
      <c r="M32" s="39">
        <f>P30</f>
        <v>2.0034000000000001</v>
      </c>
      <c r="N32" s="12">
        <v>3500</v>
      </c>
      <c r="O32" s="12">
        <f t="shared" ref="O32:O37" si="14">M32*N32</f>
        <v>7011.9000000000005</v>
      </c>
      <c r="P32" s="14" t="s">
        <v>21</v>
      </c>
      <c r="Q32" s="14"/>
      <c r="R32" s="14"/>
      <c r="S32" s="241"/>
      <c r="T32" s="14"/>
      <c r="U32" s="296" t="s">
        <v>150</v>
      </c>
      <c r="V32" s="293">
        <v>3625</v>
      </c>
      <c r="W32" s="59" t="s">
        <v>151</v>
      </c>
      <c r="X32" s="298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/>
      <c r="L33" s="47"/>
      <c r="M33" s="248">
        <v>0.55000000000000004</v>
      </c>
      <c r="N33" s="12">
        <v>25000</v>
      </c>
      <c r="O33" s="12">
        <f t="shared" si="14"/>
        <v>13750.000000000002</v>
      </c>
      <c r="P33" s="39" t="s">
        <v>31</v>
      </c>
      <c r="Q33" s="42"/>
      <c r="R33" s="14"/>
      <c r="S33" s="240"/>
      <c r="T33" s="14"/>
      <c r="U33" s="296"/>
      <c r="V33" s="59">
        <v>906.25</v>
      </c>
      <c r="W33" s="59" t="s">
        <v>152</v>
      </c>
      <c r="X33" s="298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/>
      <c r="N34" s="249">
        <v>37000</v>
      </c>
      <c r="O34" s="12">
        <f t="shared" si="14"/>
        <v>0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8" t="s">
        <v>153</v>
      </c>
      <c r="X34" s="59"/>
    </row>
    <row r="35" spans="1:24" s="230" customFormat="1" ht="17.399999999999999" x14ac:dyDescent="0.35">
      <c r="B35" s="24" t="s">
        <v>164</v>
      </c>
      <c r="C35"/>
      <c r="D35"/>
      <c r="E35"/>
      <c r="F35"/>
      <c r="J35" s="261"/>
      <c r="K35" s="232"/>
      <c r="L35" s="249"/>
      <c r="M35" s="14">
        <v>1</v>
      </c>
      <c r="N35" s="249">
        <v>28500</v>
      </c>
      <c r="O35" s="12">
        <f t="shared" si="14"/>
        <v>28500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8" t="s">
        <v>154</v>
      </c>
      <c r="X35" s="59"/>
    </row>
    <row r="36" spans="1:24" s="230" customFormat="1" ht="17.399999999999999" x14ac:dyDescent="0.35">
      <c r="B36" s="29" t="s">
        <v>124</v>
      </c>
      <c r="C36"/>
      <c r="D36"/>
      <c r="E36"/>
      <c r="F36" s="229" t="s">
        <v>15</v>
      </c>
      <c r="J36" s="261">
        <v>60910</v>
      </c>
      <c r="K36" s="259"/>
      <c r="L36" s="249"/>
      <c r="M36" s="248"/>
      <c r="N36" s="249">
        <v>900</v>
      </c>
      <c r="O36" s="12">
        <f t="shared" si="14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8">
        <f>J36/1.19</f>
        <v>51184.873949579836</v>
      </c>
      <c r="K37" s="259"/>
      <c r="L37" s="249"/>
      <c r="M37" s="265">
        <v>3.15</v>
      </c>
      <c r="N37" s="12">
        <v>1500</v>
      </c>
      <c r="O37" s="12">
        <f t="shared" si="14"/>
        <v>4725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53986.9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O38*2.2</f>
        <v>118771.18000000001</v>
      </c>
      <c r="P39" s="14" t="s">
        <v>138</v>
      </c>
      <c r="Q39" s="14"/>
      <c r="R39" s="40">
        <f>P30/R38</f>
        <v>0.54017471958584984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L40" s="249"/>
      <c r="M40" s="14"/>
      <c r="N40" s="12"/>
      <c r="O40" s="12">
        <f>O39/P28</f>
        <v>71141.766996106628</v>
      </c>
      <c r="P40" s="45" t="s">
        <v>24</v>
      </c>
      <c r="Q40" s="14"/>
      <c r="R40" s="14"/>
      <c r="S40"/>
      <c r="T40" s="238"/>
      <c r="U40" s="59" t="s">
        <v>155</v>
      </c>
      <c r="V40" s="293">
        <v>43650</v>
      </c>
    </row>
    <row r="41" spans="1:24" s="230" customFormat="1" ht="17.399999999999999" x14ac:dyDescent="0.35">
      <c r="G41"/>
      <c r="L41" s="249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157</v>
      </c>
      <c r="V41" s="294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5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45842</v>
      </c>
    </row>
    <row r="6" spans="2:31" ht="16.2" thickBot="1" x14ac:dyDescent="0.35">
      <c r="B6" s="140" t="s">
        <v>2</v>
      </c>
      <c r="C6" s="139" t="str">
        <f>'2229'!C10</f>
        <v>DAVID PALACIOS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11503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-20714.602533454108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207771</v>
      </c>
      <c r="E11" s="132">
        <f>D11*0.19</f>
        <v>39476.49</v>
      </c>
      <c r="F11" s="131">
        <f>E11+D11</f>
        <v>247247.49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85275.397466545895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50595.990787439616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67275.397466545895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157175.00921256037</v>
      </c>
      <c r="E13" s="221">
        <f>(D11/D12)-1</f>
        <v>3.1064716149718894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58275.397466545895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19275.397466545892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83483.384799275358</v>
      </c>
      <c r="F15" s="216">
        <f>E15-D12</f>
        <v>32887.394011835742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19275.397466545892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59275.397466545895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13750.000000000002</v>
      </c>
      <c r="E19" s="123">
        <f>D19*0.19</f>
        <v>2612.5000000000005</v>
      </c>
      <c r="F19" s="120">
        <f>SUM(D19:E19)</f>
        <v>16362.500000000002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7011.9000000000005</v>
      </c>
      <c r="E20" s="121">
        <f>D20*0.19</f>
        <v>1332.2610000000002</v>
      </c>
      <c r="F20" s="120">
        <f>SUM(D20:E20)</f>
        <v>8344.1610000000001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20761.900000000001</v>
      </c>
      <c r="E21" s="116">
        <f>SUM(E18:E20)</f>
        <v>3944.7610000000004</v>
      </c>
      <c r="F21" s="115">
        <f>SUM(F18:F20)</f>
        <v>24706.661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35531.728999999999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207771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20761.900000000001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157175.00921256037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157175.00921256037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2025-07-02T13:31:03Z</cp:lastPrinted>
  <dcterms:created xsi:type="dcterms:W3CDTF">2013-03-18T13:35:42Z</dcterms:created>
  <dcterms:modified xsi:type="dcterms:W3CDTF">2025-07-04T20:16:46Z</dcterms:modified>
</cp:coreProperties>
</file>