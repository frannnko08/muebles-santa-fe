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07 JULIO 2025\"/>
    </mc:Choice>
  </mc:AlternateContent>
  <xr:revisionPtr revIDLastSave="0" documentId="13_ncr:1_{686320B7-2757-4949-ADC6-2501771D1590}" xr6:coauthVersionLast="47" xr6:coauthVersionMax="47" xr10:uidLastSave="{00000000-0000-0000-0000-000000000000}"/>
  <bookViews>
    <workbookView xWindow="-108" yWindow="-108" windowWidth="23256" windowHeight="12456" xr2:uid="{5DBA29A6-0A3E-447F-93EB-67A04D5E870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E23" i="1"/>
  <c r="E24" i="1" s="1"/>
  <c r="E15" i="1"/>
  <c r="E16" i="1"/>
  <c r="E17" i="1"/>
  <c r="E18" i="1"/>
  <c r="E19" i="1"/>
  <c r="D17" i="1"/>
  <c r="E8" i="1" l="1"/>
  <c r="E12" i="1"/>
  <c r="D12" i="1"/>
  <c r="D2" i="1"/>
  <c r="E2" i="1" s="1"/>
  <c r="E3" i="1"/>
  <c r="E5" i="1"/>
  <c r="Q20" i="1"/>
  <c r="Q22" i="1" s="1"/>
  <c r="N18" i="1"/>
  <c r="N17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2" i="1" l="1"/>
</calcChain>
</file>

<file path=xl/sharedStrings.xml><?xml version="1.0" encoding="utf-8"?>
<sst xmlns="http://schemas.openxmlformats.org/spreadsheetml/2006/main" count="28" uniqueCount="26">
  <si>
    <t>CANTIDAD</t>
  </si>
  <si>
    <t>VALOR</t>
  </si>
  <si>
    <t>TOTAL</t>
  </si>
  <si>
    <t>MATERIAL</t>
  </si>
  <si>
    <t>LARGO</t>
  </si>
  <si>
    <t>ANCHO</t>
  </si>
  <si>
    <t>MEDIDAS MDF</t>
  </si>
  <si>
    <t>PLANCHAS A USAR</t>
  </si>
  <si>
    <t>LAMINAS</t>
  </si>
  <si>
    <t>MT</t>
  </si>
  <si>
    <t>MT x Q</t>
  </si>
  <si>
    <t>MELAMINA 18MM</t>
  </si>
  <si>
    <t>AGOREX</t>
  </si>
  <si>
    <t>TAPACANTO</t>
  </si>
  <si>
    <t>MANO OBRA</t>
  </si>
  <si>
    <t>HORAS JUAN</t>
  </si>
  <si>
    <t>COSTO</t>
  </si>
  <si>
    <t>MATERIALES INDIRECTOS</t>
  </si>
  <si>
    <t>TORNILLOS</t>
  </si>
  <si>
    <t>LUZ LED</t>
  </si>
  <si>
    <t>COSTOS INDIRECTOS</t>
  </si>
  <si>
    <t>BENCINA</t>
  </si>
  <si>
    <t>TAG</t>
  </si>
  <si>
    <t>GASTOS ADMINISTRATIVOS</t>
  </si>
  <si>
    <t>ARRIENDO</t>
  </si>
  <si>
    <t>LUZ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</si>
</sst>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 &quot;$&quot;* #,##0_ ;_ &quot;$&quot;* \-#,##0_ ;_ &quot;$&quot;* &quot;-&quot;_ ;_ @_ "/>
    <numFmt numFmtId="164" formatCode="0.00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3">
    <xf numFmtId="0" fontId="0" fillId="0" borderId="0" xfId="0"/>
    <xf numFmtId="164" fontId="0" fillId="0" borderId="0" xfId="0" applyNumberFormat="1"/>
    <xf numFmtId="42" fontId="0" fillId="0" borderId="0" xfId="1" applyFont="1"/>
  </cellXfs>
  <cellStyles count="2"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E8D28-764F-43D4-B34C-6431664D331D}">
  <dimension ref="B1:Q24"/>
  <sheetViews>
    <sheetView tabSelected="1" workbookViewId="0">
      <selection activeCell="E4" sqref="E4"/>
    </sheetView>
  </sheetViews>
  <sheetFormatPr baseColWidth="10" defaultRowHeight="14.4" x14ac:dyDescent="0.3"/>
  <cols>
    <col min="2" max="2" width="21.5546875" bestFit="1" customWidth="1"/>
    <col min="4" max="5" width="11.5546875" style="2"/>
  </cols>
  <sheetData>
    <row r="1" spans="2:17" x14ac:dyDescent="0.3">
      <c r="B1" t="s">
        <v>3</v>
      </c>
      <c r="C1" t="s">
        <v>0</v>
      </c>
      <c r="D1" s="2" t="s">
        <v>1</v>
      </c>
      <c r="E1" s="2" t="s">
        <v>2</v>
      </c>
      <c r="J1" t="s">
        <v>0</v>
      </c>
      <c r="K1" t="s">
        <v>4</v>
      </c>
      <c r="L1" t="s">
        <v>5</v>
      </c>
      <c r="M1" t="s">
        <v>9</v>
      </c>
      <c r="N1" t="s">
        <v>10</v>
      </c>
    </row>
    <row r="2" spans="2:17" x14ac:dyDescent="0.3">
      <c r="B2" t="s">
        <v>11</v>
      </c>
      <c r="C2">
        <v>6</v>
      </c>
      <c r="D2" s="2">
        <f>58700</f>
        <v>58700</v>
      </c>
      <c r="E2" s="2">
        <f>D2*C2</f>
        <v>352200</v>
      </c>
      <c r="J2">
        <v>1</v>
      </c>
      <c r="K2">
        <v>2.2000000000000002</v>
      </c>
      <c r="L2">
        <v>0.6</v>
      </c>
      <c r="M2" s="1">
        <f>(K2*L2)*J2</f>
        <v>1.32</v>
      </c>
      <c r="N2" s="1">
        <f>M2*J2</f>
        <v>1.32</v>
      </c>
    </row>
    <row r="3" spans="2:17" x14ac:dyDescent="0.3">
      <c r="B3" t="s">
        <v>8</v>
      </c>
      <c r="E3" s="2">
        <f t="shared" ref="E3:E5" si="0">D3*C3</f>
        <v>0</v>
      </c>
      <c r="J3">
        <v>3</v>
      </c>
      <c r="K3">
        <v>0.78200000000000003</v>
      </c>
      <c r="L3">
        <v>0.6</v>
      </c>
      <c r="M3" s="1">
        <f t="shared" ref="M3:M15" si="1">(K3*L3)*J3</f>
        <v>1.4076</v>
      </c>
      <c r="N3" s="1">
        <f t="shared" ref="N3:N15" si="2">M3*J3</f>
        <v>4.2227999999999994</v>
      </c>
    </row>
    <row r="4" spans="2:17" x14ac:dyDescent="0.3">
      <c r="B4" t="s">
        <v>19</v>
      </c>
      <c r="C4">
        <v>1</v>
      </c>
      <c r="D4" s="2">
        <v>50000</v>
      </c>
      <c r="E4" s="2">
        <f t="shared" si="0"/>
        <v>50000</v>
      </c>
      <c r="J4">
        <v>2</v>
      </c>
      <c r="K4">
        <v>2.1640000000000001</v>
      </c>
      <c r="L4">
        <v>0.3</v>
      </c>
      <c r="M4" s="1">
        <f t="shared" si="1"/>
        <v>1.2984</v>
      </c>
      <c r="N4" s="1">
        <f t="shared" si="2"/>
        <v>2.5968</v>
      </c>
    </row>
    <row r="5" spans="2:17" x14ac:dyDescent="0.3">
      <c r="B5" t="s">
        <v>13</v>
      </c>
      <c r="C5">
        <v>1</v>
      </c>
      <c r="D5" s="2">
        <v>5496</v>
      </c>
      <c r="E5" s="2">
        <f t="shared" si="0"/>
        <v>5496</v>
      </c>
      <c r="J5">
        <v>1</v>
      </c>
      <c r="K5">
        <v>0.78200000000000003</v>
      </c>
      <c r="L5">
        <v>0.436</v>
      </c>
      <c r="M5" s="1">
        <f t="shared" si="1"/>
        <v>0.34095200000000003</v>
      </c>
      <c r="N5" s="1">
        <f t="shared" si="2"/>
        <v>0.34095200000000003</v>
      </c>
    </row>
    <row r="6" spans="2:17" x14ac:dyDescent="0.3">
      <c r="J6">
        <v>3</v>
      </c>
      <c r="K6">
        <v>1.18</v>
      </c>
      <c r="L6">
        <v>0.3</v>
      </c>
      <c r="M6" s="1">
        <f t="shared" si="1"/>
        <v>1.0619999999999998</v>
      </c>
      <c r="N6" s="1">
        <f t="shared" si="2"/>
        <v>3.1859999999999995</v>
      </c>
    </row>
    <row r="7" spans="2:17" x14ac:dyDescent="0.3">
      <c r="B7" t="s">
        <v>17</v>
      </c>
      <c r="J7">
        <v>1</v>
      </c>
      <c r="K7">
        <v>1.171</v>
      </c>
      <c r="L7">
        <v>0.436</v>
      </c>
      <c r="M7" s="1">
        <f t="shared" si="1"/>
        <v>0.51055600000000001</v>
      </c>
      <c r="N7" s="1">
        <f t="shared" si="2"/>
        <v>0.51055600000000001</v>
      </c>
    </row>
    <row r="8" spans="2:17" x14ac:dyDescent="0.3">
      <c r="B8" t="s">
        <v>18</v>
      </c>
      <c r="C8">
        <v>1</v>
      </c>
      <c r="D8" s="2">
        <v>3000</v>
      </c>
      <c r="E8" s="2">
        <f>D8*C8</f>
        <v>3000</v>
      </c>
      <c r="J8">
        <v>3</v>
      </c>
      <c r="K8">
        <v>0.3</v>
      </c>
      <c r="L8">
        <v>0.25</v>
      </c>
      <c r="M8" s="1">
        <f t="shared" si="1"/>
        <v>0.22499999999999998</v>
      </c>
      <c r="N8" s="1">
        <f t="shared" si="2"/>
        <v>0.67499999999999993</v>
      </c>
    </row>
    <row r="9" spans="2:17" x14ac:dyDescent="0.3">
      <c r="B9" t="s">
        <v>12</v>
      </c>
      <c r="D9" s="2">
        <v>3500</v>
      </c>
      <c r="J9">
        <v>1</v>
      </c>
      <c r="K9">
        <v>1.746</v>
      </c>
      <c r="L9">
        <v>1.171</v>
      </c>
      <c r="M9" s="1">
        <f t="shared" si="1"/>
        <v>2.0445660000000001</v>
      </c>
      <c r="N9" s="1">
        <f t="shared" si="2"/>
        <v>2.0445660000000001</v>
      </c>
    </row>
    <row r="10" spans="2:17" x14ac:dyDescent="0.3">
      <c r="J10">
        <v>4</v>
      </c>
      <c r="K10">
        <v>0.4</v>
      </c>
      <c r="L10">
        <v>0.3</v>
      </c>
      <c r="M10" s="1">
        <f t="shared" si="1"/>
        <v>0.48</v>
      </c>
      <c r="N10" s="1">
        <f t="shared" si="2"/>
        <v>1.92</v>
      </c>
    </row>
    <row r="11" spans="2:17" x14ac:dyDescent="0.3">
      <c r="B11" t="s">
        <v>14</v>
      </c>
      <c r="J11">
        <v>2</v>
      </c>
      <c r="K11">
        <v>0.4</v>
      </c>
      <c r="L11">
        <v>0.2</v>
      </c>
      <c r="M11" s="1">
        <f t="shared" si="1"/>
        <v>0.16000000000000003</v>
      </c>
      <c r="N11" s="1">
        <f t="shared" si="2"/>
        <v>0.32000000000000006</v>
      </c>
    </row>
    <row r="12" spans="2:17" x14ac:dyDescent="0.3">
      <c r="B12" t="s">
        <v>15</v>
      </c>
      <c r="C12">
        <v>16</v>
      </c>
      <c r="D12" s="2">
        <f>950000/160</f>
        <v>5937.5</v>
      </c>
      <c r="E12" s="2">
        <f>D12*C12</f>
        <v>95000</v>
      </c>
      <c r="J12">
        <v>3</v>
      </c>
      <c r="K12">
        <v>0.58199999999999996</v>
      </c>
      <c r="L12">
        <v>0.4</v>
      </c>
      <c r="M12" s="1">
        <f t="shared" si="1"/>
        <v>0.69840000000000002</v>
      </c>
      <c r="N12" s="1">
        <f t="shared" si="2"/>
        <v>2.0952000000000002</v>
      </c>
    </row>
    <row r="13" spans="2:17" x14ac:dyDescent="0.3">
      <c r="J13">
        <v>2</v>
      </c>
      <c r="K13">
        <v>0.3</v>
      </c>
      <c r="L13">
        <v>0.28599999999999998</v>
      </c>
      <c r="M13" s="1">
        <f t="shared" si="1"/>
        <v>0.17159999999999997</v>
      </c>
      <c r="N13" s="1">
        <f t="shared" si="2"/>
        <v>0.34319999999999995</v>
      </c>
    </row>
    <row r="14" spans="2:17" x14ac:dyDescent="0.3">
      <c r="B14" t="s">
        <v>20</v>
      </c>
      <c r="J14">
        <v>2</v>
      </c>
      <c r="K14">
        <v>0.18</v>
      </c>
      <c r="L14">
        <v>0.34399999999999997</v>
      </c>
      <c r="M14" s="1">
        <f t="shared" si="1"/>
        <v>0.12383999999999999</v>
      </c>
      <c r="N14" s="1">
        <f t="shared" si="2"/>
        <v>0.24767999999999998</v>
      </c>
    </row>
    <row r="15" spans="2:17" x14ac:dyDescent="0.3">
      <c r="B15" t="s">
        <v>21</v>
      </c>
      <c r="C15">
        <v>1</v>
      </c>
      <c r="D15" s="2">
        <v>15000</v>
      </c>
      <c r="E15" s="2">
        <f t="shared" ref="E13:E19" si="3">D15*C15</f>
        <v>15000</v>
      </c>
      <c r="J15">
        <v>4</v>
      </c>
      <c r="K15">
        <v>0.18</v>
      </c>
      <c r="L15">
        <v>0.56399999999999995</v>
      </c>
      <c r="M15" s="1">
        <f t="shared" si="1"/>
        <v>0.40607999999999994</v>
      </c>
      <c r="N15" s="1">
        <f t="shared" si="2"/>
        <v>1.6243199999999998</v>
      </c>
    </row>
    <row r="16" spans="2:17" x14ac:dyDescent="0.3">
      <c r="B16" t="s">
        <v>22</v>
      </c>
      <c r="C16">
        <v>1</v>
      </c>
      <c r="D16" s="2">
        <v>5000</v>
      </c>
      <c r="E16" s="2">
        <f t="shared" si="3"/>
        <v>5000</v>
      </c>
      <c r="Q16" t="s">
        <v>6</v>
      </c>
    </row>
    <row r="17" spans="2:17" x14ac:dyDescent="0.3">
      <c r="B17" t="s">
        <v>23</v>
      </c>
      <c r="C17">
        <v>4</v>
      </c>
      <c r="D17" s="2">
        <f>1000000/160</f>
        <v>6250</v>
      </c>
      <c r="E17" s="2">
        <f t="shared" si="3"/>
        <v>25000</v>
      </c>
      <c r="N17" s="1">
        <f>SUM(N2:N15)</f>
        <v>21.447073999999997</v>
      </c>
      <c r="Q17">
        <v>1.83</v>
      </c>
    </row>
    <row r="18" spans="2:17" x14ac:dyDescent="0.3">
      <c r="B18" t="s">
        <v>24</v>
      </c>
      <c r="C18">
        <v>16</v>
      </c>
      <c r="D18" s="2">
        <v>3623</v>
      </c>
      <c r="E18" s="2">
        <f t="shared" si="3"/>
        <v>57968</v>
      </c>
      <c r="N18" s="1">
        <f>N17*1.2</f>
        <v>25.736488799999997</v>
      </c>
      <c r="Q18">
        <v>2.5</v>
      </c>
    </row>
    <row r="19" spans="2:17" x14ac:dyDescent="0.3">
      <c r="B19" t="s">
        <v>25</v>
      </c>
      <c r="C19">
        <v>16</v>
      </c>
      <c r="D19" s="2">
        <v>1250</v>
      </c>
      <c r="E19" s="2">
        <f t="shared" si="3"/>
        <v>20000</v>
      </c>
      <c r="Q19" t="s">
        <v>2</v>
      </c>
    </row>
    <row r="20" spans="2:17" x14ac:dyDescent="0.3">
      <c r="Q20">
        <f>Q17*Q18</f>
        <v>4.5750000000000002</v>
      </c>
    </row>
    <row r="21" spans="2:17" x14ac:dyDescent="0.3">
      <c r="Q21" t="s">
        <v>7</v>
      </c>
    </row>
    <row r="22" spans="2:17" x14ac:dyDescent="0.3">
      <c r="Q22">
        <f>N18/Q20</f>
        <v>5.6254620327868841</v>
      </c>
    </row>
    <row r="23" spans="2:17" x14ac:dyDescent="0.3">
      <c r="B23" t="s">
        <v>16</v>
      </c>
      <c r="E23" s="2">
        <f>SUM(E2:E19)</f>
        <v>628664</v>
      </c>
    </row>
    <row r="24" spans="2:17" x14ac:dyDescent="0.3">
      <c r="E24" s="2">
        <f>E23*1.4</f>
        <v>880129.6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 donoso</dc:creator>
  <cp:lastModifiedBy>franco donoso</cp:lastModifiedBy>
  <dcterms:created xsi:type="dcterms:W3CDTF">2025-07-30T21:02:43Z</dcterms:created>
  <dcterms:modified xsi:type="dcterms:W3CDTF">2025-07-30T22:57:03Z</dcterms:modified>
</cp:coreProperties>
</file>