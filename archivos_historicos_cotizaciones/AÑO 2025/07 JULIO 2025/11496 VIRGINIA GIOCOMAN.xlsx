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7 JULIO 2025\"/>
    </mc:Choice>
  </mc:AlternateContent>
  <xr:revisionPtr revIDLastSave="0" documentId="13_ncr:1_{34FDA28A-67C5-45F2-AF00-38925B4F8F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7" i="1" l="1"/>
  <c r="H46" i="1"/>
  <c r="H45" i="1"/>
  <c r="L45" i="1"/>
  <c r="H44" i="1"/>
  <c r="L44" i="1"/>
  <c r="H43" i="1"/>
  <c r="L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L41" i="1"/>
  <c r="L42" i="1"/>
  <c r="M29" i="1"/>
  <c r="N29" i="1"/>
  <c r="M30" i="1"/>
  <c r="N30" i="1"/>
  <c r="M31" i="1"/>
  <c r="N31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M40" i="1"/>
  <c r="N40" i="1"/>
  <c r="M41" i="1"/>
  <c r="N41" i="1"/>
  <c r="M42" i="1"/>
  <c r="N42" i="1"/>
  <c r="L40" i="1"/>
  <c r="L39" i="1"/>
  <c r="L38" i="1"/>
  <c r="L37" i="1"/>
  <c r="L36" i="1"/>
  <c r="L35" i="1"/>
  <c r="L34" i="1"/>
  <c r="L33" i="1"/>
  <c r="L32" i="1"/>
  <c r="L31" i="1"/>
  <c r="L30" i="1"/>
  <c r="L29" i="1"/>
  <c r="N28" i="1"/>
  <c r="L28" i="1"/>
  <c r="N27" i="1"/>
  <c r="M28" i="1"/>
  <c r="M27" i="1"/>
  <c r="L27" i="1"/>
  <c r="L22" i="1"/>
  <c r="L23" i="1"/>
  <c r="L24" i="1"/>
  <c r="L25" i="1"/>
  <c r="L26" i="1"/>
  <c r="O39" i="1" l="1"/>
  <c r="P39" i="1" s="1"/>
  <c r="O37" i="1"/>
  <c r="P37" i="1" s="1"/>
  <c r="O35" i="1"/>
  <c r="P35" i="1" s="1"/>
  <c r="O34" i="1"/>
  <c r="P34" i="1" s="1"/>
  <c r="O31" i="1"/>
  <c r="P31" i="1" s="1"/>
  <c r="O38" i="1"/>
  <c r="P38" i="1" s="1"/>
  <c r="O36" i="1"/>
  <c r="P36" i="1" s="1"/>
  <c r="O40" i="1"/>
  <c r="P40" i="1" s="1"/>
  <c r="O33" i="1"/>
  <c r="P33" i="1" s="1"/>
  <c r="O29" i="1"/>
  <c r="P29" i="1" s="1"/>
  <c r="O41" i="1"/>
  <c r="P41" i="1" s="1"/>
  <c r="O32" i="1"/>
  <c r="P32" i="1" s="1"/>
  <c r="O42" i="1"/>
  <c r="P42" i="1" s="1"/>
  <c r="O30" i="1"/>
  <c r="P30" i="1" s="1"/>
  <c r="O28" i="1"/>
  <c r="P28" i="1" s="1"/>
  <c r="O27" i="1"/>
  <c r="P27" i="1" s="1"/>
  <c r="H26" i="1"/>
  <c r="H25" i="1"/>
  <c r="H24" i="1"/>
  <c r="H23" i="1"/>
  <c r="H22" i="1"/>
  <c r="N26" i="1"/>
  <c r="M26" i="1"/>
  <c r="N25" i="1"/>
  <c r="M25" i="1"/>
  <c r="N24" i="1"/>
  <c r="M24" i="1"/>
  <c r="N23" i="1"/>
  <c r="M23" i="1"/>
  <c r="N22" i="1"/>
  <c r="M22" i="1"/>
  <c r="J60" i="1"/>
  <c r="L21" i="1"/>
  <c r="N21" i="1"/>
  <c r="O26" i="1" l="1"/>
  <c r="P26" i="1" s="1"/>
  <c r="O24" i="1"/>
  <c r="P24" i="1" s="1"/>
  <c r="O23" i="1"/>
  <c r="P23" i="1" s="1"/>
  <c r="O22" i="1"/>
  <c r="P22" i="1" s="1"/>
  <c r="O25" i="1"/>
  <c r="P25" i="1" s="1"/>
  <c r="M21" i="1"/>
  <c r="M50" i="1" s="1"/>
  <c r="S21" i="1" l="1"/>
  <c r="S50" i="1" s="1"/>
  <c r="T21" i="1"/>
  <c r="T49" i="1" s="1"/>
  <c r="O21" i="1"/>
  <c r="P21" i="1" s="1"/>
  <c r="P50" i="1" s="1"/>
  <c r="V57" i="1" l="1"/>
  <c r="V58" i="1" s="1"/>
  <c r="O56" i="1" l="1"/>
  <c r="P51" i="1" l="1"/>
  <c r="N20" i="1"/>
  <c r="L20" i="1"/>
  <c r="P52" i="1" l="1"/>
  <c r="P53" i="1" s="1"/>
  <c r="M55" i="1" s="1"/>
  <c r="O57" i="1"/>
  <c r="R61" i="1"/>
  <c r="R62" i="1" l="1"/>
  <c r="O58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60" i="1"/>
  <c r="O59" i="1"/>
  <c r="F18" i="3" l="1"/>
  <c r="O55" i="1" l="1"/>
  <c r="O61" i="1" s="1"/>
  <c r="O62" i="1" s="1"/>
  <c r="O63" i="1" l="1"/>
  <c r="D20" i="3"/>
  <c r="E20" i="3" s="1"/>
  <c r="E21" i="3" s="1"/>
  <c r="Q20" i="1" l="1"/>
  <c r="D21" i="3"/>
  <c r="M43" i="3" s="1"/>
  <c r="D12" i="3" s="1"/>
  <c r="F20" i="3"/>
  <c r="F21" i="3" s="1"/>
  <c r="Q29" i="1" l="1"/>
  <c r="R29" i="1" s="1"/>
  <c r="Q31" i="1"/>
  <c r="R31" i="1" s="1"/>
  <c r="Q33" i="1"/>
  <c r="R33" i="1" s="1"/>
  <c r="Q35" i="1"/>
  <c r="R35" i="1" s="1"/>
  <c r="Q37" i="1"/>
  <c r="R37" i="1" s="1"/>
  <c r="Q39" i="1"/>
  <c r="R39" i="1" s="1"/>
  <c r="Q41" i="1"/>
  <c r="R41" i="1" s="1"/>
  <c r="Q30" i="1"/>
  <c r="R30" i="1" s="1"/>
  <c r="Q32" i="1"/>
  <c r="R32" i="1" s="1"/>
  <c r="Q34" i="1"/>
  <c r="R34" i="1" s="1"/>
  <c r="Q36" i="1"/>
  <c r="R36" i="1" s="1"/>
  <c r="Q38" i="1"/>
  <c r="R38" i="1" s="1"/>
  <c r="Q40" i="1"/>
  <c r="R40" i="1" s="1"/>
  <c r="Q42" i="1"/>
  <c r="R42" i="1" s="1"/>
  <c r="Q27" i="1"/>
  <c r="R27" i="1" s="1"/>
  <c r="Q28" i="1"/>
  <c r="R28" i="1" s="1"/>
  <c r="Q25" i="1"/>
  <c r="R25" i="1" s="1"/>
  <c r="Q23" i="1"/>
  <c r="R23" i="1" s="1"/>
  <c r="Q24" i="1"/>
  <c r="R24" i="1" s="1"/>
  <c r="Q26" i="1"/>
  <c r="R26" i="1" s="1"/>
  <c r="Q22" i="1"/>
  <c r="R22" i="1" s="1"/>
  <c r="O64" i="1"/>
  <c r="E15" i="3"/>
  <c r="Q21" i="1" l="1"/>
  <c r="F15" i="3"/>
  <c r="R21" i="1" l="1"/>
  <c r="H21" i="1" l="1"/>
  <c r="H49" i="1" s="1"/>
  <c r="D11" i="3" l="1"/>
  <c r="X9" i="3" s="1"/>
  <c r="X15" i="3" s="1"/>
  <c r="H51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<sst xmlns="http://schemas.openxmlformats.org/spreadsheetml/2006/main" count="276" uniqueCount="184">
  <si>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</si>
  <si>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</si>
  <si>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</si>
  <si>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</si>
  <si>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</si>
  <si>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</si>
  <si>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</si>
  <si>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</si>
  <si>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</si>
  <si>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</si>
  <si>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</si>
  <si>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</si>
  <si>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</si>
  <si>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</si>
  <si>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</si>
  <si>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</si>
  <si>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</si>
  <si>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</si>
  <si>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</si>
  <si>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</si>
  <si>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</si>
  <si>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</si>
  <si>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</si>
  <si>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</si>
  <si>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</si>
  <si>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</si>
  <si>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</si>
  <si>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</si>
  <si>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</si>
  <si>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</si>
  <si>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</si>
  <si>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</si>
  <si>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</si>
  <si>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</si>
  <si>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</si>
  <si>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</si>
  <si>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</si>
  <si>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</si>
  <si>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</si>
  <si>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</si>
  <si>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</si>
  <si>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</si>
  <si>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</si>
  <si>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</si>
  <si>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</si>
  <si>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</si>
  <si>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</si>
  <si>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</si>
  <si>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</si>
  <si>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</si>
  <si>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</si>
  <si>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</si>
  <si>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</si>
  <si>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</si>
  <si>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</si>
  <si>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</si>
  <si>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</si>
  <si>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</si>
  <si>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</si>
  <si>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</si>
  <si>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</si>
  <si>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</si>
  <si>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</si>
  <si>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</si>
  <si>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</si>
  <si>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</si>
  <si>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</si>
  <si>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</si>
  <si>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</si>
  <si>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</si>
  <si>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</si>
  <si>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</si>
  <si>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</si>
  <si>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</si>
  <si>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</si>
  <si>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</si>
  <si>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</si>
  <si>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</si>
  <si>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</si>
  <si>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</si>
  <si>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</si>
  <si>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</si>
  <si>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</si>
  <si>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</si>
  <si>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</si>
  <si>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</si>
  <si>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</si>
  <si>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</si>
  <si>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</si>
  <si>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</si>
  <si>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</si>
  <si>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</si>
  <si>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</si>
  <si>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</si>
  <si>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</si>
  <si>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</si>
  <si>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</si>
  <si>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</si>
  <si>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</si>
  <si>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</si>
  <si>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</si>
  <si>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</si>
  <si>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</si>
  <si>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</si>
  <si>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</si>
  <si>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</si>
  <si>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</si>
  <si>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</si>
  <si>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</si>
  <si>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</si>
  <si>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</si>
  <si>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</si>
  <si>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</si>
  <si>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</si>
  <si>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</si>
  <si>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</si>
  <si>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</si>
  <si>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</si>
  <si>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</si>
  <si>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</si>
  <si>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</si>
  <si>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</si>
  <si>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</si>
  <si>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</si>
  <si>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</si>
  <si>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</si>
  <si>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</si>
  <si>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</si>
  <si>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</si>
  <si>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</si>
  <si>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</si>
  <si>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</si>
  <si>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</si>
  <si>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</si>
  <si>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</si>
  <si>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</si>
  <si>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</si>
  <si>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</si>
  <si>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</si>
  <si>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</si>
  <si>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</si>
  <si>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</si>
  <si>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</si>
  <si>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</si>
  <si>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</si>
  <si>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</si>
  <si>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</si>
  <si>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</si>
  <si>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</si>
  <si>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</si>
  <si>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</si>
  <si>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</si>
  <si>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</si>
  <si>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</si>
  <si>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</si>
  <si>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</si>
  <si>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</si>
  <si>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</si>
  <si>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</si>
  <si>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</si>
  <si>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</si>
  <si>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</si>
  <si>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</si>
  <si>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</si>
  <si>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</si>
  <si>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</si>
  <si>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</si>
  <si>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</si>
  <si>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</si>
  <si>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SI</t>
  </si>
  <si>
    <t>PUERTA POSTFORMADA R6</t>
  </si>
  <si>
    <t>N° 11496</t>
  </si>
  <si>
    <t>VIRGINIA GIOCOMAN</t>
  </si>
  <si>
    <t>569 98204092</t>
  </si>
  <si>
    <t>12 DIAS HABILES</t>
  </si>
  <si>
    <t>ENCHAPE RECTO 1 CARA</t>
  </si>
  <si>
    <t>BRITISH BRUSCH 22107 SF</t>
  </si>
  <si>
    <t>MURAL MESA COMEDOR DIARIO</t>
  </si>
  <si>
    <t>CUBIERTA MESA COMERDOR DIARIO</t>
  </si>
  <si>
    <t>DESMONTAJE MUEBLES MURALES</t>
  </si>
  <si>
    <t>ENCHAPE MUEBLES MURALES</t>
  </si>
  <si>
    <t>ENCHAPE ZOCALOS</t>
  </si>
  <si>
    <t>CAMBIO BISAGRAS CIERRE SUAVE</t>
  </si>
  <si>
    <t>SERVICIO DESPACHO E INSTALACION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</si>
</sst>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7" fontId="0" fillId="7" borderId="0" xfId="0" applyNumberFormat="1" applyFill="1"/>
    <xf numFmtId="166" fontId="3" fillId="7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  <xf numFmtId="167" fontId="0" fillId="22" borderId="0" xfId="0" applyNumberFormat="1" applyFill="1"/>
    <xf numFmtId="166" fontId="3" fillId="22" borderId="0" xfId="0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52</xdr:row>
      <xdr:rowOff>8194</xdr:rowOff>
    </xdr:from>
    <xdr:to>
      <xdr:col>8</xdr:col>
      <xdr:colOff>8193</xdr:colOff>
      <xdr:row>55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54</xdr:row>
      <xdr:rowOff>154305</xdr:rowOff>
    </xdr:from>
    <xdr:to>
      <xdr:col>7</xdr:col>
      <xdr:colOff>853440</xdr:colOff>
      <xdr:row>54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52</xdr:row>
      <xdr:rowOff>9525</xdr:rowOff>
    </xdr:from>
    <xdr:to>
      <xdr:col>5</xdr:col>
      <xdr:colOff>1745226</xdr:colOff>
      <xdr:row>55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48</xdr:row>
      <xdr:rowOff>9525</xdr:rowOff>
    </xdr:from>
    <xdr:to>
      <xdr:col>5</xdr:col>
      <xdr:colOff>1728839</xdr:colOff>
      <xdr:row>51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NO SE CONSIDERA</a:t>
          </a:r>
          <a:r>
            <a:rPr lang="es-CL" sz="1200" b="1" baseline="0"/>
            <a:t> TIRADORES,  NO INCUYE GASFITERIA  LAS PUERTAS SE ENTREGAN ENCHAPADAS CON EL COLOR LOS MAS PARECIDO AL TONO ELEGIDO, CUBIERTA MESA COMEDOR CONSIDERA ENCHAPE NUEVO, OCUPANDO EL MISMO SUSTRATO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606"/>
  <sheetViews>
    <sheetView tabSelected="1" topLeftCell="A28" zoomScale="93" zoomScaleNormal="93" workbookViewId="0">
      <selection activeCell="H49" sqref="H49"/>
    </sheetView>
  </sheetViews>
  <sheetFormatPr baseColWidth="10" defaultRowHeight="14.4" x14ac:dyDescent="0.3"/>
  <cols>
    <col min="1" max="1" width="6" customWidth="1"/>
    <col min="2" max="2" width="10.5546875" customWidth="1"/>
    <col min="3" max="3" width="37.4414062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86" t="s">
        <v>125</v>
      </c>
      <c r="C8" s="287"/>
      <c r="D8" s="314" t="s">
        <v>171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9" t="s">
        <v>159</v>
      </c>
      <c r="C10" s="318" t="s">
        <v>172</v>
      </c>
      <c r="D10" s="243"/>
      <c r="E10" s="243"/>
      <c r="F10" s="244" t="s">
        <v>167</v>
      </c>
      <c r="G10" s="275">
        <v>45846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4" t="s">
        <v>12</v>
      </c>
      <c r="C11" s="319"/>
      <c r="F11" t="s">
        <v>166</v>
      </c>
      <c r="G11" s="320" t="s">
        <v>174</v>
      </c>
      <c r="H11" s="285"/>
      <c r="Q11" s="19"/>
      <c r="R11" s="25" t="s">
        <v>18</v>
      </c>
      <c r="S11" s="19"/>
    </row>
    <row r="12" spans="2:24" x14ac:dyDescent="0.3">
      <c r="B12" s="246" t="s">
        <v>142</v>
      </c>
      <c r="C12" s="321"/>
      <c r="D12" s="322"/>
      <c r="E12" s="322"/>
      <c r="F12" s="322" t="s">
        <v>126</v>
      </c>
      <c r="G12" s="323" t="s">
        <v>133</v>
      </c>
      <c r="H12" s="247"/>
      <c r="Q12" s="19"/>
      <c r="R12" s="25"/>
      <c r="S12" s="19"/>
    </row>
    <row r="13" spans="2:24" x14ac:dyDescent="0.3">
      <c r="B13" s="284" t="s">
        <v>143</v>
      </c>
      <c r="F13" t="s">
        <v>165</v>
      </c>
      <c r="G13" s="324" t="s">
        <v>133</v>
      </c>
      <c r="H13" s="285"/>
      <c r="Q13" s="19"/>
      <c r="R13" s="25"/>
      <c r="S13" s="19"/>
    </row>
    <row r="14" spans="2:24" x14ac:dyDescent="0.3">
      <c r="B14" s="246" t="s">
        <v>137</v>
      </c>
      <c r="C14" s="325"/>
      <c r="D14" s="322"/>
      <c r="E14" s="322"/>
      <c r="F14" s="322" t="s">
        <v>134</v>
      </c>
      <c r="G14" s="326" t="s">
        <v>169</v>
      </c>
      <c r="H14" s="247"/>
      <c r="K14" s="29"/>
      <c r="Q14" s="20"/>
      <c r="R14" s="26" t="s">
        <v>17</v>
      </c>
      <c r="S14" s="20"/>
    </row>
    <row r="15" spans="2:24" ht="15.6" x14ac:dyDescent="0.3">
      <c r="B15" s="284" t="s">
        <v>4</v>
      </c>
      <c r="C15" s="327" t="s">
        <v>173</v>
      </c>
      <c r="D15" s="328"/>
      <c r="F15" t="s">
        <v>168</v>
      </c>
      <c r="G15" s="329" t="s">
        <v>169</v>
      </c>
      <c r="H15" s="285"/>
    </row>
    <row r="16" spans="2:24" ht="16.8" x14ac:dyDescent="0.4">
      <c r="B16" s="303" t="s">
        <v>3</v>
      </c>
      <c r="C16" s="330"/>
      <c r="D16" s="322"/>
      <c r="E16" s="322"/>
      <c r="F16" s="331" t="s">
        <v>128</v>
      </c>
      <c r="G16" s="332" t="s">
        <v>160</v>
      </c>
      <c r="H16" s="247"/>
    </row>
    <row r="17" spans="2:25" ht="15" thickBot="1" x14ac:dyDescent="0.35">
      <c r="B17" s="300" t="s">
        <v>13</v>
      </c>
      <c r="C17" s="301" t="s">
        <v>163</v>
      </c>
      <c r="D17" s="302"/>
      <c r="E17" s="119"/>
      <c r="F17" s="339" t="s">
        <v>162</v>
      </c>
      <c r="G17" s="339"/>
      <c r="H17" s="340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41" t="s">
        <v>95</v>
      </c>
      <c r="C19" s="342"/>
      <c r="D19" s="342"/>
      <c r="E19" s="342"/>
      <c r="F19" s="342"/>
      <c r="G19" s="342"/>
      <c r="H19" s="343"/>
      <c r="I19" s="263"/>
      <c r="J19" s="263"/>
      <c r="K19" s="5"/>
      <c r="L19" s="249"/>
      <c r="M19" s="14">
        <v>0.05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11" t="s">
        <v>7</v>
      </c>
      <c r="C20" s="312" t="s">
        <v>1</v>
      </c>
      <c r="D20" s="312" t="s">
        <v>10</v>
      </c>
      <c r="E20" s="312" t="s">
        <v>11</v>
      </c>
      <c r="F20" s="312" t="s">
        <v>8</v>
      </c>
      <c r="G20" s="312" t="s">
        <v>5</v>
      </c>
      <c r="H20" s="313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 t="shared" ref="N20" si="0">E20</f>
        <v>ANCHO</v>
      </c>
      <c r="O20" s="260" t="s">
        <v>131</v>
      </c>
      <c r="P20" s="258" t="s">
        <v>16</v>
      </c>
      <c r="Q20" s="251">
        <f>O63</f>
        <v>61893.59134472852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315">
        <v>2</v>
      </c>
      <c r="C21" s="315" t="s">
        <v>170</v>
      </c>
      <c r="D21" s="316">
        <v>0.83</v>
      </c>
      <c r="E21" s="316">
        <v>0.35</v>
      </c>
      <c r="F21" s="315" t="s">
        <v>176</v>
      </c>
      <c r="G21" s="317">
        <v>20410</v>
      </c>
      <c r="H21" s="317">
        <f>G21*B21</f>
        <v>40820</v>
      </c>
      <c r="I21" s="305"/>
      <c r="J21" s="264"/>
      <c r="K21" s="47"/>
      <c r="L21" s="335">
        <f>B21</f>
        <v>2</v>
      </c>
      <c r="M21" s="336">
        <f>D21+M$19</f>
        <v>0.88</v>
      </c>
      <c r="N21" s="39">
        <f>E21+$N$19</f>
        <v>0.35</v>
      </c>
      <c r="O21" s="260">
        <f t="shared" ref="O21" si="1">M21*N21</f>
        <v>0.308</v>
      </c>
      <c r="P21" s="258">
        <f t="shared" ref="P21" si="2">O21*L21</f>
        <v>0.61599999999999999</v>
      </c>
      <c r="Q21" s="251">
        <f t="shared" ref="Q21" si="3">Q$20*O21</f>
        <v>19063.226134176384</v>
      </c>
      <c r="R21" s="304">
        <f t="shared" ref="R21" si="4">Q21+R$20</f>
        <v>22063.226134176384</v>
      </c>
      <c r="S21" s="292">
        <f>M21*L21</f>
        <v>1.76</v>
      </c>
      <c r="T21" s="46">
        <f>N21*2*L21*2</f>
        <v>2.8</v>
      </c>
      <c r="U21" s="9"/>
      <c r="X21" s="4"/>
    </row>
    <row r="22" spans="2:25" ht="17.399999999999999" x14ac:dyDescent="0.3">
      <c r="B22" s="315">
        <v>1</v>
      </c>
      <c r="C22" s="315" t="s">
        <v>170</v>
      </c>
      <c r="D22" s="316">
        <v>0.41</v>
      </c>
      <c r="E22" s="316">
        <v>0.62</v>
      </c>
      <c r="F22" s="315" t="s">
        <v>176</v>
      </c>
      <c r="G22" s="317">
        <v>19122</v>
      </c>
      <c r="H22" s="317">
        <f t="shared" ref="H22:H47" si="5">G22*B22</f>
        <v>19122</v>
      </c>
      <c r="I22" s="305"/>
      <c r="J22" s="264"/>
      <c r="K22" s="47"/>
      <c r="L22" s="47">
        <f t="shared" ref="L22:L45" si="6">B22</f>
        <v>1</v>
      </c>
      <c r="M22" s="39">
        <f t="shared" ref="M22:M28" si="7">D22+M$19</f>
        <v>0.45999999999999996</v>
      </c>
      <c r="N22" s="39">
        <f t="shared" ref="N22:N28" si="8">E22+$N$19</f>
        <v>0.62</v>
      </c>
      <c r="O22" s="260">
        <f t="shared" ref="O22:O28" si="9">M22*N22</f>
        <v>0.28519999999999995</v>
      </c>
      <c r="P22" s="258">
        <f t="shared" ref="P22:P28" si="10">O22*L22</f>
        <v>0.28519999999999995</v>
      </c>
      <c r="Q22" s="251">
        <f t="shared" ref="Q22:Q28" si="11">Q$20*O22</f>
        <v>17652.052251516572</v>
      </c>
      <c r="R22" s="304">
        <f t="shared" ref="R22:R28" si="12">Q22+R$20</f>
        <v>20652.052251516572</v>
      </c>
      <c r="S22" s="292"/>
      <c r="T22" s="46"/>
      <c r="U22" s="9"/>
      <c r="X22" s="4"/>
    </row>
    <row r="23" spans="2:25" ht="17.399999999999999" x14ac:dyDescent="0.3">
      <c r="B23" s="315"/>
      <c r="C23" s="315"/>
      <c r="D23" s="316"/>
      <c r="E23" s="316"/>
      <c r="F23" s="315" t="s">
        <v>176</v>
      </c>
      <c r="G23" s="317">
        <v>24390</v>
      </c>
      <c r="H23" s="317">
        <f t="shared" si="5"/>
        <v>0</v>
      </c>
      <c r="I23" s="305"/>
      <c r="J23" s="264"/>
      <c r="K23" s="47"/>
      <c r="L23" s="335">
        <f t="shared" si="6"/>
        <v>0</v>
      </c>
      <c r="M23" s="336">
        <f t="shared" si="7"/>
        <v>0.05</v>
      </c>
      <c r="N23" s="39">
        <f t="shared" si="8"/>
        <v>0</v>
      </c>
      <c r="O23" s="260">
        <f t="shared" si="9"/>
        <v>0</v>
      </c>
      <c r="P23" s="258">
        <f t="shared" si="10"/>
        <v>0</v>
      </c>
      <c r="Q23" s="251">
        <f t="shared" si="11"/>
        <v>0</v>
      </c>
      <c r="R23" s="304">
        <f t="shared" si="12"/>
        <v>3000</v>
      </c>
      <c r="S23" s="292"/>
      <c r="T23" s="46"/>
      <c r="U23" s="9"/>
      <c r="X23" s="4"/>
    </row>
    <row r="24" spans="2:25" ht="17.399999999999999" x14ac:dyDescent="0.3">
      <c r="B24" s="315">
        <v>2</v>
      </c>
      <c r="C24" s="315" t="s">
        <v>170</v>
      </c>
      <c r="D24" s="316">
        <v>0.83</v>
      </c>
      <c r="E24" s="316">
        <v>0.29799999999999999</v>
      </c>
      <c r="F24" s="315" t="s">
        <v>176</v>
      </c>
      <c r="G24" s="317">
        <v>17824</v>
      </c>
      <c r="H24" s="317">
        <f t="shared" si="5"/>
        <v>35648</v>
      </c>
      <c r="I24" s="305"/>
      <c r="J24" s="264"/>
      <c r="K24" s="47"/>
      <c r="L24" s="335">
        <f t="shared" si="6"/>
        <v>2</v>
      </c>
      <c r="M24" s="336">
        <f t="shared" si="7"/>
        <v>0.88</v>
      </c>
      <c r="N24" s="39">
        <f t="shared" si="8"/>
        <v>0.29799999999999999</v>
      </c>
      <c r="O24" s="260">
        <f t="shared" si="9"/>
        <v>0.26223999999999997</v>
      </c>
      <c r="P24" s="258">
        <f t="shared" si="10"/>
        <v>0.52447999999999995</v>
      </c>
      <c r="Q24" s="251">
        <f t="shared" si="11"/>
        <v>16230.975394241605</v>
      </c>
      <c r="R24" s="304">
        <f t="shared" si="12"/>
        <v>19230.975394241606</v>
      </c>
      <c r="S24" s="292"/>
      <c r="T24" s="46"/>
      <c r="U24" s="9"/>
      <c r="X24" s="4"/>
    </row>
    <row r="25" spans="2:25" ht="17.399999999999999" x14ac:dyDescent="0.3">
      <c r="B25" s="315"/>
      <c r="C25" s="315"/>
      <c r="D25" s="316"/>
      <c r="E25" s="316"/>
      <c r="F25" s="315" t="s">
        <v>176</v>
      </c>
      <c r="G25" s="317">
        <v>24390</v>
      </c>
      <c r="H25" s="317">
        <f t="shared" si="5"/>
        <v>0</v>
      </c>
      <c r="I25" s="305"/>
      <c r="J25" s="264"/>
      <c r="K25" s="47"/>
      <c r="L25" s="335">
        <f t="shared" si="6"/>
        <v>0</v>
      </c>
      <c r="M25" s="336">
        <f t="shared" si="7"/>
        <v>0.05</v>
      </c>
      <c r="N25" s="39">
        <f t="shared" si="8"/>
        <v>0</v>
      </c>
      <c r="O25" s="260">
        <f t="shared" si="9"/>
        <v>0</v>
      </c>
      <c r="P25" s="258">
        <f t="shared" si="10"/>
        <v>0</v>
      </c>
      <c r="Q25" s="251">
        <f t="shared" si="11"/>
        <v>0</v>
      </c>
      <c r="R25" s="304">
        <f t="shared" si="12"/>
        <v>3000</v>
      </c>
      <c r="S25" s="292"/>
      <c r="T25" s="46"/>
      <c r="U25" s="9"/>
      <c r="X25" s="4"/>
    </row>
    <row r="26" spans="2:25" ht="17.399999999999999" x14ac:dyDescent="0.3">
      <c r="B26" s="315">
        <v>1</v>
      </c>
      <c r="C26" s="315" t="s">
        <v>170</v>
      </c>
      <c r="D26" s="316">
        <v>0.83</v>
      </c>
      <c r="E26" s="316">
        <v>0.53</v>
      </c>
      <c r="F26" s="315" t="s">
        <v>176</v>
      </c>
      <c r="G26" s="317">
        <v>29364</v>
      </c>
      <c r="H26" s="317">
        <f t="shared" si="5"/>
        <v>29364</v>
      </c>
      <c r="I26" s="305"/>
      <c r="J26" s="264"/>
      <c r="K26" s="47"/>
      <c r="L26" s="337">
        <f t="shared" si="6"/>
        <v>1</v>
      </c>
      <c r="M26" s="338">
        <f t="shared" si="7"/>
        <v>0.88</v>
      </c>
      <c r="N26" s="39">
        <f t="shared" si="8"/>
        <v>0.53</v>
      </c>
      <c r="O26" s="260">
        <f t="shared" si="9"/>
        <v>0.46640000000000004</v>
      </c>
      <c r="P26" s="258">
        <f t="shared" si="10"/>
        <v>0.46640000000000004</v>
      </c>
      <c r="Q26" s="251">
        <f t="shared" si="11"/>
        <v>28867.171003181385</v>
      </c>
      <c r="R26" s="304">
        <f t="shared" si="12"/>
        <v>31867.171003181385</v>
      </c>
      <c r="S26" s="292"/>
      <c r="T26" s="46"/>
      <c r="U26" s="9"/>
      <c r="X26" s="4"/>
    </row>
    <row r="27" spans="2:25" ht="17.399999999999999" x14ac:dyDescent="0.3">
      <c r="B27" s="315">
        <v>1</v>
      </c>
      <c r="C27" s="315" t="s">
        <v>170</v>
      </c>
      <c r="D27" s="316">
        <v>0.79</v>
      </c>
      <c r="E27" s="316">
        <v>0.29699999999999999</v>
      </c>
      <c r="F27" s="315" t="s">
        <v>176</v>
      </c>
      <c r="G27" s="317">
        <v>17102</v>
      </c>
      <c r="H27" s="317">
        <f t="shared" si="5"/>
        <v>17102</v>
      </c>
      <c r="I27" s="305"/>
      <c r="J27" s="264"/>
      <c r="K27" s="47"/>
      <c r="L27" s="47">
        <f t="shared" si="6"/>
        <v>1</v>
      </c>
      <c r="M27" s="39">
        <f t="shared" si="7"/>
        <v>0.84000000000000008</v>
      </c>
      <c r="N27" s="39">
        <f t="shared" si="8"/>
        <v>0.29699999999999999</v>
      </c>
      <c r="O27" s="260">
        <f t="shared" si="9"/>
        <v>0.24948000000000001</v>
      </c>
      <c r="P27" s="258">
        <f t="shared" si="10"/>
        <v>0.24948000000000001</v>
      </c>
      <c r="Q27" s="251">
        <f t="shared" si="11"/>
        <v>15441.213168682872</v>
      </c>
      <c r="R27" s="304">
        <f t="shared" si="12"/>
        <v>18441.213168682872</v>
      </c>
      <c r="S27" s="292"/>
      <c r="T27" s="46"/>
      <c r="U27" s="9"/>
      <c r="X27" s="4"/>
    </row>
    <row r="28" spans="2:25" ht="17.399999999999999" x14ac:dyDescent="0.3">
      <c r="B28" s="315">
        <v>1</v>
      </c>
      <c r="C28" s="315" t="s">
        <v>170</v>
      </c>
      <c r="D28" s="316">
        <v>0.435</v>
      </c>
      <c r="E28" s="316">
        <v>0.77500000000000002</v>
      </c>
      <c r="F28" s="315" t="s">
        <v>176</v>
      </c>
      <c r="G28" s="317">
        <v>24247</v>
      </c>
      <c r="H28" s="317">
        <f t="shared" si="5"/>
        <v>24247</v>
      </c>
      <c r="I28" s="305"/>
      <c r="J28" s="264"/>
      <c r="K28" s="47"/>
      <c r="L28" s="47">
        <f t="shared" si="6"/>
        <v>1</v>
      </c>
      <c r="M28" s="39">
        <f t="shared" si="7"/>
        <v>0.48499999999999999</v>
      </c>
      <c r="N28" s="39">
        <f t="shared" si="8"/>
        <v>0.77500000000000002</v>
      </c>
      <c r="O28" s="260">
        <f t="shared" si="9"/>
        <v>0.37587500000000001</v>
      </c>
      <c r="P28" s="258">
        <f t="shared" si="10"/>
        <v>0.37587500000000001</v>
      </c>
      <c r="Q28" s="251">
        <f t="shared" si="11"/>
        <v>23264.253646699832</v>
      </c>
      <c r="R28" s="304">
        <f t="shared" si="12"/>
        <v>26264.253646699832</v>
      </c>
      <c r="S28" s="292"/>
      <c r="T28" s="46"/>
      <c r="U28" s="9"/>
      <c r="X28" s="4"/>
    </row>
    <row r="29" spans="2:25" ht="17.399999999999999" x14ac:dyDescent="0.3">
      <c r="B29" s="315">
        <v>1</v>
      </c>
      <c r="C29" s="315" t="s">
        <v>170</v>
      </c>
      <c r="D29" s="316">
        <v>5.8000000000000003E-2</v>
      </c>
      <c r="E29" s="316">
        <v>0.60799999999999998</v>
      </c>
      <c r="F29" s="315" t="s">
        <v>176</v>
      </c>
      <c r="G29" s="317">
        <v>6712</v>
      </c>
      <c r="H29" s="317">
        <f t="shared" si="5"/>
        <v>6712</v>
      </c>
      <c r="I29" s="305"/>
      <c r="J29" s="264"/>
      <c r="K29" s="47"/>
      <c r="L29" s="333">
        <f t="shared" si="6"/>
        <v>1</v>
      </c>
      <c r="M29" s="334">
        <f t="shared" ref="M29:M42" si="13">D29+M$19</f>
        <v>0.10800000000000001</v>
      </c>
      <c r="N29" s="39">
        <f t="shared" ref="N29:N42" si="14">E29+$N$19</f>
        <v>0.60799999999999998</v>
      </c>
      <c r="O29" s="260">
        <f t="shared" ref="O29:O42" si="15">M29*N29</f>
        <v>6.5664E-2</v>
      </c>
      <c r="P29" s="258">
        <f t="shared" ref="P29:P42" si="16">O29*L29</f>
        <v>6.5664E-2</v>
      </c>
      <c r="Q29" s="251">
        <f t="shared" ref="Q29:Q42" si="17">Q$20*O29</f>
        <v>4064.1807820602535</v>
      </c>
      <c r="R29" s="304">
        <f t="shared" ref="R29:R42" si="18">Q29+R$20</f>
        <v>7064.1807820602535</v>
      </c>
      <c r="S29" s="292"/>
      <c r="T29" s="46"/>
      <c r="U29" s="9"/>
      <c r="X29" s="4"/>
    </row>
    <row r="30" spans="2:25" ht="17.399999999999999" x14ac:dyDescent="0.3">
      <c r="B30" s="315">
        <v>2</v>
      </c>
      <c r="C30" s="315" t="s">
        <v>170</v>
      </c>
      <c r="D30" s="316">
        <v>0.128</v>
      </c>
      <c r="E30" s="316">
        <v>0.42799999999999999</v>
      </c>
      <c r="F30" s="315" t="s">
        <v>176</v>
      </c>
      <c r="G30" s="317">
        <v>7306</v>
      </c>
      <c r="H30" s="317">
        <f t="shared" si="5"/>
        <v>14612</v>
      </c>
      <c r="I30" s="305"/>
      <c r="J30" s="264"/>
      <c r="K30" s="47"/>
      <c r="L30" s="333">
        <f t="shared" si="6"/>
        <v>2</v>
      </c>
      <c r="M30" s="334">
        <f t="shared" si="13"/>
        <v>0.17799999999999999</v>
      </c>
      <c r="N30" s="39">
        <f t="shared" si="14"/>
        <v>0.42799999999999999</v>
      </c>
      <c r="O30" s="260">
        <f t="shared" si="15"/>
        <v>7.6184000000000002E-2</v>
      </c>
      <c r="P30" s="258">
        <f t="shared" si="16"/>
        <v>0.152368</v>
      </c>
      <c r="Q30" s="251">
        <f t="shared" si="17"/>
        <v>4715.3013630067981</v>
      </c>
      <c r="R30" s="304">
        <f t="shared" si="18"/>
        <v>7715.3013630067981</v>
      </c>
      <c r="S30" s="292"/>
      <c r="T30" s="46"/>
      <c r="U30" s="9"/>
      <c r="X30" s="4"/>
    </row>
    <row r="31" spans="2:25" ht="17.399999999999999" x14ac:dyDescent="0.3">
      <c r="B31" s="315">
        <v>4</v>
      </c>
      <c r="C31" s="315" t="s">
        <v>170</v>
      </c>
      <c r="D31" s="316">
        <v>0.29699999999999999</v>
      </c>
      <c r="E31" s="316">
        <v>0.42799999999999999</v>
      </c>
      <c r="F31" s="315" t="s">
        <v>176</v>
      </c>
      <c r="G31" s="317">
        <v>11395</v>
      </c>
      <c r="H31" s="317">
        <f t="shared" si="5"/>
        <v>45580</v>
      </c>
      <c r="I31" s="305"/>
      <c r="J31" s="264"/>
      <c r="K31" s="47"/>
      <c r="L31" s="47">
        <f t="shared" si="6"/>
        <v>4</v>
      </c>
      <c r="M31" s="39">
        <f t="shared" si="13"/>
        <v>0.34699999999999998</v>
      </c>
      <c r="N31" s="39">
        <f t="shared" si="14"/>
        <v>0.42799999999999999</v>
      </c>
      <c r="O31" s="260">
        <f t="shared" si="15"/>
        <v>0.14851599999999998</v>
      </c>
      <c r="P31" s="258">
        <f t="shared" si="16"/>
        <v>0.59406399999999993</v>
      </c>
      <c r="Q31" s="251">
        <f t="shared" si="17"/>
        <v>9192.1886121536991</v>
      </c>
      <c r="R31" s="304">
        <f t="shared" si="18"/>
        <v>12192.188612153699</v>
      </c>
      <c r="S31" s="292"/>
      <c r="T31" s="46"/>
      <c r="U31" s="9"/>
      <c r="X31" s="4"/>
    </row>
    <row r="32" spans="2:25" ht="17.399999999999999" x14ac:dyDescent="0.3">
      <c r="B32" s="315">
        <v>1</v>
      </c>
      <c r="C32" s="315" t="s">
        <v>170</v>
      </c>
      <c r="D32" s="316">
        <v>0.12</v>
      </c>
      <c r="E32" s="316">
        <v>0.6</v>
      </c>
      <c r="F32" s="315" t="s">
        <v>176</v>
      </c>
      <c r="G32" s="317">
        <v>8766</v>
      </c>
      <c r="H32" s="317">
        <f t="shared" si="5"/>
        <v>8766</v>
      </c>
      <c r="I32" s="305"/>
      <c r="J32" s="264"/>
      <c r="K32" s="47"/>
      <c r="L32" s="333">
        <f t="shared" si="6"/>
        <v>1</v>
      </c>
      <c r="M32" s="334">
        <f t="shared" si="13"/>
        <v>0.16999999999999998</v>
      </c>
      <c r="N32" s="39">
        <f t="shared" si="14"/>
        <v>0.6</v>
      </c>
      <c r="O32" s="260">
        <f t="shared" si="15"/>
        <v>0.10199999999999999</v>
      </c>
      <c r="P32" s="258">
        <f t="shared" si="16"/>
        <v>0.10199999999999999</v>
      </c>
      <c r="Q32" s="251">
        <f t="shared" si="17"/>
        <v>6313.1463171623091</v>
      </c>
      <c r="R32" s="304">
        <f t="shared" si="18"/>
        <v>9313.1463171623091</v>
      </c>
      <c r="S32" s="292"/>
      <c r="T32" s="46"/>
      <c r="U32" s="9"/>
      <c r="X32" s="4"/>
    </row>
    <row r="33" spans="2:24" ht="17.399999999999999" x14ac:dyDescent="0.3">
      <c r="B33" s="315">
        <v>2</v>
      </c>
      <c r="C33" s="315" t="s">
        <v>170</v>
      </c>
      <c r="D33" s="316">
        <v>0.73</v>
      </c>
      <c r="E33" s="316">
        <v>0.35</v>
      </c>
      <c r="F33" s="315" t="s">
        <v>176</v>
      </c>
      <c r="G33" s="317">
        <v>18432</v>
      </c>
      <c r="H33" s="317">
        <f t="shared" si="5"/>
        <v>36864</v>
      </c>
      <c r="I33" s="305"/>
      <c r="J33" s="264"/>
      <c r="K33" s="47"/>
      <c r="L33" s="337">
        <f t="shared" si="6"/>
        <v>2</v>
      </c>
      <c r="M33" s="338">
        <f t="shared" si="13"/>
        <v>0.78</v>
      </c>
      <c r="N33" s="39">
        <f t="shared" si="14"/>
        <v>0.35</v>
      </c>
      <c r="O33" s="260">
        <f t="shared" si="15"/>
        <v>0.27299999999999996</v>
      </c>
      <c r="P33" s="258">
        <f t="shared" si="16"/>
        <v>0.54599999999999993</v>
      </c>
      <c r="Q33" s="251">
        <f t="shared" si="17"/>
        <v>16896.950437110885</v>
      </c>
      <c r="R33" s="304">
        <f t="shared" si="18"/>
        <v>19896.950437110885</v>
      </c>
      <c r="S33" s="292"/>
      <c r="T33" s="46"/>
      <c r="U33" s="9"/>
      <c r="X33" s="4"/>
    </row>
    <row r="34" spans="2:24" ht="17.399999999999999" x14ac:dyDescent="0.3">
      <c r="B34" s="315">
        <v>2</v>
      </c>
      <c r="C34" s="315" t="s">
        <v>170</v>
      </c>
      <c r="D34" s="316">
        <v>0.74</v>
      </c>
      <c r="E34" s="316">
        <v>0.28699999999999998</v>
      </c>
      <c r="F34" s="315" t="s">
        <v>176</v>
      </c>
      <c r="G34" s="317">
        <v>15816</v>
      </c>
      <c r="H34" s="317">
        <f t="shared" si="5"/>
        <v>31632</v>
      </c>
      <c r="I34" s="305"/>
      <c r="J34" s="264"/>
      <c r="K34" s="47"/>
      <c r="L34" s="337">
        <f t="shared" si="6"/>
        <v>2</v>
      </c>
      <c r="M34" s="338">
        <f t="shared" si="13"/>
        <v>0.79</v>
      </c>
      <c r="N34" s="39">
        <f t="shared" si="14"/>
        <v>0.28699999999999998</v>
      </c>
      <c r="O34" s="260">
        <f t="shared" si="15"/>
        <v>0.22672999999999999</v>
      </c>
      <c r="P34" s="258">
        <f t="shared" si="16"/>
        <v>0.45345999999999997</v>
      </c>
      <c r="Q34" s="251">
        <f t="shared" si="17"/>
        <v>14033.133965590296</v>
      </c>
      <c r="R34" s="304">
        <f t="shared" si="18"/>
        <v>17033.133965590296</v>
      </c>
      <c r="S34" s="292"/>
      <c r="T34" s="46"/>
      <c r="U34" s="9"/>
      <c r="X34" s="4"/>
    </row>
    <row r="35" spans="2:24" ht="17.399999999999999" x14ac:dyDescent="0.3">
      <c r="B35" s="315">
        <v>1</v>
      </c>
      <c r="C35" s="315" t="s">
        <v>175</v>
      </c>
      <c r="D35" s="316">
        <v>0.75</v>
      </c>
      <c r="E35" s="316">
        <v>0.13200000000000001</v>
      </c>
      <c r="F35" s="315" t="s">
        <v>176</v>
      </c>
      <c r="G35" s="317">
        <v>8969</v>
      </c>
      <c r="H35" s="317">
        <f t="shared" si="5"/>
        <v>8969</v>
      </c>
      <c r="I35" s="305"/>
      <c r="J35" s="264"/>
      <c r="K35" s="47"/>
      <c r="L35" s="337">
        <f t="shared" si="6"/>
        <v>1</v>
      </c>
      <c r="M35" s="338">
        <f t="shared" si="13"/>
        <v>0.8</v>
      </c>
      <c r="N35" s="39">
        <f t="shared" si="14"/>
        <v>0.13200000000000001</v>
      </c>
      <c r="O35" s="260">
        <f t="shared" si="15"/>
        <v>0.10560000000000001</v>
      </c>
      <c r="P35" s="258">
        <f t="shared" si="16"/>
        <v>0.10560000000000001</v>
      </c>
      <c r="Q35" s="251">
        <f t="shared" si="17"/>
        <v>6535.9632460033326</v>
      </c>
      <c r="R35" s="304">
        <f t="shared" si="18"/>
        <v>9535.9632460033317</v>
      </c>
      <c r="S35" s="292"/>
      <c r="T35" s="46"/>
      <c r="U35" s="9"/>
      <c r="X35" s="4"/>
    </row>
    <row r="36" spans="2:24" ht="17.399999999999999" x14ac:dyDescent="0.3">
      <c r="B36" s="315">
        <v>1</v>
      </c>
      <c r="C36" s="315" t="s">
        <v>175</v>
      </c>
      <c r="D36" s="316">
        <v>0.83</v>
      </c>
      <c r="E36" s="316">
        <v>0.02</v>
      </c>
      <c r="F36" s="315" t="s">
        <v>176</v>
      </c>
      <c r="G36" s="317">
        <v>3995</v>
      </c>
      <c r="H36" s="317">
        <f t="shared" si="5"/>
        <v>3995</v>
      </c>
      <c r="I36" s="305"/>
      <c r="J36" s="264"/>
      <c r="K36" s="47"/>
      <c r="L36" s="47">
        <f t="shared" si="6"/>
        <v>1</v>
      </c>
      <c r="M36" s="39">
        <f t="shared" si="13"/>
        <v>0.88</v>
      </c>
      <c r="N36" s="39">
        <f t="shared" si="14"/>
        <v>0.02</v>
      </c>
      <c r="O36" s="260">
        <f t="shared" si="15"/>
        <v>1.7600000000000001E-2</v>
      </c>
      <c r="P36" s="258">
        <f t="shared" si="16"/>
        <v>1.7600000000000001E-2</v>
      </c>
      <c r="Q36" s="251">
        <f t="shared" si="17"/>
        <v>1089.327207667222</v>
      </c>
      <c r="R36" s="304">
        <f t="shared" si="18"/>
        <v>4089.327207667222</v>
      </c>
      <c r="S36" s="292"/>
      <c r="T36" s="46"/>
      <c r="U36" s="9"/>
      <c r="X36" s="4"/>
    </row>
    <row r="37" spans="2:24" ht="17.399999999999999" x14ac:dyDescent="0.3">
      <c r="B37" s="315">
        <v>1</v>
      </c>
      <c r="C37" s="315" t="s">
        <v>175</v>
      </c>
      <c r="D37" s="316">
        <v>0.83</v>
      </c>
      <c r="E37" s="316">
        <v>0.05</v>
      </c>
      <c r="F37" s="315" t="s">
        <v>176</v>
      </c>
      <c r="G37" s="317">
        <v>5487</v>
      </c>
      <c r="H37" s="317">
        <f t="shared" si="5"/>
        <v>5487</v>
      </c>
      <c r="I37" s="305"/>
      <c r="J37" s="264"/>
      <c r="K37" s="47"/>
      <c r="L37" s="47">
        <f t="shared" si="6"/>
        <v>1</v>
      </c>
      <c r="M37" s="39">
        <f t="shared" si="13"/>
        <v>0.88</v>
      </c>
      <c r="N37" s="39">
        <f t="shared" si="14"/>
        <v>0.05</v>
      </c>
      <c r="O37" s="260">
        <f t="shared" si="15"/>
        <v>4.4000000000000004E-2</v>
      </c>
      <c r="P37" s="258">
        <f t="shared" si="16"/>
        <v>4.4000000000000004E-2</v>
      </c>
      <c r="Q37" s="251">
        <f t="shared" si="17"/>
        <v>2723.3180191680553</v>
      </c>
      <c r="R37" s="304">
        <f t="shared" si="18"/>
        <v>5723.3180191680549</v>
      </c>
      <c r="S37" s="292"/>
      <c r="T37" s="46"/>
      <c r="U37" s="9"/>
      <c r="X37" s="4"/>
    </row>
    <row r="38" spans="2:24" ht="17.399999999999999" x14ac:dyDescent="0.3">
      <c r="B38" s="315">
        <v>1</v>
      </c>
      <c r="C38" s="315" t="s">
        <v>175</v>
      </c>
      <c r="D38" s="316">
        <v>0.79</v>
      </c>
      <c r="E38" s="316">
        <v>7.0000000000000007E-2</v>
      </c>
      <c r="F38" s="315" t="s">
        <v>176</v>
      </c>
      <c r="G38" s="317">
        <v>6324</v>
      </c>
      <c r="H38" s="317">
        <f t="shared" si="5"/>
        <v>6324</v>
      </c>
      <c r="I38" s="305"/>
      <c r="J38" s="264"/>
      <c r="K38" s="47"/>
      <c r="L38" s="47">
        <f t="shared" si="6"/>
        <v>1</v>
      </c>
      <c r="M38" s="39">
        <f t="shared" si="13"/>
        <v>0.84000000000000008</v>
      </c>
      <c r="N38" s="39">
        <f t="shared" si="14"/>
        <v>7.0000000000000007E-2</v>
      </c>
      <c r="O38" s="260">
        <f t="shared" si="15"/>
        <v>5.8800000000000012E-2</v>
      </c>
      <c r="P38" s="258">
        <f t="shared" si="16"/>
        <v>5.8800000000000012E-2</v>
      </c>
      <c r="Q38" s="251">
        <f t="shared" si="17"/>
        <v>3639.3431710700379</v>
      </c>
      <c r="R38" s="304">
        <f t="shared" si="18"/>
        <v>6639.3431710700379</v>
      </c>
      <c r="S38" s="292"/>
      <c r="T38" s="46"/>
      <c r="U38" s="9"/>
      <c r="X38" s="4"/>
    </row>
    <row r="39" spans="2:24" ht="17.399999999999999" x14ac:dyDescent="0.3">
      <c r="B39" s="315">
        <v>1</v>
      </c>
      <c r="C39" s="315" t="s">
        <v>175</v>
      </c>
      <c r="D39" s="316">
        <v>0.73</v>
      </c>
      <c r="E39" s="316">
        <v>2.8000000000000001E-2</v>
      </c>
      <c r="F39" s="315" t="s">
        <v>176</v>
      </c>
      <c r="G39" s="317">
        <v>4235</v>
      </c>
      <c r="H39" s="317">
        <f t="shared" si="5"/>
        <v>4235</v>
      </c>
      <c r="I39" s="305"/>
      <c r="J39" s="264"/>
      <c r="K39" s="47"/>
      <c r="L39" s="47">
        <f t="shared" si="6"/>
        <v>1</v>
      </c>
      <c r="M39" s="39">
        <f t="shared" si="13"/>
        <v>0.78</v>
      </c>
      <c r="N39" s="39">
        <f t="shared" si="14"/>
        <v>2.8000000000000001E-2</v>
      </c>
      <c r="O39" s="260">
        <f t="shared" si="15"/>
        <v>2.1840000000000002E-2</v>
      </c>
      <c r="P39" s="258">
        <f t="shared" si="16"/>
        <v>2.1840000000000002E-2</v>
      </c>
      <c r="Q39" s="251">
        <f t="shared" si="17"/>
        <v>1351.7560349688711</v>
      </c>
      <c r="R39" s="304">
        <f t="shared" si="18"/>
        <v>4351.7560349688711</v>
      </c>
      <c r="S39" s="292"/>
      <c r="T39" s="46"/>
      <c r="U39" s="9"/>
      <c r="X39" s="4"/>
    </row>
    <row r="40" spans="2:24" ht="17.399999999999999" x14ac:dyDescent="0.3">
      <c r="B40" s="315">
        <v>1</v>
      </c>
      <c r="C40" s="315" t="s">
        <v>175</v>
      </c>
      <c r="D40" s="316">
        <v>0.73</v>
      </c>
      <c r="E40" s="316">
        <v>4.7E-2</v>
      </c>
      <c r="F40" s="315" t="s">
        <v>176</v>
      </c>
      <c r="G40" s="317">
        <v>5072</v>
      </c>
      <c r="H40" s="317">
        <f t="shared" si="5"/>
        <v>5072</v>
      </c>
      <c r="I40" s="305"/>
      <c r="J40" s="264"/>
      <c r="K40" s="47"/>
      <c r="L40" s="47">
        <f t="shared" si="6"/>
        <v>1</v>
      </c>
      <c r="M40" s="39">
        <f t="shared" si="13"/>
        <v>0.78</v>
      </c>
      <c r="N40" s="39">
        <f t="shared" si="14"/>
        <v>4.7E-2</v>
      </c>
      <c r="O40" s="260">
        <f t="shared" si="15"/>
        <v>3.6659999999999998E-2</v>
      </c>
      <c r="P40" s="258">
        <f t="shared" si="16"/>
        <v>3.6659999999999998E-2</v>
      </c>
      <c r="Q40" s="251">
        <f t="shared" si="17"/>
        <v>2269.0190586977474</v>
      </c>
      <c r="R40" s="304">
        <f t="shared" si="18"/>
        <v>5269.0190586977478</v>
      </c>
      <c r="S40" s="292"/>
      <c r="T40" s="46"/>
      <c r="U40" s="9"/>
      <c r="X40" s="4"/>
    </row>
    <row r="41" spans="2:24" ht="17.399999999999999" x14ac:dyDescent="0.3">
      <c r="B41" s="315">
        <v>1</v>
      </c>
      <c r="C41" s="315" t="s">
        <v>178</v>
      </c>
      <c r="D41" s="316">
        <v>1.1499999999999999</v>
      </c>
      <c r="E41" s="316">
        <v>0.7</v>
      </c>
      <c r="F41" s="315" t="s">
        <v>176</v>
      </c>
      <c r="G41" s="317">
        <v>50483</v>
      </c>
      <c r="H41" s="317">
        <f t="shared" si="5"/>
        <v>50483</v>
      </c>
      <c r="I41" s="305"/>
      <c r="J41" s="264"/>
      <c r="K41" s="47"/>
      <c r="L41" s="333">
        <f t="shared" si="6"/>
        <v>1</v>
      </c>
      <c r="M41" s="334">
        <f t="shared" si="13"/>
        <v>1.2</v>
      </c>
      <c r="N41" s="39">
        <f t="shared" si="14"/>
        <v>0.7</v>
      </c>
      <c r="O41" s="260">
        <f t="shared" si="15"/>
        <v>0.84</v>
      </c>
      <c r="P41" s="258">
        <f t="shared" si="16"/>
        <v>0.84</v>
      </c>
      <c r="Q41" s="251">
        <f t="shared" si="17"/>
        <v>51990.616729571957</v>
      </c>
      <c r="R41" s="304">
        <f t="shared" si="18"/>
        <v>54990.616729571957</v>
      </c>
      <c r="S41" s="292"/>
      <c r="T41" s="46"/>
      <c r="U41" s="9"/>
      <c r="X41" s="4"/>
    </row>
    <row r="42" spans="2:24" ht="17.399999999999999" x14ac:dyDescent="0.3">
      <c r="B42" s="315">
        <v>1</v>
      </c>
      <c r="C42" s="315" t="s">
        <v>177</v>
      </c>
      <c r="D42" s="316">
        <v>1.54</v>
      </c>
      <c r="E42" s="316">
        <v>0.7</v>
      </c>
      <c r="F42" s="315" t="s">
        <v>176</v>
      </c>
      <c r="G42" s="317">
        <v>65915</v>
      </c>
      <c r="H42" s="317">
        <f t="shared" si="5"/>
        <v>65915</v>
      </c>
      <c r="I42" s="305"/>
      <c r="J42" s="264"/>
      <c r="K42" s="47"/>
      <c r="L42" s="333">
        <f t="shared" si="6"/>
        <v>1</v>
      </c>
      <c r="M42" s="334">
        <f t="shared" si="13"/>
        <v>1.59</v>
      </c>
      <c r="N42" s="39">
        <f t="shared" si="14"/>
        <v>0.7</v>
      </c>
      <c r="O42" s="260">
        <f t="shared" si="15"/>
        <v>1.113</v>
      </c>
      <c r="P42" s="258">
        <f t="shared" si="16"/>
        <v>1.113</v>
      </c>
      <c r="Q42" s="251">
        <f t="shared" si="17"/>
        <v>68887.567166682842</v>
      </c>
      <c r="R42" s="304">
        <f t="shared" si="18"/>
        <v>71887.567166682842</v>
      </c>
      <c r="S42" s="292"/>
      <c r="T42" s="46"/>
      <c r="U42" s="9"/>
      <c r="X42" s="4"/>
    </row>
    <row r="43" spans="2:24" ht="17.399999999999999" x14ac:dyDescent="0.3">
      <c r="B43" s="315">
        <v>1</v>
      </c>
      <c r="C43" s="315" t="s">
        <v>179</v>
      </c>
      <c r="D43" s="316"/>
      <c r="E43" s="316"/>
      <c r="F43" s="315"/>
      <c r="G43" s="317">
        <v>55000</v>
      </c>
      <c r="H43" s="317">
        <f t="shared" si="5"/>
        <v>55000</v>
      </c>
      <c r="I43" s="305"/>
      <c r="J43" s="264"/>
      <c r="K43" s="47"/>
      <c r="L43" s="47">
        <f t="shared" si="6"/>
        <v>1</v>
      </c>
      <c r="M43" s="39"/>
      <c r="N43" s="39"/>
      <c r="O43" s="260"/>
      <c r="P43" s="258"/>
      <c r="Q43" s="251"/>
      <c r="R43" s="304"/>
      <c r="S43" s="292"/>
      <c r="T43" s="46"/>
      <c r="U43" s="9"/>
      <c r="X43" s="4"/>
    </row>
    <row r="44" spans="2:24" ht="17.399999999999999" x14ac:dyDescent="0.3">
      <c r="B44" s="315">
        <v>1</v>
      </c>
      <c r="C44" s="315" t="s">
        <v>180</v>
      </c>
      <c r="D44" s="316"/>
      <c r="E44" s="316"/>
      <c r="F44" s="315"/>
      <c r="G44" s="317">
        <v>145000</v>
      </c>
      <c r="H44" s="317">
        <f t="shared" si="5"/>
        <v>145000</v>
      </c>
      <c r="I44" s="305"/>
      <c r="J44" s="264"/>
      <c r="K44" s="47"/>
      <c r="L44" s="47">
        <f t="shared" si="6"/>
        <v>1</v>
      </c>
      <c r="M44" s="39"/>
      <c r="N44" s="39"/>
      <c r="O44" s="260"/>
      <c r="P44" s="258"/>
      <c r="Q44" s="251"/>
      <c r="R44" s="304"/>
      <c r="S44" s="292"/>
      <c r="T44" s="46"/>
      <c r="U44" s="9"/>
      <c r="X44" s="4"/>
    </row>
    <row r="45" spans="2:24" ht="17.399999999999999" x14ac:dyDescent="0.3">
      <c r="B45" s="315">
        <v>1</v>
      </c>
      <c r="C45" s="315" t="s">
        <v>181</v>
      </c>
      <c r="D45" s="316"/>
      <c r="E45" s="316"/>
      <c r="F45" s="315"/>
      <c r="G45" s="317">
        <v>35000</v>
      </c>
      <c r="H45" s="317">
        <f t="shared" si="5"/>
        <v>35000</v>
      </c>
      <c r="I45" s="305"/>
      <c r="J45" s="264"/>
      <c r="K45" s="47"/>
      <c r="L45" s="47">
        <f t="shared" si="6"/>
        <v>1</v>
      </c>
      <c r="M45" s="39"/>
      <c r="N45" s="39"/>
      <c r="O45" s="260"/>
      <c r="P45" s="258"/>
      <c r="Q45" s="251"/>
      <c r="R45" s="304"/>
      <c r="S45" s="292"/>
      <c r="T45" s="46"/>
      <c r="U45" s="9"/>
      <c r="X45" s="4"/>
    </row>
    <row r="46" spans="2:24" ht="17.399999999999999" x14ac:dyDescent="0.3">
      <c r="B46" s="315">
        <v>26</v>
      </c>
      <c r="C46" s="315" t="s">
        <v>182</v>
      </c>
      <c r="D46" s="316"/>
      <c r="E46" s="316"/>
      <c r="F46" s="315"/>
      <c r="G46" s="317">
        <v>2500</v>
      </c>
      <c r="H46" s="317">
        <f t="shared" si="5"/>
        <v>65000</v>
      </c>
      <c r="I46" s="305"/>
      <c r="J46" s="264"/>
      <c r="K46" s="47"/>
      <c r="L46" s="47"/>
      <c r="M46" s="39"/>
      <c r="N46" s="39"/>
      <c r="O46" s="260"/>
      <c r="P46" s="258"/>
      <c r="Q46" s="251"/>
      <c r="R46" s="304"/>
      <c r="S46" s="292"/>
      <c r="T46" s="46"/>
      <c r="U46" s="9"/>
      <c r="X46" s="4"/>
    </row>
    <row r="47" spans="2:24" ht="17.399999999999999" x14ac:dyDescent="0.3">
      <c r="B47" s="315">
        <v>1</v>
      </c>
      <c r="C47" s="315" t="s">
        <v>183</v>
      </c>
      <c r="D47" s="316"/>
      <c r="E47" s="316"/>
      <c r="F47" s="315"/>
      <c r="G47" s="317">
        <v>130000</v>
      </c>
      <c r="H47" s="317">
        <f t="shared" si="5"/>
        <v>130000</v>
      </c>
      <c r="I47" s="305"/>
      <c r="J47" s="264"/>
      <c r="K47" s="47"/>
      <c r="L47" s="47"/>
      <c r="M47" s="39"/>
      <c r="N47" s="39"/>
      <c r="O47" s="260"/>
      <c r="P47" s="258"/>
      <c r="Q47" s="251"/>
      <c r="R47" s="304"/>
      <c r="S47" s="292"/>
      <c r="T47" s="46"/>
      <c r="U47" s="9"/>
      <c r="X47" s="4"/>
    </row>
    <row r="48" spans="2:24" ht="18" thickBot="1" x14ac:dyDescent="0.35">
      <c r="B48" s="282"/>
      <c r="C48" s="282"/>
      <c r="D48" s="283"/>
      <c r="E48" s="283"/>
      <c r="F48" s="282"/>
      <c r="G48" s="264"/>
      <c r="H48" s="306"/>
      <c r="I48" s="308"/>
      <c r="J48" s="233"/>
      <c r="K48" s="47"/>
      <c r="L48" s="47"/>
      <c r="M48" s="39"/>
      <c r="N48" s="39"/>
      <c r="O48" s="260"/>
      <c r="P48" s="258"/>
      <c r="Q48" s="251"/>
      <c r="R48" s="257"/>
      <c r="S48" s="292"/>
      <c r="T48" s="14"/>
      <c r="U48" s="9"/>
      <c r="X48" s="4"/>
    </row>
    <row r="49" spans="1:24" ht="17.399999999999999" x14ac:dyDescent="0.3">
      <c r="B49" s="282"/>
      <c r="C49" s="282"/>
      <c r="D49" s="283"/>
      <c r="E49" s="283"/>
      <c r="F49" s="282"/>
      <c r="G49" s="309" t="s">
        <v>28</v>
      </c>
      <c r="H49" s="310">
        <f>SUM(H21:H48)</f>
        <v>890949</v>
      </c>
      <c r="I49" s="307"/>
      <c r="J49" s="264"/>
      <c r="K49" s="47">
        <v>2600000</v>
      </c>
      <c r="L49" s="47"/>
      <c r="M49" s="39"/>
      <c r="N49" s="39"/>
      <c r="O49" s="260"/>
      <c r="P49" s="258"/>
      <c r="Q49" s="251"/>
      <c r="R49" s="257"/>
      <c r="S49" s="292"/>
      <c r="T49" s="46">
        <f>SUM(T21:T48)</f>
        <v>2.8</v>
      </c>
      <c r="U49" s="9"/>
      <c r="X49" s="4"/>
    </row>
    <row r="50" spans="1:24" ht="17.399999999999999" x14ac:dyDescent="0.3">
      <c r="B50" s="276"/>
      <c r="C50" s="279"/>
      <c r="D50" s="280"/>
      <c r="E50" s="280"/>
      <c r="F50" s="281"/>
      <c r="G50" s="291" t="s">
        <v>51</v>
      </c>
      <c r="H50" s="289"/>
      <c r="I50" s="307"/>
      <c r="J50" s="264"/>
      <c r="K50" s="47"/>
      <c r="L50" s="47"/>
      <c r="M50" s="39">
        <f>SUM(M21:M21)</f>
        <v>0.88</v>
      </c>
      <c r="N50" s="12"/>
      <c r="O50" s="12"/>
      <c r="P50" s="252">
        <f>SUM(P21:P48)</f>
        <v>6.6684909999999995</v>
      </c>
      <c r="Q50" s="14"/>
      <c r="R50" s="12"/>
      <c r="S50" s="239">
        <f>SUM(S21:S49)</f>
        <v>1.76</v>
      </c>
      <c r="T50" s="46"/>
      <c r="U50" s="9"/>
      <c r="X50" s="4"/>
    </row>
    <row r="51" spans="1:24" ht="18" thickBot="1" x14ac:dyDescent="0.35">
      <c r="B51" s="274"/>
      <c r="C51" s="278"/>
      <c r="D51" s="271"/>
      <c r="E51" s="271"/>
      <c r="F51" s="272"/>
      <c r="G51" s="277" t="s">
        <v>6</v>
      </c>
      <c r="H51" s="290">
        <f>H49+H50</f>
        <v>890949</v>
      </c>
      <c r="I51" s="307"/>
      <c r="J51" s="264"/>
      <c r="K51" s="47"/>
      <c r="L51" s="47"/>
      <c r="M51" s="39"/>
      <c r="N51" s="12"/>
      <c r="O51" s="12"/>
      <c r="P51" s="252">
        <f>P50</f>
        <v>6.6684909999999995</v>
      </c>
      <c r="Q51" s="14"/>
      <c r="R51" s="12"/>
      <c r="S51" s="239"/>
      <c r="T51" s="46"/>
      <c r="U51" s="9"/>
      <c r="X51" s="4"/>
    </row>
    <row r="52" spans="1:24" ht="17.399999999999999" x14ac:dyDescent="0.3">
      <c r="B52" s="274"/>
      <c r="C52" s="270"/>
      <c r="D52" s="271"/>
      <c r="E52" s="271"/>
      <c r="F52" s="272"/>
      <c r="J52" s="264"/>
      <c r="K52" s="47"/>
      <c r="L52" s="47"/>
      <c r="M52" s="14"/>
      <c r="N52" s="12"/>
      <c r="O52" s="12"/>
      <c r="P52" s="39">
        <f>P51*20%</f>
        <v>1.3336981999999999</v>
      </c>
      <c r="Q52" s="39" t="s">
        <v>129</v>
      </c>
      <c r="R52" s="42"/>
      <c r="S52" s="240"/>
      <c r="T52" s="14"/>
      <c r="U52" s="9"/>
      <c r="X52" s="4"/>
    </row>
    <row r="53" spans="1:24" ht="17.399999999999999" x14ac:dyDescent="0.35">
      <c r="B53" s="268"/>
      <c r="C53" s="230"/>
      <c r="D53" s="230"/>
      <c r="E53" s="233"/>
      <c r="F53" s="234"/>
      <c r="G53" s="230"/>
      <c r="H53" s="273"/>
      <c r="I53" s="273"/>
      <c r="J53" s="264"/>
      <c r="K53" s="47"/>
      <c r="L53" s="47"/>
      <c r="M53" s="14"/>
      <c r="N53" s="12"/>
      <c r="O53" s="12"/>
      <c r="P53" s="46">
        <f>P51+P52</f>
        <v>8.0021892000000001</v>
      </c>
      <c r="Q53" s="14"/>
      <c r="R53" s="14"/>
      <c r="S53" s="238"/>
      <c r="T53" s="14"/>
      <c r="U53" s="9"/>
      <c r="X53" s="4"/>
    </row>
    <row r="54" spans="1:24" ht="17.399999999999999" x14ac:dyDescent="0.35">
      <c r="B54" s="235"/>
      <c r="C54" s="236"/>
      <c r="D54" s="237"/>
      <c r="E54" s="235"/>
      <c r="F54" s="230"/>
      <c r="G54" s="230"/>
      <c r="I54" s="273"/>
      <c r="J54" s="264"/>
      <c r="K54" s="47"/>
      <c r="L54" s="47"/>
      <c r="M54" s="14"/>
      <c r="N54" s="14"/>
      <c r="O54" s="14"/>
      <c r="P54" s="14"/>
      <c r="Q54" s="14"/>
      <c r="R54" s="14"/>
      <c r="S54" s="240"/>
      <c r="T54" s="14"/>
      <c r="U54" s="296" t="s">
        <v>21</v>
      </c>
      <c r="V54" s="293" t="s">
        <v>149</v>
      </c>
      <c r="W54" s="297">
        <v>44971</v>
      </c>
      <c r="X54" s="298"/>
    </row>
    <row r="55" spans="1:24" ht="17.399999999999999" x14ac:dyDescent="0.35">
      <c r="B55" s="230"/>
      <c r="C55" s="230"/>
      <c r="D55" s="230"/>
      <c r="E55" s="230"/>
      <c r="F55" s="230"/>
      <c r="G55" s="230"/>
      <c r="J55" s="264"/>
      <c r="K55" s="47"/>
      <c r="L55" s="47"/>
      <c r="M55" s="39">
        <f>P53</f>
        <v>8.0021892000000001</v>
      </c>
      <c r="N55" s="12">
        <v>3500</v>
      </c>
      <c r="O55" s="12">
        <f t="shared" ref="O55:O60" si="19">M55*N55</f>
        <v>28007.662199999999</v>
      </c>
      <c r="P55" s="14" t="s">
        <v>21</v>
      </c>
      <c r="Q55" s="14"/>
      <c r="R55" s="14"/>
      <c r="S55" s="241"/>
      <c r="T55" s="14"/>
      <c r="U55" s="296" t="s">
        <v>150</v>
      </c>
      <c r="V55" s="293">
        <v>3625</v>
      </c>
      <c r="W55" s="59" t="s">
        <v>151</v>
      </c>
      <c r="X55" s="298"/>
    </row>
    <row r="56" spans="1:24" ht="17.399999999999999" x14ac:dyDescent="0.35">
      <c r="A56" s="230"/>
      <c r="B56" s="230"/>
      <c r="C56" s="230"/>
      <c r="D56" s="230"/>
      <c r="E56" s="230"/>
      <c r="F56" s="230"/>
      <c r="G56" s="230"/>
      <c r="H56" s="230"/>
      <c r="J56" s="264"/>
      <c r="K56" s="47"/>
      <c r="L56" s="47"/>
      <c r="M56" s="248">
        <v>1.8</v>
      </c>
      <c r="N56" s="12">
        <v>45000</v>
      </c>
      <c r="O56" s="12">
        <f t="shared" si="19"/>
        <v>81000</v>
      </c>
      <c r="P56" s="39" t="s">
        <v>31</v>
      </c>
      <c r="Q56" s="42"/>
      <c r="R56" s="14"/>
      <c r="S56" s="240"/>
      <c r="T56" s="14"/>
      <c r="U56" s="296"/>
      <c r="V56" s="59">
        <v>906.25</v>
      </c>
      <c r="W56" s="59" t="s">
        <v>152</v>
      </c>
      <c r="X56" s="298"/>
    </row>
    <row r="57" spans="1:24" s="230" customFormat="1" ht="17.399999999999999" x14ac:dyDescent="0.35">
      <c r="B57" s="24" t="s">
        <v>148</v>
      </c>
      <c r="J57" s="261"/>
      <c r="K57" s="232"/>
      <c r="L57" s="249"/>
      <c r="M57" s="14"/>
      <c r="N57" s="249">
        <v>62300</v>
      </c>
      <c r="O57" s="12">
        <f t="shared" si="19"/>
        <v>0</v>
      </c>
      <c r="P57" s="39" t="s">
        <v>30</v>
      </c>
      <c r="Q57" s="42"/>
      <c r="S57" s="240"/>
      <c r="T57" s="255"/>
      <c r="U57" s="59"/>
      <c r="V57" s="59">
        <f>V56*20%</f>
        <v>181.25</v>
      </c>
      <c r="W57" s="298" t="s">
        <v>153</v>
      </c>
      <c r="X57" s="59"/>
    </row>
    <row r="58" spans="1:24" s="230" customFormat="1" ht="17.399999999999999" x14ac:dyDescent="0.35">
      <c r="B58" s="24" t="s">
        <v>164</v>
      </c>
      <c r="C58"/>
      <c r="D58"/>
      <c r="E58"/>
      <c r="F58"/>
      <c r="J58" s="261"/>
      <c r="K58" s="232"/>
      <c r="L58" s="249"/>
      <c r="M58" s="14">
        <v>3</v>
      </c>
      <c r="N58" s="249">
        <v>26200</v>
      </c>
      <c r="O58" s="12">
        <f t="shared" si="19"/>
        <v>78600</v>
      </c>
      <c r="P58" s="14" t="s">
        <v>139</v>
      </c>
      <c r="Q58" s="17"/>
      <c r="S58" s="238"/>
      <c r="T58" s="255"/>
      <c r="U58" s="59"/>
      <c r="V58" s="59">
        <f>V56+V57</f>
        <v>1087.5</v>
      </c>
      <c r="W58" s="298" t="s">
        <v>154</v>
      </c>
      <c r="X58" s="59"/>
    </row>
    <row r="59" spans="1:24" s="230" customFormat="1" ht="17.399999999999999" x14ac:dyDescent="0.35">
      <c r="B59" s="29" t="s">
        <v>124</v>
      </c>
      <c r="C59"/>
      <c r="D59"/>
      <c r="E59"/>
      <c r="F59" s="229" t="s">
        <v>15</v>
      </c>
      <c r="J59" s="261">
        <v>60910</v>
      </c>
      <c r="K59" s="259"/>
      <c r="L59" s="249"/>
      <c r="M59" s="248"/>
      <c r="N59" s="249">
        <v>900</v>
      </c>
      <c r="O59" s="12">
        <f t="shared" si="19"/>
        <v>0</v>
      </c>
      <c r="P59" s="14" t="s">
        <v>32</v>
      </c>
      <c r="Q59" s="14"/>
      <c r="R59" s="230">
        <v>1.52</v>
      </c>
      <c r="S59" s="238"/>
      <c r="T59" s="238"/>
    </row>
    <row r="60" spans="1:24" s="230" customFormat="1" ht="17.399999999999999" x14ac:dyDescent="0.35">
      <c r="J60" s="288">
        <f>J59/1.19</f>
        <v>51184.873949579836</v>
      </c>
      <c r="K60" s="259"/>
      <c r="L60" s="249"/>
      <c r="M60" s="265"/>
      <c r="N60" s="12">
        <v>1500</v>
      </c>
      <c r="O60" s="12">
        <f t="shared" si="19"/>
        <v>0</v>
      </c>
      <c r="P60" s="14" t="s">
        <v>22</v>
      </c>
      <c r="Q60" s="14"/>
      <c r="R60">
        <v>2.44</v>
      </c>
      <c r="S60"/>
      <c r="T60" s="238"/>
      <c r="X60" s="231"/>
    </row>
    <row r="61" spans="1:24" s="230" customFormat="1" ht="17.399999999999999" x14ac:dyDescent="0.35">
      <c r="K61" s="259"/>
      <c r="L61" s="249"/>
      <c r="M61" s="14"/>
      <c r="N61" s="12"/>
      <c r="O61" s="12">
        <f>SUM(O55:O60)</f>
        <v>187607.66219999999</v>
      </c>
      <c r="P61" s="39" t="s">
        <v>23</v>
      </c>
      <c r="Q61" s="14"/>
      <c r="R61">
        <f>R59*R60</f>
        <v>3.7088000000000001</v>
      </c>
      <c r="S61"/>
      <c r="T61" s="238"/>
      <c r="X61" s="231"/>
    </row>
    <row r="62" spans="1:24" s="230" customFormat="1" ht="17.399999999999999" x14ac:dyDescent="0.35">
      <c r="L62" s="249"/>
      <c r="M62" s="253" t="s">
        <v>33</v>
      </c>
      <c r="N62" s="12"/>
      <c r="O62" s="254">
        <f>O61*2.2</f>
        <v>412736.85684000002</v>
      </c>
      <c r="P62" s="14" t="s">
        <v>138</v>
      </c>
      <c r="Q62" s="14"/>
      <c r="R62" s="40">
        <f>P53/R61</f>
        <v>2.1576221958584987</v>
      </c>
      <c r="S62"/>
      <c r="T62" s="256"/>
    </row>
    <row r="63" spans="1:24" s="230" customFormat="1" ht="17.399999999999999" x14ac:dyDescent="0.35">
      <c r="G63"/>
      <c r="H63" s="259"/>
      <c r="I63" s="259"/>
      <c r="J63" s="259"/>
      <c r="L63" s="249"/>
      <c r="M63" s="14"/>
      <c r="N63" s="12"/>
      <c r="O63" s="12">
        <f>O62/P51</f>
        <v>61893.59134472852</v>
      </c>
      <c r="P63" s="45" t="s">
        <v>24</v>
      </c>
      <c r="Q63" s="14"/>
      <c r="R63" s="14"/>
      <c r="S63"/>
      <c r="T63" s="238"/>
      <c r="U63" s="59" t="s">
        <v>155</v>
      </c>
      <c r="V63" s="293">
        <v>43650</v>
      </c>
    </row>
    <row r="64" spans="1:24" s="230" customFormat="1" ht="17.399999999999999" x14ac:dyDescent="0.35">
      <c r="G64"/>
      <c r="L64" s="249"/>
      <c r="M64" s="13"/>
      <c r="N64" s="14"/>
      <c r="O64" s="17">
        <f>O62/O61</f>
        <v>2.2000000000000002</v>
      </c>
      <c r="P64" s="15"/>
      <c r="Q64"/>
      <c r="R64"/>
      <c r="S64"/>
      <c r="T64" s="238"/>
      <c r="U64" s="59" t="s">
        <v>157</v>
      </c>
      <c r="V64" s="294" t="s">
        <v>156</v>
      </c>
      <c r="W64" s="59">
        <v>2.4</v>
      </c>
    </row>
    <row r="65" spans="2:22" s="230" customFormat="1" ht="17.399999999999999" x14ac:dyDescent="0.35">
      <c r="G65" s="23"/>
      <c r="L65" s="12"/>
      <c r="T65" s="238"/>
      <c r="U65" s="59" t="s">
        <v>158</v>
      </c>
      <c r="V65" s="295">
        <v>395.37</v>
      </c>
    </row>
    <row r="66" spans="2:22" s="230" customFormat="1" ht="17.399999999999999" x14ac:dyDescent="0.35">
      <c r="B66"/>
      <c r="C66" s="228"/>
      <c r="D66" s="22"/>
      <c r="E66" s="22"/>
      <c r="F66" s="21"/>
      <c r="G66" s="23"/>
      <c r="L66" s="12"/>
      <c r="T66" s="238"/>
      <c r="U66" s="59" t="s">
        <v>153</v>
      </c>
      <c r="V66" s="59">
        <v>474.45</v>
      </c>
    </row>
    <row r="67" spans="2:22" ht="14.4" customHeight="1" x14ac:dyDescent="0.3">
      <c r="L67" s="12"/>
      <c r="U67" s="59"/>
      <c r="V67" s="59"/>
    </row>
    <row r="68" spans="2:22" x14ac:dyDescent="0.3">
      <c r="L68" s="249"/>
    </row>
    <row r="69" spans="2:22" x14ac:dyDescent="0.3">
      <c r="L69" s="249"/>
      <c r="T69" s="269"/>
    </row>
    <row r="70" spans="2:22" x14ac:dyDescent="0.3">
      <c r="L70" s="249"/>
    </row>
    <row r="71" spans="2:22" ht="15" customHeight="1" x14ac:dyDescent="0.3"/>
    <row r="73" spans="2:22" x14ac:dyDescent="0.3">
      <c r="O73">
        <v>40935</v>
      </c>
      <c r="P73" t="s">
        <v>16</v>
      </c>
      <c r="Q73" t="s">
        <v>26</v>
      </c>
    </row>
    <row r="75" spans="2:22" x14ac:dyDescent="0.3">
      <c r="O75" s="54"/>
      <c r="P75" s="54"/>
    </row>
    <row r="76" spans="2:22" x14ac:dyDescent="0.3">
      <c r="S76" s="18"/>
      <c r="T76" s="18"/>
    </row>
    <row r="77" spans="2:22" x14ac:dyDescent="0.3">
      <c r="S77" s="18"/>
      <c r="T77" s="18"/>
    </row>
    <row r="78" spans="2:22" x14ac:dyDescent="0.3">
      <c r="S78" s="18"/>
      <c r="T78" s="18"/>
    </row>
    <row r="79" spans="2:22" x14ac:dyDescent="0.3">
      <c r="S79" s="18"/>
      <c r="T79" s="18"/>
    </row>
    <row r="80" spans="2:22" x14ac:dyDescent="0.3">
      <c r="S80" s="18"/>
      <c r="T80" s="18"/>
    </row>
    <row r="81" spans="15:20" x14ac:dyDescent="0.3">
      <c r="S81" s="18"/>
      <c r="T81" s="18"/>
    </row>
    <row r="82" spans="15:20" x14ac:dyDescent="0.3">
      <c r="S82" s="18"/>
      <c r="T82" s="18"/>
    </row>
    <row r="83" spans="15:20" x14ac:dyDescent="0.3">
      <c r="S83" s="18"/>
      <c r="T83" s="18"/>
    </row>
    <row r="84" spans="15:20" x14ac:dyDescent="0.3">
      <c r="S84" s="18"/>
      <c r="T84" s="18"/>
    </row>
    <row r="87" spans="15:20" x14ac:dyDescent="0.3">
      <c r="O87" s="43"/>
    </row>
    <row r="88" spans="15:20" x14ac:dyDescent="0.3">
      <c r="O88" s="43"/>
    </row>
    <row r="89" spans="15:20" x14ac:dyDescent="0.3">
      <c r="O89" s="6"/>
    </row>
    <row r="90" spans="15:20" x14ac:dyDescent="0.3">
      <c r="O90" s="6"/>
    </row>
    <row r="98" spans="3:3" x14ac:dyDescent="0.3">
      <c r="C98" t="s">
        <v>145</v>
      </c>
    </row>
    <row r="99" spans="3:3" x14ac:dyDescent="0.3">
      <c r="C99" t="s">
        <v>144</v>
      </c>
    </row>
    <row r="102" spans="3:3" x14ac:dyDescent="0.3">
      <c r="C102" t="s">
        <v>144</v>
      </c>
    </row>
    <row r="179" spans="3:3" x14ac:dyDescent="0.3">
      <c r="C179" t="s">
        <v>144</v>
      </c>
    </row>
    <row r="180" spans="3:3" x14ac:dyDescent="0.3">
      <c r="C180" t="s">
        <v>146</v>
      </c>
    </row>
    <row r="181" spans="3:3" x14ac:dyDescent="0.3">
      <c r="C181" t="s">
        <v>147</v>
      </c>
    </row>
    <row r="606" spans="3:3" x14ac:dyDescent="0.3">
      <c r="C606" t="s">
        <v>144</v>
      </c>
    </row>
  </sheetData>
  <mergeCells count="2">
    <mergeCell ref="F17:H17"/>
    <mergeCell ref="B19:H19"/>
  </mergeCells>
  <phoneticPr fontId="34" type="noConversion"/>
  <hyperlinks>
    <hyperlink ref="F5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45846</v>
      </c>
    </row>
    <row r="6" spans="2:31" ht="16.2" thickBot="1" x14ac:dyDescent="0.35">
      <c r="B6" s="140" t="s">
        <v>2</v>
      </c>
      <c r="C6" s="139" t="str">
        <f>'2229'!C10</f>
        <v>VIRGINIA GIOCOMAN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5" t="s">
        <v>98</v>
      </c>
      <c r="I7" s="346"/>
      <c r="J7" s="346"/>
      <c r="K7" s="347"/>
      <c r="N7" s="75"/>
      <c r="O7" s="344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11496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4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-110310.01792845411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'2229'!H49</f>
        <v>890949</v>
      </c>
      <c r="E11" s="132">
        <f>D11*0.19</f>
        <v>169280.31</v>
      </c>
      <c r="F11" s="131">
        <f>E11+D11</f>
        <v>1060229.31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-4320.0179284541082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138841.7529874396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-22320.017928454108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752107.24701256037</v>
      </c>
      <c r="E13" s="221">
        <f>(D11/D12)-1</f>
        <v>5.4170105953689607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-31320.017928454108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-70320.017928454108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229088.89242927532</v>
      </c>
      <c r="F15" s="216">
        <f>E15-D12</f>
        <v>90247.139441835723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-70320.017928454108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-30320.017928454108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'2229'!O57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'2229'!O56</f>
        <v>81000</v>
      </c>
      <c r="E19" s="123">
        <f>D19*0.19</f>
        <v>15390</v>
      </c>
      <c r="F19" s="120">
        <f>SUM(D19:E19)</f>
        <v>96390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'2229'!O55</f>
        <v>28007.662199999999</v>
      </c>
      <c r="E20" s="121">
        <f>D20*0.19</f>
        <v>5321.4558179999995</v>
      </c>
      <c r="F20" s="120">
        <f>SUM(D20:E20)</f>
        <v>33329.118018000001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109007.66219999999</v>
      </c>
      <c r="E21" s="116">
        <f>SUM(E18:E20)</f>
        <v>20711.455817999999</v>
      </c>
      <c r="F21" s="115">
        <f>SUM(F18:F20)</f>
        <v>129719.11801800001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148568.85418200001</v>
      </c>
    </row>
    <row r="41" spans="2:16" ht="15" thickBot="1" x14ac:dyDescent="0.35">
      <c r="H41" s="348" t="s">
        <v>60</v>
      </c>
      <c r="I41" s="349"/>
      <c r="J41" s="349"/>
      <c r="K41" s="349"/>
      <c r="L41" s="349"/>
      <c r="M41" s="350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890949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109007.66219999999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752107.24701256037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752107.24701256037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2025-07-02T13:31:03Z</cp:lastPrinted>
  <dcterms:created xsi:type="dcterms:W3CDTF">2013-03-18T13:35:42Z</dcterms:created>
  <dcterms:modified xsi:type="dcterms:W3CDTF">2025-07-14T15:04:34Z</dcterms:modified>
</cp:coreProperties>
</file>