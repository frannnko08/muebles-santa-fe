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07 JULIO 2025\"/>
    </mc:Choice>
  </mc:AlternateContent>
  <xr:revisionPtr revIDLastSave="0" documentId="13_ncr:1_{B7387534-D44E-4BF8-9468-5B719C9790A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81029"/>
</workbook>
</file>

<file path=xl/calcChain.xml><?xml version="1.0" encoding="utf-8"?>
<calcChain xmlns="http://schemas.openxmlformats.org/spreadsheetml/2006/main">
  <c r="O37" i="1" l="1"/>
  <c r="L22" i="1"/>
  <c r="M22" i="1"/>
  <c r="S22" i="1" s="1"/>
  <c r="N22" i="1"/>
  <c r="O22" i="1" l="1"/>
  <c r="P22" i="1" s="1"/>
  <c r="L21" i="1"/>
  <c r="M21" i="1"/>
  <c r="M24" i="1" s="1"/>
  <c r="N21" i="1"/>
  <c r="O21" i="1" l="1"/>
  <c r="P21" i="1" s="1"/>
  <c r="S21" i="1"/>
  <c r="T24" i="1"/>
  <c r="K39" i="1"/>
  <c r="P25" i="1" l="1"/>
  <c r="S26" i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D18" i="3" s="1"/>
  <c r="R36" i="1"/>
  <c r="M30" i="1" l="1"/>
  <c r="R37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Q21" i="1"/>
  <c r="O39" i="1"/>
  <c r="E15" i="3"/>
  <c r="G21" i="1" l="1"/>
  <c r="H21" i="1" s="1"/>
  <c r="R22" i="1"/>
  <c r="G22" i="1"/>
  <c r="H22" i="1" s="1"/>
  <c r="R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<sst xmlns="http://schemas.openxmlformats.org/spreadsheetml/2006/main" count="232" uniqueCount="174">
  <si>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</si>
  <si>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</si>
  <si>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</si>
  <si>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</si>
  <si>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</si>
  <si>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</si>
  <si>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</si>
  <si>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</si>
  <si>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</si>
  <si>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</si>
  <si>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</si>
  <si>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</si>
  <si>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</si>
  <si>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</si>
  <si>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</si>
  <si>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</si>
  <si>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</si>
  <si>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</si>
  <si>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</si>
  <si>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</si>
  <si>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</si>
  <si>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</si>
  <si>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</si>
  <si>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</si>
  <si>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</si>
  <si>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</si>
  <si>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</si>
  <si>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</si>
  <si>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</si>
  <si>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</si>
  <si>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</si>
  <si>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</si>
  <si>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</si>
  <si>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</si>
  <si>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</si>
  <si>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</si>
  <si>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</si>
  <si>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</si>
  <si>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</si>
  <si>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</si>
  <si>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</si>
  <si>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</si>
  <si>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</si>
  <si>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</si>
  <si>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</si>
  <si>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</si>
  <si>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</si>
  <si>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</si>
  <si>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</si>
  <si>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</si>
  <si>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</si>
  <si>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</si>
  <si>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</si>
  <si>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</si>
  <si>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</si>
  <si>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</si>
  <si>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</si>
  <si>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</si>
  <si>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</si>
  <si>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</si>
  <si>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</si>
  <si>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</si>
  <si>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</si>
  <si>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</si>
  <si>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</si>
  <si>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</si>
  <si>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</si>
  <si>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</si>
  <si>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</si>
  <si>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</si>
  <si>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</si>
  <si>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</si>
  <si>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</si>
  <si>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</si>
  <si>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</si>
  <si>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</si>
  <si>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</si>
  <si>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</si>
  <si>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</si>
  <si>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</si>
  <si>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</si>
  <si>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</si>
  <si>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</si>
  <si>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</si>
  <si>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</si>
  <si>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</si>
  <si>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</si>
  <si>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</si>
  <si>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</si>
  <si>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</si>
  <si>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</si>
  <si>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</si>
  <si>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</si>
  <si>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</si>
  <si>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</si>
  <si>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</si>
  <si>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</si>
  <si>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</si>
  <si>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</si>
  <si>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</si>
  <si>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</si>
  <si>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</si>
  <si>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</si>
  <si>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</si>
  <si>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</si>
  <si>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</si>
  <si>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</si>
  <si>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</si>
  <si>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</si>
  <si>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</si>
  <si>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</si>
  <si>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</si>
  <si>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</si>
  <si>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</si>
  <si>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</si>
  <si>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</si>
  <si>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</si>
  <si>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</si>
  <si>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</si>
  <si>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</si>
  <si>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</si>
  <si>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</si>
  <si>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</si>
  <si>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</si>
  <si>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</si>
  <si>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</si>
  <si>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</si>
  <si>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</si>
  <si>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</si>
  <si>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</si>
  <si>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</si>
  <si>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</si>
  <si>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</si>
  <si>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</si>
  <si>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</si>
  <si>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</si>
  <si>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</si>
  <si>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</si>
  <si>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</si>
  <si>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</si>
  <si>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</si>
  <si>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</si>
  <si>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</si>
  <si>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</si>
  <si>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</si>
  <si>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</si>
  <si>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</si>
  <si>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</si>
  <si>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</si>
  <si>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</si>
  <si>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</si>
  <si>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</si>
  <si>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</si>
  <si>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</si>
  <si>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</si>
  <si>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</si>
  <si>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</si>
  <si>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</si>
  <si>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</si>
  <si>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</si>
  <si>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</si>
  <si>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</si>
  <si>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</si>
  <si>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</si>
  <si>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</si>
  <si>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</si>
  <si>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</si>
  <si>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</si>
  <si>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CLASSIC 3111 BR</t>
  </si>
  <si>
    <t>CUB CON RESPALDO 90°</t>
  </si>
  <si>
    <t>HECTOR NUÑEZ</t>
  </si>
  <si>
    <t>N° 11516</t>
  </si>
  <si>
    <t>+56 9 5717 1269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</si>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</sst>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27</xdr:row>
      <xdr:rowOff>9525</xdr:rowOff>
    </xdr:from>
    <xdr:to>
      <xdr:col>5</xdr:col>
      <xdr:colOff>1769808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23</xdr:row>
      <xdr:rowOff>9525</xdr:rowOff>
    </xdr:from>
    <xdr:to>
      <xdr:col>5</xdr:col>
      <xdr:colOff>1753421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O38" sqref="O38"/>
    </sheetView>
  </sheetViews>
  <sheetFormatPr baseColWidth="10" defaultRowHeight="15" x14ac:dyDescent="0.25"/>
  <cols>
    <col min="1" max="1" width="6" customWidth="1"/>
    <col min="2" max="2" width="10.5703125" customWidth="1"/>
    <col min="3" max="3" width="37.28515625" customWidth="1"/>
    <col min="4" max="4" width="11.140625" customWidth="1"/>
    <col min="5" max="5" width="10.5703125" customWidth="1"/>
    <col min="6" max="6" width="32.28515625" customWidth="1"/>
    <col min="7" max="7" width="14" customWidth="1"/>
    <col min="8" max="9" width="15.42578125" customWidth="1"/>
    <col min="10" max="10" width="13.42578125" customWidth="1"/>
    <col min="12" max="12" width="9.5703125" style="18" customWidth="1"/>
    <col min="13" max="13" width="8.85546875" customWidth="1"/>
    <col min="14" max="14" width="8.28515625" customWidth="1"/>
    <col min="15" max="15" width="9.42578125" customWidth="1"/>
    <col min="16" max="16" width="7.7109375" customWidth="1"/>
    <col min="17" max="17" width="9.42578125" customWidth="1"/>
    <col min="18" max="18" width="10.140625" customWidth="1"/>
    <col min="19" max="19" width="8.85546875" customWidth="1"/>
    <col min="20" max="20" width="9.7109375" customWidth="1"/>
    <col min="21" max="21" width="9.28515625" customWidth="1"/>
    <col min="22" max="22" width="9.7109375" customWidth="1"/>
    <col min="23" max="23" width="10.85546875" customWidth="1"/>
    <col min="24" max="24" width="10.42578125" customWidth="1"/>
    <col min="25" max="25" width="9" customWidth="1"/>
  </cols>
  <sheetData>
    <row r="2" spans="2:24" ht="15.75" x14ac:dyDescent="0.25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25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25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25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75" x14ac:dyDescent="0.25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.75" thickBot="1" x14ac:dyDescent="0.3">
      <c r="F7" s="59" t="s">
        <v>124</v>
      </c>
      <c r="Q7" s="2"/>
      <c r="R7" s="2"/>
      <c r="S7" s="3"/>
      <c r="T7" s="3"/>
      <c r="U7" s="2"/>
      <c r="V7" s="2"/>
      <c r="W7" s="3"/>
    </row>
    <row r="8" spans="2:24" ht="21.75" thickBot="1" x14ac:dyDescent="0.4">
      <c r="B8" s="328" t="s">
        <v>126</v>
      </c>
      <c r="C8" s="329"/>
      <c r="D8" s="330" t="s">
        <v>171</v>
      </c>
      <c r="F8" s="59"/>
      <c r="K8" s="52"/>
      <c r="R8" s="2"/>
      <c r="S8" s="3"/>
      <c r="T8" s="3"/>
      <c r="U8" s="2"/>
      <c r="V8" s="2"/>
      <c r="W8" s="3"/>
    </row>
    <row r="9" spans="2:24" ht="15.75" thickBot="1" x14ac:dyDescent="0.3">
      <c r="R9" s="2"/>
      <c r="S9" s="3"/>
      <c r="T9" s="3"/>
      <c r="U9" s="4"/>
      <c r="V9" s="2"/>
      <c r="W9" s="3"/>
    </row>
    <row r="10" spans="2:24" x14ac:dyDescent="0.25">
      <c r="B10" s="303" t="s">
        <v>162</v>
      </c>
      <c r="C10" s="278" t="s">
        <v>170</v>
      </c>
      <c r="D10" s="243"/>
      <c r="E10" s="243"/>
      <c r="F10" s="244" t="s">
        <v>0</v>
      </c>
      <c r="G10" s="276">
        <v>45848</v>
      </c>
      <c r="H10" s="245"/>
      <c r="K10" s="1"/>
      <c r="R10" s="2"/>
      <c r="S10" s="3"/>
      <c r="T10" s="3"/>
      <c r="U10" s="4"/>
      <c r="V10" s="2"/>
      <c r="W10" s="3"/>
    </row>
    <row r="11" spans="2:24" ht="16.5" x14ac:dyDescent="0.3">
      <c r="B11" s="287" t="s">
        <v>12</v>
      </c>
      <c r="C11" s="296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5" x14ac:dyDescent="0.3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25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25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75" x14ac:dyDescent="0.25">
      <c r="B15" s="287" t="s">
        <v>4</v>
      </c>
      <c r="C15" s="307" t="s">
        <v>172</v>
      </c>
      <c r="D15" s="308"/>
      <c r="F15" t="s">
        <v>134</v>
      </c>
      <c r="G15" s="306" t="s">
        <v>135</v>
      </c>
      <c r="H15" s="289"/>
    </row>
    <row r="16" spans="2:24" ht="16.5" x14ac:dyDescent="0.3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.75" thickBot="1" x14ac:dyDescent="0.3">
      <c r="B17" s="309" t="s">
        <v>13</v>
      </c>
      <c r="C17" s="310" t="s">
        <v>166</v>
      </c>
      <c r="D17" s="311"/>
      <c r="E17" s="119"/>
      <c r="F17" s="341" t="s">
        <v>165</v>
      </c>
      <c r="G17" s="341"/>
      <c r="H17" s="342"/>
      <c r="I17" s="263"/>
      <c r="J17" s="263"/>
      <c r="T17" s="6"/>
      <c r="U17" s="6"/>
    </row>
    <row r="18" spans="1:25" ht="15.75" customHeight="1" thickBot="1" x14ac:dyDescent="0.3">
      <c r="J18" s="47"/>
      <c r="K18" s="5"/>
      <c r="V18" s="9"/>
      <c r="X18" s="6"/>
      <c r="Y18" s="6"/>
    </row>
    <row r="19" spans="1:25" ht="13.5" customHeight="1" thickBot="1" x14ac:dyDescent="0.3">
      <c r="B19" s="343" t="s">
        <v>95</v>
      </c>
      <c r="C19" s="344"/>
      <c r="D19" s="344"/>
      <c r="E19" s="344"/>
      <c r="F19" s="344"/>
      <c r="G19" s="344"/>
      <c r="H19" s="34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63820.341880341883</v>
      </c>
      <c r="R20" s="258">
        <v>2000</v>
      </c>
      <c r="S20" s="38"/>
      <c r="T20" s="14" t="s">
        <v>128</v>
      </c>
      <c r="U20" s="9"/>
      <c r="X20" s="4"/>
    </row>
    <row r="21" spans="1:25" ht="17.25" x14ac:dyDescent="0.25">
      <c r="B21" s="331">
        <v>1</v>
      </c>
      <c r="C21" s="332" t="s">
        <v>169</v>
      </c>
      <c r="D21" s="333">
        <v>2.5</v>
      </c>
      <c r="E21" s="333">
        <v>0.6</v>
      </c>
      <c r="F21" s="332" t="s">
        <v>168</v>
      </c>
      <c r="G21" s="334">
        <f>Q21</f>
        <v>98793.889230769244</v>
      </c>
      <c r="H21" s="335">
        <f>G21*B21</f>
        <v>98793.889230769244</v>
      </c>
      <c r="I21" s="318"/>
      <c r="J21" s="265"/>
      <c r="K21" s="47"/>
      <c r="L21" s="324">
        <f>B21</f>
        <v>1</v>
      </c>
      <c r="M21" s="39">
        <f t="shared" ref="M21" si="1">D21+M$19</f>
        <v>2.58</v>
      </c>
      <c r="N21" s="39">
        <f t="shared" ref="N21" si="2">E21+$N$19</f>
        <v>0.6</v>
      </c>
      <c r="O21" s="261">
        <f t="shared" ref="O21" si="3">M21*N21</f>
        <v>1.548</v>
      </c>
      <c r="P21" s="259">
        <f t="shared" ref="P21" si="4">O21*L21</f>
        <v>1.548</v>
      </c>
      <c r="Q21" s="252">
        <f t="shared" ref="Q21" si="5">Q$20*O21</f>
        <v>98793.889230769244</v>
      </c>
      <c r="R21" s="317">
        <f t="shared" ref="R21" si="6">Q21+R$20</f>
        <v>100793.88923076924</v>
      </c>
      <c r="S21" s="295">
        <f t="shared" ref="S21" si="7">M21*L21</f>
        <v>2.58</v>
      </c>
      <c r="T21" s="46"/>
      <c r="U21" s="9"/>
      <c r="X21" s="4"/>
    </row>
    <row r="22" spans="1:25" ht="18" thickBot="1" x14ac:dyDescent="0.3">
      <c r="B22" s="336">
        <v>1</v>
      </c>
      <c r="C22" s="337" t="s">
        <v>169</v>
      </c>
      <c r="D22" s="338">
        <v>2.2000000000000002</v>
      </c>
      <c r="E22" s="338">
        <v>0.45</v>
      </c>
      <c r="F22" s="337" t="s">
        <v>168</v>
      </c>
      <c r="G22" s="339">
        <f>Q22</f>
        <v>65479.67076923079</v>
      </c>
      <c r="H22" s="340">
        <f>G22*B22</f>
        <v>65479.67076923079</v>
      </c>
      <c r="I22" s="318"/>
      <c r="J22" s="265"/>
      <c r="K22" s="47"/>
      <c r="L22" s="324">
        <f t="shared" ref="L22" si="8">B22</f>
        <v>1</v>
      </c>
      <c r="M22" s="39">
        <f t="shared" ref="M22" si="9">D22+M$19</f>
        <v>2.2800000000000002</v>
      </c>
      <c r="N22" s="39">
        <f t="shared" ref="N22" si="10">E22+$N$19</f>
        <v>0.45</v>
      </c>
      <c r="O22" s="261">
        <f t="shared" ref="O22" si="11">M22*N22</f>
        <v>1.0260000000000002</v>
      </c>
      <c r="P22" s="259">
        <f t="shared" ref="P22" si="12">O22*L22</f>
        <v>1.0260000000000002</v>
      </c>
      <c r="Q22" s="252">
        <f t="shared" ref="Q22" si="13">Q$20*O22</f>
        <v>65479.67076923079</v>
      </c>
      <c r="R22" s="317">
        <f t="shared" ref="R22" si="14">Q22+R$20</f>
        <v>67479.670769230783</v>
      </c>
      <c r="S22" s="295">
        <f t="shared" ref="S22" si="15">M22*L22</f>
        <v>2.2800000000000002</v>
      </c>
      <c r="T22" s="46"/>
      <c r="U22" s="9"/>
      <c r="X22" s="4"/>
    </row>
    <row r="23" spans="1:25" ht="18" thickBot="1" x14ac:dyDescent="0.3">
      <c r="B23" s="285"/>
      <c r="C23" s="285"/>
      <c r="D23" s="286"/>
      <c r="E23" s="286"/>
      <c r="F23" s="285"/>
      <c r="G23" s="265"/>
      <c r="H23" s="319"/>
      <c r="I23" s="321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25" x14ac:dyDescent="0.25">
      <c r="B24" s="285"/>
      <c r="C24" s="285"/>
      <c r="D24" s="286"/>
      <c r="E24" s="286"/>
      <c r="F24" s="285"/>
      <c r="G24" s="322" t="s">
        <v>28</v>
      </c>
      <c r="H24" s="323">
        <f>SUM(H21:H23)</f>
        <v>164273.56000000003</v>
      </c>
      <c r="I24" s="320"/>
      <c r="J24" s="265"/>
      <c r="K24" s="47"/>
      <c r="L24" s="47"/>
      <c r="M24" s="39">
        <f>SUM(M21:M22)</f>
        <v>4.8600000000000003</v>
      </c>
      <c r="N24" s="39"/>
      <c r="O24" s="261"/>
      <c r="P24" s="259"/>
      <c r="Q24" s="252"/>
      <c r="R24" s="258"/>
      <c r="S24" s="295"/>
      <c r="T24" s="46">
        <f>SUM(T21:T23)</f>
        <v>0</v>
      </c>
      <c r="U24" s="9"/>
      <c r="X24" s="4"/>
    </row>
    <row r="25" spans="1:25" ht="17.25" x14ac:dyDescent="0.25">
      <c r="B25" s="279"/>
      <c r="C25" s="282"/>
      <c r="D25" s="283"/>
      <c r="E25" s="283"/>
      <c r="F25" s="284"/>
      <c r="G25" s="294" t="s">
        <v>51</v>
      </c>
      <c r="H25" s="292">
        <f>H24*19%</f>
        <v>31211.976400000007</v>
      </c>
      <c r="I25" s="320"/>
      <c r="J25" s="265"/>
      <c r="K25" s="47"/>
      <c r="L25" s="47"/>
      <c r="N25" s="12"/>
      <c r="O25" s="12"/>
      <c r="P25" s="253">
        <f>SUM(P21:P23)</f>
        <v>2.5740000000000003</v>
      </c>
      <c r="Q25" s="14"/>
      <c r="R25" s="12"/>
      <c r="S25" s="239"/>
      <c r="T25" s="46"/>
      <c r="U25" s="9"/>
      <c r="X25" s="4"/>
    </row>
    <row r="26" spans="1:25" ht="18" thickBot="1" x14ac:dyDescent="0.3">
      <c r="B26" s="275"/>
      <c r="C26" s="281"/>
      <c r="D26" s="272"/>
      <c r="E26" s="272"/>
      <c r="F26" s="273"/>
      <c r="G26" s="280" t="s">
        <v>6</v>
      </c>
      <c r="H26" s="293">
        <f>H24+H25</f>
        <v>195485.53640000004</v>
      </c>
      <c r="I26" s="320"/>
      <c r="J26" s="265"/>
      <c r="K26" s="47"/>
      <c r="L26" s="47"/>
      <c r="M26" s="39"/>
      <c r="N26" s="12"/>
      <c r="O26" s="12"/>
      <c r="P26" s="253">
        <f>P25</f>
        <v>2.5740000000000003</v>
      </c>
      <c r="Q26" s="14"/>
      <c r="R26" s="12"/>
      <c r="S26" s="239">
        <f>SUM(S21:S25)</f>
        <v>4.8600000000000003</v>
      </c>
      <c r="T26" s="46"/>
      <c r="U26" s="9"/>
      <c r="X26" s="4"/>
    </row>
    <row r="27" spans="1:25" ht="17.25" x14ac:dyDescent="0.25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0.51480000000000004</v>
      </c>
      <c r="Q27" s="39" t="s">
        <v>130</v>
      </c>
      <c r="R27" s="42"/>
      <c r="S27" s="240">
        <f>S26+T24</f>
        <v>4.8600000000000003</v>
      </c>
      <c r="T27" s="14"/>
      <c r="U27" s="9"/>
      <c r="X27" s="4"/>
    </row>
    <row r="28" spans="1:25" ht="17.25" x14ac:dyDescent="0.3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3.0888000000000004</v>
      </c>
      <c r="Q28" s="14"/>
      <c r="R28" s="14"/>
      <c r="S28" s="238">
        <f>S27*20%</f>
        <v>0.97200000000000009</v>
      </c>
      <c r="T28" s="14"/>
      <c r="U28" s="9"/>
      <c r="X28" s="4"/>
    </row>
    <row r="29" spans="1:25" ht="17.25" x14ac:dyDescent="0.3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5.8320000000000007</v>
      </c>
      <c r="T29" s="14"/>
      <c r="U29" s="300" t="s">
        <v>21</v>
      </c>
      <c r="V29" s="297" t="s">
        <v>152</v>
      </c>
      <c r="W29" s="301">
        <v>44971</v>
      </c>
      <c r="X29" s="302"/>
    </row>
    <row r="30" spans="1:25" ht="17.25" x14ac:dyDescent="0.3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3.0888000000000004</v>
      </c>
      <c r="N30" s="12">
        <v>3500</v>
      </c>
      <c r="O30" s="12">
        <f t="shared" ref="O30:O35" si="16">M30*N30</f>
        <v>10810.800000000001</v>
      </c>
      <c r="P30" s="14" t="s">
        <v>21</v>
      </c>
      <c r="Q30" s="14"/>
      <c r="R30" s="14"/>
      <c r="S30" s="241"/>
      <c r="T30" s="14"/>
      <c r="U30" s="300" t="s">
        <v>153</v>
      </c>
      <c r="V30" s="297">
        <v>3625</v>
      </c>
      <c r="W30" s="59" t="s">
        <v>154</v>
      </c>
      <c r="X30" s="302"/>
    </row>
    <row r="31" spans="1:25" ht="17.25" x14ac:dyDescent="0.3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0.85</v>
      </c>
      <c r="N31" s="12">
        <v>23500</v>
      </c>
      <c r="O31" s="12">
        <f t="shared" si="16"/>
        <v>19975</v>
      </c>
      <c r="P31" s="39" t="s">
        <v>31</v>
      </c>
      <c r="Q31" s="42"/>
      <c r="R31" s="14"/>
      <c r="S31" s="240"/>
      <c r="T31" s="14"/>
      <c r="U31" s="300"/>
      <c r="V31" s="59">
        <v>906.25</v>
      </c>
      <c r="W31" s="59" t="s">
        <v>155</v>
      </c>
      <c r="X31" s="302"/>
    </row>
    <row r="32" spans="1:25" s="230" customFormat="1" ht="17.25" x14ac:dyDescent="0.3">
      <c r="B32" s="24" t="s">
        <v>151</v>
      </c>
      <c r="J32" s="262"/>
      <c r="K32" s="232"/>
      <c r="L32" s="250"/>
      <c r="M32" s="14"/>
      <c r="N32" s="250">
        <v>65000</v>
      </c>
      <c r="O32" s="12">
        <f t="shared" si="16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2" t="s">
        <v>156</v>
      </c>
      <c r="X32" s="59"/>
    </row>
    <row r="33" spans="2:24" s="230" customFormat="1" ht="17.25" x14ac:dyDescent="0.3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19197</v>
      </c>
      <c r="O33" s="12">
        <f t="shared" si="16"/>
        <v>38394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2" t="s">
        <v>157</v>
      </c>
      <c r="X33" s="59"/>
    </row>
    <row r="34" spans="2:24" s="230" customFormat="1" ht="17.25" x14ac:dyDescent="0.3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6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25" x14ac:dyDescent="0.3">
      <c r="J35" s="291"/>
      <c r="K35" s="260"/>
      <c r="L35" s="250"/>
      <c r="M35" s="266">
        <v>3.66</v>
      </c>
      <c r="N35" s="12">
        <v>1500</v>
      </c>
      <c r="O35" s="12">
        <f t="shared" si="16"/>
        <v>5490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25" x14ac:dyDescent="0.3">
      <c r="K36" s="260"/>
      <c r="L36" s="250"/>
      <c r="M36" s="14"/>
      <c r="N36" s="12"/>
      <c r="O36" s="12">
        <f>SUM(O30:O35)</f>
        <v>74669.8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25" x14ac:dyDescent="0.3">
      <c r="L37" s="250"/>
      <c r="M37" s="254" t="s">
        <v>33</v>
      </c>
      <c r="N37" s="12"/>
      <c r="O37" s="255">
        <f>O36*2.2</f>
        <v>164273.56000000003</v>
      </c>
      <c r="P37" s="14" t="s">
        <v>140</v>
      </c>
      <c r="Q37" s="14"/>
      <c r="R37" s="40">
        <f>P28/R36</f>
        <v>0.83283002588438315</v>
      </c>
      <c r="S37"/>
      <c r="T37" s="257"/>
    </row>
    <row r="38" spans="2:24" s="230" customFormat="1" ht="17.25" x14ac:dyDescent="0.3">
      <c r="G38"/>
      <c r="H38" s="260"/>
      <c r="I38" s="260"/>
      <c r="J38" s="260"/>
      <c r="K38" s="230">
        <v>77240</v>
      </c>
      <c r="L38" s="250"/>
      <c r="M38" s="14"/>
      <c r="N38" s="12"/>
      <c r="O38" s="12">
        <f>O37/P26</f>
        <v>63820.341880341883</v>
      </c>
      <c r="P38" s="45" t="s">
        <v>24</v>
      </c>
      <c r="Q38" s="14"/>
      <c r="R38" s="14"/>
      <c r="S38"/>
      <c r="T38" s="238"/>
      <c r="U38" s="59" t="s">
        <v>158</v>
      </c>
      <c r="V38" s="297">
        <v>43650</v>
      </c>
    </row>
    <row r="39" spans="2:24" s="230" customFormat="1" ht="17.25" x14ac:dyDescent="0.3">
      <c r="G39"/>
      <c r="K39" s="230">
        <f>K38/1.19</f>
        <v>64907.563025210089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298" t="s">
        <v>159</v>
      </c>
      <c r="W39" s="59">
        <v>2.4</v>
      </c>
    </row>
    <row r="40" spans="2:24" s="230" customFormat="1" ht="17.25" x14ac:dyDescent="0.3">
      <c r="G40" s="23"/>
      <c r="L40" s="12"/>
      <c r="T40" s="238"/>
      <c r="U40" s="59" t="s">
        <v>161</v>
      </c>
      <c r="V40" s="299">
        <v>395.37</v>
      </c>
    </row>
    <row r="41" spans="2:24" s="230" customFormat="1" ht="17.25" x14ac:dyDescent="0.3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5" customHeight="1" x14ac:dyDescent="0.25">
      <c r="L42" s="12"/>
      <c r="U42" s="59"/>
      <c r="V42" s="59"/>
    </row>
    <row r="43" spans="2:24" x14ac:dyDescent="0.25">
      <c r="L43" s="250"/>
    </row>
    <row r="44" spans="2:24" x14ac:dyDescent="0.25">
      <c r="L44" s="250"/>
      <c r="T44" s="270"/>
    </row>
    <row r="45" spans="2:24" x14ac:dyDescent="0.25">
      <c r="L45" s="250"/>
    </row>
    <row r="46" spans="2:24" ht="15" customHeight="1" x14ac:dyDescent="0.25"/>
    <row r="48" spans="2:24" x14ac:dyDescent="0.25">
      <c r="O48">
        <v>40935</v>
      </c>
      <c r="P48" t="s">
        <v>16</v>
      </c>
      <c r="Q48" t="s">
        <v>26</v>
      </c>
    </row>
    <row r="50" spans="15:20" x14ac:dyDescent="0.25">
      <c r="O50" s="54"/>
      <c r="P50" s="54"/>
    </row>
    <row r="51" spans="15:20" x14ac:dyDescent="0.25">
      <c r="S51" s="18"/>
      <c r="T51" s="18"/>
    </row>
    <row r="52" spans="15:20" x14ac:dyDescent="0.25">
      <c r="S52" s="18"/>
      <c r="T52" s="18"/>
    </row>
    <row r="53" spans="15:20" x14ac:dyDescent="0.25">
      <c r="S53" s="18"/>
      <c r="T53" s="18"/>
    </row>
    <row r="54" spans="15:20" x14ac:dyDescent="0.25">
      <c r="S54" s="18"/>
      <c r="T54" s="18"/>
    </row>
    <row r="55" spans="15:20" x14ac:dyDescent="0.25">
      <c r="S55" s="18"/>
      <c r="T55" s="18"/>
    </row>
    <row r="56" spans="15:20" x14ac:dyDescent="0.25">
      <c r="S56" s="18"/>
      <c r="T56" s="18"/>
    </row>
    <row r="57" spans="15:20" x14ac:dyDescent="0.25">
      <c r="S57" s="18"/>
      <c r="T57" s="18"/>
    </row>
    <row r="58" spans="15:20" x14ac:dyDescent="0.25">
      <c r="S58" s="18"/>
      <c r="T58" s="18"/>
    </row>
    <row r="59" spans="15:20" x14ac:dyDescent="0.25">
      <c r="S59" s="18"/>
      <c r="T59" s="18"/>
    </row>
    <row r="62" spans="15:20" x14ac:dyDescent="0.25">
      <c r="O62" s="43"/>
    </row>
    <row r="63" spans="15:20" x14ac:dyDescent="0.25">
      <c r="O63" s="43"/>
    </row>
    <row r="64" spans="15:20" x14ac:dyDescent="0.25">
      <c r="O64" s="6"/>
    </row>
    <row r="65" spans="3:15" x14ac:dyDescent="0.25">
      <c r="O65" s="6"/>
    </row>
    <row r="73" spans="3:15" x14ac:dyDescent="0.25">
      <c r="C73" t="s">
        <v>148</v>
      </c>
    </row>
    <row r="74" spans="3:15" x14ac:dyDescent="0.25">
      <c r="C74" t="s">
        <v>147</v>
      </c>
    </row>
    <row r="77" spans="3:15" x14ac:dyDescent="0.25">
      <c r="C77" t="s">
        <v>147</v>
      </c>
    </row>
    <row r="154" spans="3:3" x14ac:dyDescent="0.25">
      <c r="C154" t="s">
        <v>147</v>
      </c>
    </row>
    <row r="155" spans="3:3" x14ac:dyDescent="0.25">
      <c r="C155" t="s">
        <v>149</v>
      </c>
    </row>
    <row r="156" spans="3:3" x14ac:dyDescent="0.25">
      <c r="C156" t="s">
        <v>150</v>
      </c>
    </row>
    <row r="581" spans="3:3" x14ac:dyDescent="0.25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105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45848</v>
      </c>
    </row>
    <row r="6" spans="2:31" ht="16.5" thickBot="1" x14ac:dyDescent="0.3">
      <c r="B6" s="140" t="s">
        <v>2</v>
      </c>
      <c r="C6" s="139" t="str">
        <f>'2229'!C10</f>
        <v>HECTOR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47" t="s">
        <v>98</v>
      </c>
      <c r="I7" s="348"/>
      <c r="J7" s="348"/>
      <c r="K7" s="349"/>
      <c r="N7" s="75"/>
      <c r="O7" s="346" t="s">
        <v>102</v>
      </c>
      <c r="P7" s="141" t="s">
        <v>101</v>
      </c>
      <c r="Q7" s="141"/>
    </row>
    <row r="8" spans="2:31" ht="16.5" thickBot="1" x14ac:dyDescent="0.3">
      <c r="B8" s="140" t="s">
        <v>100</v>
      </c>
      <c r="C8" s="139" t="str">
        <f>'2229'!D8</f>
        <v>N° 11516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6"/>
      <c r="P8" s="75" t="s">
        <v>99</v>
      </c>
      <c r="Q8" s="75"/>
      <c r="X8">
        <f>SUM(Q11:Q16)</f>
        <v>6</v>
      </c>
    </row>
    <row r="9" spans="2:31" ht="15.75" thickBot="1" x14ac:dyDescent="0.3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-10708.456700120776</v>
      </c>
    </row>
    <row r="10" spans="2:31" ht="16.5" thickBot="1" x14ac:dyDescent="0.3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93</v>
      </c>
      <c r="D11" s="133">
        <f>'2229'!H24</f>
        <v>164273.56000000003</v>
      </c>
      <c r="E11" s="132">
        <f>D11*0.19</f>
        <v>31211.976400000007</v>
      </c>
      <c r="F11" s="131">
        <f>E11+D11</f>
        <v>195485.53640000004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95281.543299879224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97</v>
      </c>
      <c r="D12" s="136">
        <f>SUM(M43:M45)</f>
        <v>60619.890787439617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77281.543299879224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91</v>
      </c>
      <c r="D13" s="217">
        <f>D11-D12</f>
        <v>103653.6692125604</v>
      </c>
      <c r="E13" s="221">
        <f>(D11/D12)-1</f>
        <v>1.7098953473211691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68281.543299879224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29281.543299879224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121</v>
      </c>
      <c r="D15" s="214">
        <v>0.65</v>
      </c>
      <c r="E15" s="215">
        <f>(100%+D15)*D12</f>
        <v>100022.81979927537</v>
      </c>
      <c r="F15" s="216">
        <f>E15-D12</f>
        <v>39402.929011835753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29281.543299879224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69281.543299879224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31</v>
      </c>
      <c r="D19" s="122">
        <f>'2229'!O31</f>
        <v>19975</v>
      </c>
      <c r="E19" s="123">
        <f>D19*0.19</f>
        <v>3795.25</v>
      </c>
      <c r="F19" s="120">
        <f>SUM(D19:E19)</f>
        <v>23770.25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21</v>
      </c>
      <c r="D20" s="122">
        <f>'2229'!O30</f>
        <v>10810.800000000001</v>
      </c>
      <c r="E20" s="121">
        <f>D20*0.19</f>
        <v>2054.0520000000001</v>
      </c>
      <c r="F20" s="120">
        <f>SUM(D20:E20)</f>
        <v>12864.852000000001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30785.800000000003</v>
      </c>
      <c r="E21" s="116">
        <f>SUM(E18:E20)</f>
        <v>5849.3019999999997</v>
      </c>
      <c r="F21" s="115">
        <f>SUM(F18:F20)</f>
        <v>36635.101999999999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.75" thickBot="1" x14ac:dyDescent="0.3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.75" thickBot="1" x14ac:dyDescent="0.3">
      <c r="B40" s="68" t="s">
        <v>52</v>
      </c>
      <c r="C40" s="67" t="s">
        <v>51</v>
      </c>
      <c r="D40" s="66">
        <f>E11-E21</f>
        <v>25362.674400000007</v>
      </c>
    </row>
    <row r="41" spans="2:16" ht="15.75" thickBot="1" x14ac:dyDescent="0.3">
      <c r="H41" s="350" t="s">
        <v>60</v>
      </c>
      <c r="I41" s="351"/>
      <c r="J41" s="351"/>
      <c r="K41" s="351"/>
      <c r="L41" s="351"/>
      <c r="M41" s="352"/>
    </row>
    <row r="42" spans="2:16" ht="15.75" thickBot="1" x14ac:dyDescent="0.3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164273.56000000003</v>
      </c>
    </row>
    <row r="43" spans="2:16" ht="15.75" thickBot="1" x14ac:dyDescent="0.3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30785.800000000003</v>
      </c>
    </row>
    <row r="44" spans="2:16" x14ac:dyDescent="0.25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50</v>
      </c>
      <c r="J46" s="172"/>
      <c r="K46" s="172"/>
      <c r="L46" s="173"/>
      <c r="M46" s="62">
        <f>M42-(SUM(M43:M45))</f>
        <v>103653.6692125604</v>
      </c>
    </row>
    <row r="47" spans="2:16" x14ac:dyDescent="0.25">
      <c r="I47" s="162" t="s">
        <v>49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48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47</v>
      </c>
      <c r="J49" s="172"/>
      <c r="K49" s="172"/>
      <c r="L49" s="173"/>
      <c r="M49" s="62">
        <f>M46-SUM(M47:M48)</f>
        <v>103653.6692125604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2025-07-10T21:53:37Z</cp:lastPrinted>
  <dcterms:created xsi:type="dcterms:W3CDTF">2013-03-18T13:35:42Z</dcterms:created>
  <dcterms:modified xsi:type="dcterms:W3CDTF">2025-07-13T02:18:38Z</dcterms:modified>
</cp:coreProperties>
</file>