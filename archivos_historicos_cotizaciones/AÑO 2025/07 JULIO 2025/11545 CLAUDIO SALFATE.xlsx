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AAB708C6-C35C-4737-95C8-F695A756E9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M21" i="1"/>
  <c r="M26" i="1" s="1"/>
  <c r="L21" i="1" l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l="1"/>
  <c r="O39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40" i="1" l="1"/>
  <c r="Q21" i="1" l="1"/>
  <c r="F15" i="3"/>
  <c r="R21" i="1" l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<sst xmlns="http://schemas.openxmlformats.org/spreadsheetml/2006/main" count="232" uniqueCount="177">
  <si>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</si>
  <si>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</si>
  <si>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</si>
  <si>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</si>
  <si>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</si>
  <si>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</si>
  <si>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</si>
  <si>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</si>
  <si>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</si>
  <si>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</si>
  <si>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</si>
  <si>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</si>
  <si>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</si>
  <si>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</si>
  <si>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</si>
  <si>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</si>
  <si>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</si>
  <si>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</si>
  <si>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</si>
  <si>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</si>
  <si>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</si>
  <si>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</si>
  <si>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</si>
  <si>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</si>
  <si>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</si>
  <si>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</si>
  <si>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</si>
  <si>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</si>
  <si>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</si>
  <si>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</si>
  <si>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</si>
  <si>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</si>
  <si>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</si>
  <si>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</si>
  <si>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</si>
  <si>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</si>
  <si>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</si>
  <si>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</si>
  <si>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</si>
  <si>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</si>
  <si>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</si>
  <si>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</si>
  <si>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</si>
  <si>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</si>
  <si>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</si>
  <si>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</si>
  <si>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</si>
  <si>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</si>
  <si>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</si>
  <si>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</si>
  <si>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</si>
  <si>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</si>
  <si>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</si>
  <si>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</si>
  <si>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</si>
  <si>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</si>
  <si>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</si>
  <si>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</si>
  <si>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</si>
  <si>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</si>
  <si>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</si>
  <si>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</si>
  <si>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</si>
  <si>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</si>
  <si>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</si>
  <si>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</si>
  <si>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</si>
  <si>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</si>
  <si>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</si>
  <si>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</si>
  <si>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</si>
  <si>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</si>
  <si>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</si>
  <si>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</si>
  <si>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</si>
  <si>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</si>
  <si>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</si>
  <si>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</si>
  <si>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</si>
  <si>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</si>
  <si>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</si>
  <si>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</si>
  <si>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</si>
  <si>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</si>
  <si>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</si>
  <si>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</si>
  <si>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</si>
  <si>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</si>
  <si>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</si>
  <si>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</si>
  <si>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</si>
  <si>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</si>
  <si>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</si>
  <si>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</si>
  <si>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</si>
  <si>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</si>
  <si>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</si>
  <si>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</si>
  <si>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</si>
  <si>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</si>
  <si>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</si>
  <si>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</si>
  <si>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</si>
  <si>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</si>
  <si>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</si>
  <si>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</si>
  <si>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</si>
  <si>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</si>
  <si>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</si>
  <si>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</si>
  <si>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</si>
  <si>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</si>
  <si>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</si>
  <si>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</si>
  <si>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</si>
  <si>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</si>
  <si>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</si>
  <si>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</si>
  <si>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</si>
  <si>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</si>
  <si>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</si>
  <si>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</si>
  <si>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</si>
  <si>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</si>
  <si>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</si>
  <si>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</si>
  <si>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</si>
  <si>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</si>
  <si>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</si>
  <si>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</si>
  <si>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</si>
  <si>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</si>
  <si>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</si>
  <si>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</si>
  <si>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</si>
  <si>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</si>
  <si>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</si>
  <si>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</si>
  <si>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</si>
  <si>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</si>
  <si>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</si>
  <si>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</si>
  <si>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</si>
  <si>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</si>
  <si>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</si>
  <si>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</si>
  <si>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</si>
  <si>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</si>
  <si>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</si>
  <si>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</si>
  <si>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</si>
  <si>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</si>
  <si>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</si>
  <si>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</si>
  <si>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</si>
  <si>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</si>
  <si>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</si>
  <si>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</si>
  <si>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</si>
  <si>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</si>
  <si>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</si>
  <si>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</si>
  <si>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</si>
  <si>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</si>
  <si>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</si>
  <si>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</si>
  <si>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</si>
  <si>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</si>
  <si>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</si>
  <si>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</si>
  <si>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CUB CON RESPALDO FRENTE 90°</t>
  </si>
  <si>
    <t>BLANCO OPACO</t>
  </si>
  <si>
    <t>LAMINA PARA ZOCALO</t>
  </si>
  <si>
    <t>SERVICIO DE CORTE Y ENCHAPE</t>
  </si>
  <si>
    <t>3 DIAS HABILES</t>
  </si>
  <si>
    <t>SI</t>
  </si>
  <si>
    <t>CLAUDIO SALFATE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</si>
</sst>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40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</a:t>
          </a:r>
          <a:r>
            <a:rPr lang="es-CL" sz="1200" b="1" baseline="0"/>
            <a:t> CUBIERTA SE ENTREGA CORTADA A LA MEDIDA Y ENCHAPADAS POR AMBOS LADOS.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J16" sqref="J16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0" t="s">
        <v>125</v>
      </c>
      <c r="C8" s="321"/>
      <c r="D8" s="322">
        <v>11545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176</v>
      </c>
      <c r="D10" s="239"/>
      <c r="E10" s="239"/>
      <c r="F10" s="240" t="s">
        <v>167</v>
      </c>
      <c r="G10" s="271">
        <v>45873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175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102">
        <v>968482596</v>
      </c>
      <c r="D15" s="313"/>
      <c r="F15" t="s">
        <v>168</v>
      </c>
      <c r="G15" s="314" t="s">
        <v>133</v>
      </c>
      <c r="H15" s="281"/>
    </row>
    <row r="16" spans="2:24" ht="16.8" x14ac:dyDescent="0.4">
      <c r="B16" s="297" t="s">
        <v>3</v>
      </c>
      <c r="C16" s="315"/>
      <c r="D16" s="308"/>
      <c r="E16" s="308"/>
      <c r="F16" s="316" t="s">
        <v>128</v>
      </c>
      <c r="G16" s="317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29" t="s">
        <v>162</v>
      </c>
      <c r="G17" s="329"/>
      <c r="H17" s="330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1" t="s">
        <v>95</v>
      </c>
      <c r="C19" s="332"/>
      <c r="D19" s="332"/>
      <c r="E19" s="332"/>
      <c r="F19" s="332"/>
      <c r="G19" s="332"/>
      <c r="H19" s="333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3" t="s">
        <v>7</v>
      </c>
      <c r="C20" s="324" t="s">
        <v>1</v>
      </c>
      <c r="D20" s="324" t="s">
        <v>130</v>
      </c>
      <c r="E20" s="324" t="s">
        <v>11</v>
      </c>
      <c r="F20" s="324" t="s">
        <v>8</v>
      </c>
      <c r="G20" s="324" t="s">
        <v>5</v>
      </c>
      <c r="H20" s="325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69259.814814814818</v>
      </c>
      <c r="R20" s="253">
        <v>3000</v>
      </c>
      <c r="S20" s="35"/>
      <c r="T20" s="14" t="s">
        <v>127</v>
      </c>
      <c r="U20" s="9"/>
      <c r="X20" s="4"/>
    </row>
    <row r="21" spans="1:25" ht="18" thickBot="1" x14ac:dyDescent="0.35">
      <c r="B21" s="341">
        <v>1</v>
      </c>
      <c r="C21" s="342" t="s">
        <v>170</v>
      </c>
      <c r="D21" s="343">
        <v>1</v>
      </c>
      <c r="E21" s="343">
        <v>0.6</v>
      </c>
      <c r="F21" s="342" t="s">
        <v>171</v>
      </c>
      <c r="G21" s="344">
        <v>40000</v>
      </c>
      <c r="H21" s="345">
        <f>G21*B21</f>
        <v>40000</v>
      </c>
      <c r="I21" s="299"/>
      <c r="J21" s="260"/>
      <c r="K21" s="44"/>
      <c r="L21" s="44">
        <f>B21</f>
        <v>1</v>
      </c>
      <c r="M21" s="36">
        <f>D21+M$19</f>
        <v>1.08</v>
      </c>
      <c r="N21" s="36">
        <f>E21+$N$19</f>
        <v>0.6</v>
      </c>
      <c r="O21" s="256">
        <f t="shared" ref="O21" si="1">M21*N21</f>
        <v>0.64800000000000002</v>
      </c>
      <c r="P21" s="254">
        <f t="shared" ref="P21" si="2">O21*L21</f>
        <v>0.64800000000000002</v>
      </c>
      <c r="Q21" s="247">
        <f t="shared" ref="Q21" si="3">Q$20*O21</f>
        <v>44880.36</v>
      </c>
      <c r="R21" s="298">
        <f t="shared" ref="R21" si="4">Q21+R$20</f>
        <v>47880.36</v>
      </c>
      <c r="S21" s="286">
        <f>M21*L21</f>
        <v>1.08</v>
      </c>
      <c r="T21" s="43">
        <f>N21*2*L21*2</f>
        <v>2.4</v>
      </c>
      <c r="U21" s="9"/>
      <c r="X21" s="4"/>
    </row>
    <row r="22" spans="1:25" ht="18" thickBot="1" x14ac:dyDescent="0.35">
      <c r="B22" s="346">
        <v>1</v>
      </c>
      <c r="C22" s="346" t="s">
        <v>172</v>
      </c>
      <c r="D22" s="347">
        <v>2.2000000000000002</v>
      </c>
      <c r="E22" s="347">
        <v>0.1</v>
      </c>
      <c r="F22" s="346" t="s">
        <v>171</v>
      </c>
      <c r="G22" s="348">
        <v>5000</v>
      </c>
      <c r="H22" s="345">
        <f t="shared" ref="H22:H23" si="5">G22*B22</f>
        <v>5000</v>
      </c>
      <c r="I22" s="299"/>
      <c r="J22" s="260"/>
      <c r="K22" s="44"/>
      <c r="L22" s="44"/>
      <c r="M22" s="36"/>
      <c r="N22" s="36"/>
      <c r="O22" s="256"/>
      <c r="P22" s="254"/>
      <c r="Q22" s="247"/>
      <c r="R22" s="298"/>
      <c r="S22" s="286"/>
      <c r="T22" s="43"/>
      <c r="U22" s="9"/>
      <c r="X22" s="4"/>
    </row>
    <row r="23" spans="1:25" ht="17.399999999999999" x14ac:dyDescent="0.3">
      <c r="B23" s="346">
        <v>1</v>
      </c>
      <c r="C23" s="346" t="s">
        <v>173</v>
      </c>
      <c r="D23" s="347"/>
      <c r="E23" s="347"/>
      <c r="F23" s="346"/>
      <c r="G23" s="348">
        <v>7500</v>
      </c>
      <c r="H23" s="345">
        <f t="shared" si="5"/>
        <v>7500</v>
      </c>
      <c r="I23" s="299"/>
      <c r="J23" s="260"/>
      <c r="K23" s="44"/>
      <c r="L23" s="44"/>
      <c r="M23" s="36"/>
      <c r="N23" s="36"/>
      <c r="O23" s="256"/>
      <c r="P23" s="254"/>
      <c r="Q23" s="247"/>
      <c r="R23" s="298"/>
      <c r="S23" s="286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300"/>
      <c r="I24" s="302"/>
      <c r="J24" s="229"/>
      <c r="K24" s="44"/>
      <c r="L24" s="44"/>
      <c r="M24" s="36"/>
      <c r="N24" s="36"/>
      <c r="O24" s="256"/>
      <c r="P24" s="254"/>
      <c r="Q24" s="247"/>
      <c r="R24" s="253"/>
      <c r="S24" s="286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3" t="s">
        <v>28</v>
      </c>
      <c r="H25" s="304">
        <f>SUM(H21:H24)</f>
        <v>52500</v>
      </c>
      <c r="I25" s="301"/>
      <c r="J25" s="260"/>
      <c r="K25" s="318"/>
      <c r="L25" s="44"/>
      <c r="M25" s="36"/>
      <c r="N25" s="36"/>
      <c r="O25" s="256"/>
      <c r="P25" s="254"/>
      <c r="Q25" s="247"/>
      <c r="R25" s="253"/>
      <c r="S25" s="286"/>
      <c r="T25" s="43">
        <f>SUM(T21:T24)</f>
        <v>2.4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5" t="s">
        <v>51</v>
      </c>
      <c r="H26" s="283">
        <f>H25*19%</f>
        <v>9975</v>
      </c>
      <c r="I26" s="301"/>
      <c r="J26" s="260"/>
      <c r="K26" s="318"/>
      <c r="L26" s="44"/>
      <c r="M26" s="36">
        <f>SUM(M21:M21)</f>
        <v>1.08</v>
      </c>
      <c r="N26" s="12"/>
      <c r="O26" s="12"/>
      <c r="P26" s="248">
        <f>SUM(P21:P24)</f>
        <v>0.64800000000000002</v>
      </c>
      <c r="Q26" s="14"/>
      <c r="R26" s="12"/>
      <c r="S26" s="235">
        <f>SUM(S21:S25)</f>
        <v>1.08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284">
        <f>H25+H26</f>
        <v>62475</v>
      </c>
      <c r="I27" s="301"/>
      <c r="J27" s="260"/>
      <c r="K27" s="318"/>
      <c r="L27" s="44"/>
      <c r="M27" s="36"/>
      <c r="N27" s="12"/>
      <c r="O27" s="12"/>
      <c r="P27" s="248">
        <f>P26</f>
        <v>0.64800000000000002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8"/>
      <c r="L28" s="44"/>
      <c r="M28" s="14"/>
      <c r="N28" s="12"/>
      <c r="O28" s="12"/>
      <c r="P28" s="36">
        <f>P27*20%</f>
        <v>0.12960000000000002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328"/>
      <c r="K29" s="44"/>
      <c r="L29" s="44"/>
      <c r="M29" s="14"/>
      <c r="N29" s="12"/>
      <c r="O29" s="12"/>
      <c r="P29" s="43">
        <f>P27+P28</f>
        <v>0.77760000000000007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90" t="s">
        <v>21</v>
      </c>
      <c r="V30" s="287" t="s">
        <v>149</v>
      </c>
      <c r="W30" s="291">
        <v>44971</v>
      </c>
      <c r="X30" s="292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0.77760000000000007</v>
      </c>
      <c r="N31" s="12">
        <v>3500</v>
      </c>
      <c r="O31" s="12">
        <f t="shared" ref="O31:O36" si="6">M31*N31</f>
        <v>2721.6000000000004</v>
      </c>
      <c r="P31" s="14" t="s">
        <v>21</v>
      </c>
      <c r="Q31" s="14"/>
      <c r="R31" s="14"/>
      <c r="S31" s="237"/>
      <c r="T31" s="14"/>
      <c r="U31" s="290" t="s">
        <v>150</v>
      </c>
      <c r="V31" s="287">
        <v>3625</v>
      </c>
      <c r="W31" s="56" t="s">
        <v>151</v>
      </c>
      <c r="X31" s="292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0.3</v>
      </c>
      <c r="N32" s="12">
        <v>23500</v>
      </c>
      <c r="O32" s="12">
        <f t="shared" si="6"/>
        <v>7050</v>
      </c>
      <c r="P32" s="36" t="s">
        <v>169</v>
      </c>
      <c r="Q32" s="39"/>
      <c r="R32" s="14"/>
      <c r="S32" s="236"/>
      <c r="T32" s="14"/>
      <c r="U32" s="290"/>
      <c r="V32" s="56">
        <v>906.25</v>
      </c>
      <c r="W32" s="56" t="s">
        <v>152</v>
      </c>
      <c r="X32" s="292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6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2" t="s">
        <v>153</v>
      </c>
      <c r="X33" s="56"/>
    </row>
    <row r="34" spans="2:24" s="226" customFormat="1" ht="17.399999999999999" x14ac:dyDescent="0.35">
      <c r="B34" s="21" t="s">
        <v>164</v>
      </c>
      <c r="C34"/>
      <c r="D34"/>
      <c r="E34"/>
      <c r="F34"/>
      <c r="J34" s="257"/>
      <c r="K34" s="228"/>
      <c r="L34" s="245"/>
      <c r="M34" s="14">
        <v>0.5</v>
      </c>
      <c r="N34" s="245">
        <v>20000</v>
      </c>
      <c r="O34" s="12">
        <f t="shared" si="6"/>
        <v>10000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2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/>
      <c r="K35" s="255"/>
      <c r="L35" s="245"/>
      <c r="M35" s="244"/>
      <c r="N35" s="245">
        <v>900</v>
      </c>
      <c r="O35" s="12">
        <f t="shared" si="6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1.6</v>
      </c>
      <c r="N36" s="12">
        <v>1000</v>
      </c>
      <c r="O36" s="12">
        <f t="shared" si="6"/>
        <v>1600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21371.599999999999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44880.36</v>
      </c>
      <c r="P38" s="14" t="s">
        <v>138</v>
      </c>
      <c r="Q38" s="14"/>
      <c r="R38" s="37">
        <f>P29/R37</f>
        <v>0.20966350301984471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69259.814814814818</v>
      </c>
      <c r="P39" s="42" t="s">
        <v>24</v>
      </c>
      <c r="Q39" s="14"/>
      <c r="R39" s="14"/>
      <c r="S39"/>
      <c r="T39" s="234"/>
      <c r="U39" s="56" t="s">
        <v>155</v>
      </c>
      <c r="V39" s="287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8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9"/>
      <c r="H41" s="326"/>
      <c r="L41" s="12"/>
      <c r="T41" s="234"/>
      <c r="U41" s="56" t="s">
        <v>158</v>
      </c>
      <c r="V41" s="289">
        <v>395.37</v>
      </c>
    </row>
    <row r="42" spans="2:24" s="226" customFormat="1" ht="17.399999999999999" x14ac:dyDescent="0.35">
      <c r="B42"/>
      <c r="C42" s="327"/>
      <c r="D42" s="279"/>
      <c r="E42" s="279"/>
      <c r="F42" s="278"/>
      <c r="G42" s="319"/>
      <c r="H42" s="326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9"/>
      <c r="H43" s="326"/>
      <c r="L43" s="12"/>
      <c r="U43" s="56"/>
      <c r="V43" s="56"/>
    </row>
    <row r="44" spans="2:24" ht="17.399999999999999" x14ac:dyDescent="0.35">
      <c r="D44" s="279"/>
      <c r="E44" s="279"/>
      <c r="F44" s="278"/>
      <c r="G44" s="319"/>
      <c r="H44" s="326"/>
      <c r="L44" s="245"/>
    </row>
    <row r="45" spans="2:24" ht="17.399999999999999" x14ac:dyDescent="0.35">
      <c r="D45" s="279"/>
      <c r="E45" s="279"/>
      <c r="F45" s="278"/>
      <c r="G45" s="319"/>
      <c r="H45" s="326"/>
      <c r="L45" s="245"/>
      <c r="T45" s="265"/>
    </row>
    <row r="46" spans="2:24" ht="17.399999999999999" x14ac:dyDescent="0.35">
      <c r="D46" s="279"/>
      <c r="E46" s="279"/>
      <c r="F46" s="278"/>
      <c r="G46" s="319"/>
      <c r="H46" s="326"/>
      <c r="L46" s="245"/>
    </row>
    <row r="47" spans="2:24" ht="15" customHeight="1" x14ac:dyDescent="0.35">
      <c r="D47" s="279"/>
      <c r="E47" s="279"/>
      <c r="F47" s="278"/>
      <c r="G47" s="319"/>
      <c r="H47" s="326"/>
    </row>
    <row r="48" spans="2:24" ht="17.399999999999999" x14ac:dyDescent="0.35">
      <c r="D48" s="279"/>
      <c r="E48" s="279"/>
      <c r="F48" s="278"/>
      <c r="G48" s="319"/>
      <c r="H48" s="326"/>
    </row>
    <row r="49" spans="4:20" ht="17.399999999999999" x14ac:dyDescent="0.35">
      <c r="D49" s="279"/>
      <c r="E49" s="279"/>
      <c r="F49" s="278"/>
      <c r="G49" s="319"/>
      <c r="H49" s="326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9"/>
      <c r="H50" s="326"/>
    </row>
    <row r="51" spans="4:20" ht="17.399999999999999" x14ac:dyDescent="0.35">
      <c r="D51" s="279"/>
      <c r="E51" s="279"/>
      <c r="F51" s="278"/>
      <c r="G51" s="319"/>
      <c r="H51" s="326"/>
      <c r="O51" s="51"/>
      <c r="P51" s="51"/>
    </row>
    <row r="52" spans="4:20" ht="17.399999999999999" x14ac:dyDescent="0.35">
      <c r="D52" s="279"/>
      <c r="E52" s="279"/>
      <c r="F52" s="278"/>
      <c r="G52" s="319"/>
      <c r="H52" s="326"/>
      <c r="S52" s="18"/>
      <c r="T52" s="18"/>
    </row>
    <row r="53" spans="4:20" ht="17.399999999999999" x14ac:dyDescent="0.35">
      <c r="D53" s="279"/>
      <c r="E53" s="279"/>
      <c r="F53" s="278"/>
      <c r="G53" s="319"/>
      <c r="H53" s="326"/>
      <c r="S53" s="18"/>
      <c r="T53" s="18"/>
    </row>
    <row r="54" spans="4:20" ht="17.399999999999999" x14ac:dyDescent="0.35">
      <c r="D54" s="279"/>
      <c r="E54" s="279"/>
      <c r="F54" s="278"/>
      <c r="G54" s="319"/>
      <c r="H54" s="326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45873</v>
      </c>
    </row>
    <row r="6" spans="1:31" ht="16.2" thickBot="1" x14ac:dyDescent="0.35">
      <c r="B6" s="137" t="s">
        <v>2</v>
      </c>
      <c r="C6" s="136" t="str">
        <f>'2229'!C10</f>
        <v>CLAUDIO SALFATE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5" t="s">
        <v>98</v>
      </c>
      <c r="I7" s="336"/>
      <c r="J7" s="336"/>
      <c r="K7" s="337"/>
      <c r="N7" s="72"/>
      <c r="O7" s="33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>
        <f>'2229'!D8</f>
        <v>11545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-816.53059323671425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52500</v>
      </c>
      <c r="E11" s="129">
        <f>D11*0.19</f>
        <v>9975</v>
      </c>
      <c r="F11" s="128">
        <f>E11+D11</f>
        <v>62475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105173.46940676328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29750.510275362318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87173.469406763281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22749.489724637682</v>
      </c>
      <c r="E13" s="218">
        <f>(D11/D12)-1</f>
        <v>0.76467561443736032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78173.469406763281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39173.469406763288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56644.971564289859</v>
      </c>
      <c r="C15" s="210" t="s">
        <v>121</v>
      </c>
      <c r="D15" s="211">
        <v>0.6</v>
      </c>
      <c r="E15" s="212">
        <f>(100%+D15)*D12</f>
        <v>47600.816440579714</v>
      </c>
      <c r="F15" s="213">
        <f>E15-D12</f>
        <v>17850.306165217396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39173.469406763288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79173.469406763281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7050</v>
      </c>
      <c r="E19" s="120">
        <f>D19*0.19</f>
        <v>1339.5</v>
      </c>
      <c r="F19" s="117">
        <f>SUM(D19:E19)</f>
        <v>8389.5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2721.6000000000004</v>
      </c>
      <c r="E20" s="118">
        <f>D20*0.19</f>
        <v>517.10400000000004</v>
      </c>
      <c r="F20" s="117">
        <f>SUM(D20:E20)</f>
        <v>3238.7040000000006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9771.6</v>
      </c>
      <c r="E21" s="113">
        <f>SUM(E18:E20)</f>
        <v>1856.604</v>
      </c>
      <c r="F21" s="112">
        <f>SUM(F18:F20)</f>
        <v>11628.204000000002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8118.3959999999997</v>
      </c>
    </row>
    <row r="41" spans="2:16" ht="15" thickBot="1" x14ac:dyDescent="0.35">
      <c r="H41" s="338" t="s">
        <v>60</v>
      </c>
      <c r="I41" s="339"/>
      <c r="J41" s="339"/>
      <c r="K41" s="339"/>
      <c r="L41" s="339"/>
      <c r="M41" s="34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52500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9771.6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22749.489724637682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22749.489724637682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2025-07-30T13:50:53Z</cp:lastPrinted>
  <dcterms:created xsi:type="dcterms:W3CDTF">2013-03-18T13:35:42Z</dcterms:created>
  <dcterms:modified xsi:type="dcterms:W3CDTF">2025-08-05T01:32:09Z</dcterms:modified>
</cp:coreProperties>
</file>