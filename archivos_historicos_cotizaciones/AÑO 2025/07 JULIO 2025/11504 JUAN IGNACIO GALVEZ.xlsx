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07 JULIO 2025\"/>
    </mc:Choice>
  </mc:AlternateContent>
  <xr:revisionPtr revIDLastSave="0" documentId="13_ncr:1_{37ED8A1F-668B-4DFA-A7DE-127D8D044CA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8" i="1" l="1"/>
  <c r="H23" i="1"/>
  <c r="H22" i="1"/>
  <c r="N23" i="1"/>
  <c r="M23" i="1"/>
  <c r="L23" i="1"/>
  <c r="N22" i="1"/>
  <c r="M22" i="1"/>
  <c r="L22" i="1"/>
  <c r="J36" i="1"/>
  <c r="L21" i="1"/>
  <c r="N21" i="1"/>
  <c r="S23" i="1" l="1"/>
  <c r="S22" i="1"/>
  <c r="O23" i="1"/>
  <c r="P23" i="1" s="1"/>
  <c r="O22" i="1"/>
  <c r="P22" i="1" s="1"/>
  <c r="M21" i="1"/>
  <c r="M26" i="1" s="1"/>
  <c r="S21" i="1" l="1"/>
  <c r="S26" i="1" s="1"/>
  <c r="T21" i="1"/>
  <c r="T25" i="1" s="1"/>
  <c r="O21" i="1"/>
  <c r="P21" i="1" s="1"/>
  <c r="P26" i="1" s="1"/>
  <c r="V33" i="1" l="1"/>
  <c r="V34" i="1" s="1"/>
  <c r="O32" i="1" l="1"/>
  <c r="P27" i="1" l="1"/>
  <c r="N20" i="1"/>
  <c r="L20" i="1"/>
  <c r="P28" i="1" l="1"/>
  <c r="P29" i="1" s="1"/>
  <c r="M31" i="1" s="1"/>
  <c r="O33" i="1"/>
  <c r="R37" i="1"/>
  <c r="R38" i="1" l="1"/>
  <c r="O34" i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O36" i="1"/>
  <c r="O35" i="1"/>
  <c r="F18" i="3" l="1"/>
  <c r="O31" i="1" l="1"/>
  <c r="O37" i="1" s="1"/>
  <c r="O38" i="1" s="1"/>
  <c r="O39" i="1" l="1"/>
  <c r="D20" i="3"/>
  <c r="E20" i="3" s="1"/>
  <c r="E21" i="3" s="1"/>
  <c r="Q20" i="1" l="1"/>
  <c r="D21" i="3"/>
  <c r="M43" i="3" s="1"/>
  <c r="D12" i="3" s="1"/>
  <c r="F20" i="3"/>
  <c r="F21" i="3" s="1"/>
  <c r="Q23" i="1" l="1"/>
  <c r="R23" i="1" s="1"/>
  <c r="Q22" i="1"/>
  <c r="R22" i="1" s="1"/>
  <c r="O40" i="1"/>
  <c r="E15" i="3"/>
  <c r="Q21" i="1" l="1"/>
  <c r="F15" i="3"/>
  <c r="R21" i="1" l="1"/>
  <c r="H21" i="1" l="1"/>
  <c r="H25" i="1" l="1"/>
  <c r="H26" i="1" s="1"/>
  <c r="H27" i="1" s="1"/>
  <c r="D11" i="3"/>
  <c r="X9" i="3" s="1"/>
  <c r="X15" i="3" s="1"/>
  <c r="E13" i="3" l="1"/>
  <c r="D13" i="3"/>
  <c r="X16" i="3"/>
  <c r="M42" i="3"/>
  <c r="M46" i="3" s="1"/>
  <c r="M49" i="3" s="1"/>
  <c r="X12" i="3"/>
  <c r="X13" i="3"/>
  <c r="E11" i="3"/>
  <c r="D40" i="3" s="1"/>
  <c r="X14" i="3"/>
  <c r="X11" i="3"/>
  <c r="F11" i="3" l="1"/>
</calcChain>
</file>

<file path=xl/sharedStrings.xml><?xml version="1.0" encoding="utf-8"?>
<sst xmlns="http://schemas.openxmlformats.org/spreadsheetml/2006/main" count="235" uniqueCount="176">
  <si>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</si>
  <si>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</si>
  <si>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</si>
  <si>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</si>
  <si>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</si>
  <si>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</si>
  <si>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</si>
  <si>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</si>
  <si>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</si>
  <si>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</si>
  <si>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</si>
  <si>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</si>
  <si>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</si>
  <si>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</si>
  <si>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</si>
  <si>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</si>
  <si>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</si>
  <si>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</si>
  <si>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</si>
  <si>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</si>
  <si>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</si>
  <si>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</si>
  <si>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</si>
  <si>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</si>
  <si>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</si>
  <si>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</si>
  <si>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</si>
  <si>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</si>
  <si>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</si>
  <si>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</si>
  <si>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</si>
  <si>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</si>
  <si>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</si>
  <si>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</si>
  <si>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</si>
  <si>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</si>
  <si>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</si>
  <si>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</si>
  <si>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</si>
  <si>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</si>
  <si>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</si>
  <si>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</si>
  <si>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</si>
  <si>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</si>
  <si>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</si>
  <si>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</si>
  <si>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</si>
  <si>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</si>
  <si>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</si>
  <si>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</si>
  <si>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</si>
  <si>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</si>
  <si>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</si>
  <si>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</si>
  <si>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</si>
  <si>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</si>
  <si>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</si>
  <si>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</si>
  <si>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</si>
  <si>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</si>
  <si>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</si>
  <si>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</si>
  <si>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</si>
  <si>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</si>
  <si>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</si>
  <si>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</si>
  <si>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</si>
  <si>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</si>
  <si>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</si>
  <si>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</si>
  <si>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</si>
  <si>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</si>
  <si>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</si>
  <si>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</si>
  <si>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</si>
  <si>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</si>
  <si>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</si>
  <si>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</si>
  <si>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</si>
  <si>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</si>
  <si>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</si>
  <si>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</si>
  <si>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</si>
  <si>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</si>
  <si>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</si>
  <si>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</si>
  <si>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</si>
  <si>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</si>
  <si>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</si>
  <si>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</si>
  <si>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</si>
  <si>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</si>
  <si>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</si>
  <si>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</si>
  <si>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</si>
  <si>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</si>
  <si>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</si>
  <si>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</si>
  <si>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</si>
  <si>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</si>
  <si>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</si>
  <si>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</si>
  <si>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</si>
  <si>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</si>
  <si>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</si>
  <si>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</si>
  <si>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</si>
  <si>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</si>
  <si>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</si>
  <si>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</si>
  <si>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</si>
  <si>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</si>
  <si>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</si>
  <si>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</si>
  <si>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</si>
  <si>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</si>
  <si>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</si>
  <si>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</si>
  <si>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</si>
  <si>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</si>
  <si>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</si>
  <si>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</si>
  <si>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</si>
  <si>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</si>
  <si>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</si>
  <si>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</si>
  <si>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</si>
  <si>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</si>
  <si>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</si>
  <si>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</si>
  <si>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</si>
  <si>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</si>
  <si>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</si>
  <si>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</si>
  <si>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</si>
  <si>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</si>
  <si>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</si>
  <si>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</si>
  <si>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</si>
  <si>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</si>
  <si>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</si>
  <si>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</si>
  <si>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</si>
  <si>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</si>
  <si>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</si>
  <si>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</si>
  <si>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</si>
  <si>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</si>
  <si>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</si>
  <si>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</si>
  <si>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</si>
  <si>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</si>
  <si>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</si>
  <si>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</si>
  <si>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</si>
  <si>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</si>
  <si>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</si>
  <si>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</si>
  <si>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</si>
  <si>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</si>
  <si>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</si>
  <si>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FONO +569 2032 3382</t>
  </si>
  <si>
    <t>DURACION COTIZACION: 5 DIAS                           FRANCO DONOSO</t>
  </si>
  <si>
    <t>SANTIAGO</t>
  </si>
  <si>
    <t>RUT : 77.054.606-0 CORREO: FRANCODONOSO@TOPMOBILI.CL</t>
  </si>
  <si>
    <t>EMBALAJE</t>
  </si>
  <si>
    <t>PLAZO ENTREGA</t>
  </si>
  <si>
    <t>FECHA</t>
  </si>
  <si>
    <t>DESPACHO</t>
  </si>
  <si>
    <t>CUB C/R FRENTE 90°</t>
  </si>
  <si>
    <t>JUAN IGNACIO GALVEZ</t>
  </si>
  <si>
    <t>569 84194237</t>
  </si>
  <si>
    <t>GRIS CLARO MT</t>
  </si>
  <si>
    <t>2 DIAS HABILES</t>
  </si>
  <si>
    <t xml:space="preserve">NO </t>
  </si>
  <si>
    <t>N° 11504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</si>
</sst>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38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  <font>
      <sz val="9"/>
      <color rgb="FF000000"/>
      <name val="Segoe UI"/>
      <family val="2"/>
    </font>
  </fonts>
  <fills count="21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46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0" fontId="0" fillId="0" borderId="55" xfId="0" applyBorder="1"/>
    <xf numFmtId="0" fontId="24" fillId="20" borderId="2" xfId="0" applyFont="1" applyFill="1" applyBorder="1" applyAlignment="1">
      <alignment horizontal="left" indent="1"/>
    </xf>
    <xf numFmtId="0" fontId="23" fillId="20" borderId="9" xfId="0" applyFont="1" applyFill="1" applyBorder="1"/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0" fillId="0" borderId="44" xfId="0" applyBorder="1"/>
    <xf numFmtId="0" fontId="29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7" fillId="8" borderId="54" xfId="0" applyFont="1" applyFill="1" applyBorder="1"/>
    <xf numFmtId="41" fontId="11" fillId="2" borderId="0" xfId="4" applyFont="1" applyFill="1" applyBorder="1" applyAlignment="1">
      <alignment horizontal="center"/>
    </xf>
    <xf numFmtId="167" fontId="11" fillId="0" borderId="0" xfId="2" applyNumberFormat="1" applyFont="1" applyFill="1" applyBorder="1" applyAlignment="1">
      <alignment horizontal="center" vertical="center"/>
    </xf>
    <xf numFmtId="41" fontId="22" fillId="0" borderId="0" xfId="4" applyFont="1" applyBorder="1" applyAlignment="1">
      <alignment horizontal="center" vertical="center"/>
    </xf>
    <xf numFmtId="42" fontId="33" fillId="0" borderId="0" xfId="8" applyFont="1" applyFill="1" applyBorder="1"/>
    <xf numFmtId="41" fontId="22" fillId="0" borderId="0" xfId="4" applyFont="1" applyFill="1" applyBorder="1" applyAlignment="1">
      <alignment horizontal="center" vertical="center"/>
    </xf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21" fillId="20" borderId="40" xfId="0" applyFont="1" applyFill="1" applyBorder="1" applyAlignment="1">
      <alignment horizontal="center" vertical="center"/>
    </xf>
    <xf numFmtId="0" fontId="21" fillId="20" borderId="39" xfId="0" applyFont="1" applyFill="1" applyBorder="1" applyAlignment="1">
      <alignment horizontal="center" vertical="center"/>
    </xf>
    <xf numFmtId="0" fontId="21" fillId="20" borderId="43" xfId="0" applyFont="1" applyFill="1" applyBorder="1" applyAlignment="1">
      <alignment horizontal="center" vertical="center"/>
    </xf>
    <xf numFmtId="0" fontId="24" fillId="20" borderId="3" xfId="0" applyFont="1" applyFill="1" applyBorder="1" applyAlignment="1">
      <alignment horizontal="center"/>
    </xf>
    <xf numFmtId="0" fontId="32" fillId="0" borderId="1" xfId="0" applyFont="1" applyBorder="1" applyAlignment="1">
      <alignment horizontal="center" vertical="center"/>
    </xf>
    <xf numFmtId="166" fontId="32" fillId="0" borderId="1" xfId="0" applyNumberFormat="1" applyFont="1" applyBorder="1" applyAlignment="1">
      <alignment horizontal="center" vertical="center"/>
    </xf>
    <xf numFmtId="167" fontId="11" fillId="0" borderId="1" xfId="2" applyNumberFormat="1" applyFont="1" applyFill="1" applyBorder="1" applyAlignment="1">
      <alignment horizontal="center" vertical="center"/>
    </xf>
    <xf numFmtId="0" fontId="0" fillId="0" borderId="46" xfId="0" applyBorder="1"/>
    <xf numFmtId="0" fontId="35" fillId="0" borderId="0" xfId="0" applyFont="1"/>
    <xf numFmtId="14" fontId="29" fillId="0" borderId="0" xfId="0" applyNumberFormat="1" applyFont="1" applyAlignment="1">
      <alignment horizontal="left"/>
    </xf>
    <xf numFmtId="0" fontId="37" fillId="8" borderId="0" xfId="0" applyFont="1" applyFill="1"/>
    <xf numFmtId="0" fontId="0" fillId="8" borderId="0" xfId="0" applyFill="1"/>
    <xf numFmtId="0" fontId="29" fillId="8" borderId="0" xfId="0" applyFont="1" applyFill="1" applyAlignment="1">
      <alignment horizontal="left"/>
    </xf>
    <xf numFmtId="0" fontId="29" fillId="0" borderId="0" xfId="0" applyFont="1" applyAlignment="1">
      <alignment horizontal="left"/>
    </xf>
    <xf numFmtId="0" fontId="9" fillId="8" borderId="0" xfId="3" applyFill="1" applyBorder="1"/>
    <xf numFmtId="0" fontId="29" fillId="8" borderId="0" xfId="0" applyFont="1" applyFill="1"/>
    <xf numFmtId="0" fontId="36" fillId="0" borderId="0" xfId="0" quotePrefix="1" applyFont="1"/>
    <xf numFmtId="0" fontId="25" fillId="0" borderId="0" xfId="0" applyFont="1"/>
    <xf numFmtId="0" fontId="29" fillId="0" borderId="0" xfId="0" applyFont="1"/>
    <xf numFmtId="0" fontId="35" fillId="8" borderId="0" xfId="0" applyFont="1" applyFill="1"/>
    <xf numFmtId="0" fontId="14" fillId="8" borderId="0" xfId="0" applyFont="1" applyFill="1"/>
    <xf numFmtId="0" fontId="30" fillId="8" borderId="0" xfId="0" applyFont="1" applyFill="1"/>
    <xf numFmtId="169" fontId="0" fillId="0" borderId="0" xfId="0" applyNumberFormat="1"/>
    <xf numFmtId="0" fontId="18" fillId="0" borderId="37" xfId="0" applyFont="1" applyBorder="1" applyAlignment="1">
      <alignment horizontal="left"/>
    </xf>
    <xf numFmtId="0" fontId="18" fillId="0" borderId="56" xfId="0" applyFont="1" applyBorder="1" applyAlignment="1">
      <alignment horizontal="left"/>
    </xf>
    <xf numFmtId="0" fontId="5" fillId="5" borderId="40" xfId="0" applyFont="1" applyFill="1" applyBorder="1" applyAlignment="1">
      <alignment horizontal="center" vertical="center"/>
    </xf>
    <xf numFmtId="0" fontId="5" fillId="5" borderId="39" xfId="0" applyFont="1" applyFill="1" applyBorder="1" applyAlignment="1">
      <alignment horizontal="center" vertical="center"/>
    </xf>
    <xf numFmtId="0" fontId="5" fillId="5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28</xdr:row>
      <xdr:rowOff>8194</xdr:rowOff>
    </xdr:from>
    <xdr:to>
      <xdr:col>8</xdr:col>
      <xdr:colOff>8193</xdr:colOff>
      <xdr:row>31</xdr:row>
      <xdr:rowOff>8195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74000" y="5489678"/>
          <a:ext cx="2023806" cy="663678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30</xdr:row>
      <xdr:rowOff>154305</xdr:rowOff>
    </xdr:from>
    <xdr:to>
      <xdr:col>7</xdr:col>
      <xdr:colOff>853440</xdr:colOff>
      <xdr:row>30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28</xdr:row>
      <xdr:rowOff>9525</xdr:rowOff>
    </xdr:from>
    <xdr:to>
      <xdr:col>5</xdr:col>
      <xdr:colOff>1745226</xdr:colOff>
      <xdr:row>31</xdr:row>
      <xdr:rowOff>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5491009"/>
          <a:ext cx="6885346" cy="654152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24</xdr:row>
      <xdr:rowOff>9525</xdr:rowOff>
    </xdr:from>
    <xdr:to>
      <xdr:col>5</xdr:col>
      <xdr:colOff>1728839</xdr:colOff>
      <xdr:row>27</xdr:row>
      <xdr:rowOff>16387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09677" y="4597912"/>
          <a:ext cx="6849807" cy="678733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 LAS</a:t>
          </a:r>
          <a:r>
            <a:rPr lang="es-CL" sz="1200" b="1" baseline="0"/>
            <a:t> CUBIERTAS NO INCLUYEN TERFMINACIONES Y SE ENTREGAN CON SOBRE MEDIDA</a:t>
          </a:r>
        </a:p>
        <a:p>
          <a:pPr algn="l"/>
          <a:r>
            <a:rPr lang="es-CL" sz="1200" b="1" u="dbl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SUSTRATO: MDF 18MM</a:t>
          </a:r>
        </a:p>
      </xdr:txBody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1520321</xdr:colOff>
      <xdr:row>6</xdr:row>
      <xdr:rowOff>34491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AF643AC6-5B03-DE1D-2832-D05253CA11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0710" y="0"/>
          <a:ext cx="1516511" cy="114309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Y582"/>
  <sheetViews>
    <sheetView tabSelected="1" topLeftCell="A3" zoomScale="93" zoomScaleNormal="93" workbookViewId="0">
      <selection activeCell="D9" sqref="D9"/>
    </sheetView>
  </sheetViews>
  <sheetFormatPr baseColWidth="10" defaultRowHeight="14.4" x14ac:dyDescent="0.3"/>
  <cols>
    <col min="1" max="1" width="6" customWidth="1"/>
    <col min="2" max="2" width="10.5546875" customWidth="1"/>
    <col min="3" max="3" width="40.21875" customWidth="1"/>
    <col min="4" max="4" width="11.109375" customWidth="1"/>
    <col min="5" max="5" width="14.44140625" customWidth="1"/>
    <col min="6" max="6" width="27.21875" customWidth="1"/>
    <col min="7" max="7" width="14" customWidth="1"/>
    <col min="8" max="8" width="14.21875" customWidth="1"/>
    <col min="9" max="9" width="15.44140625" customWidth="1"/>
    <col min="10" max="10" width="13.44140625" customWidth="1"/>
    <col min="12" max="12" width="9.5546875" style="18" customWidth="1"/>
    <col min="13" max="13" width="8.88671875" customWidth="1"/>
    <col min="14" max="14" width="8.33203125" customWidth="1"/>
    <col min="15" max="15" width="9.44140625" customWidth="1"/>
    <col min="16" max="16" width="7.6640625" customWidth="1"/>
    <col min="17" max="17" width="9.44140625" customWidth="1"/>
    <col min="18" max="18" width="10.109375" customWidth="1"/>
    <col min="19" max="19" width="8.88671875" customWidth="1"/>
    <col min="20" max="20" width="9.6640625" customWidth="1"/>
    <col min="21" max="21" width="9.33203125" customWidth="1"/>
    <col min="22" max="22" width="9.6640625" customWidth="1"/>
    <col min="23" max="23" width="10.88671875" customWidth="1"/>
    <col min="24" max="24" width="10.44140625" customWidth="1"/>
    <col min="25" max="25" width="9" customWidth="1"/>
  </cols>
  <sheetData>
    <row r="2" spans="2:24" ht="15.6" x14ac:dyDescent="0.3">
      <c r="F2" s="242" t="s">
        <v>140</v>
      </c>
      <c r="Q2" s="2"/>
      <c r="R2" s="2"/>
      <c r="S2" s="3"/>
      <c r="T2" s="3"/>
      <c r="U2" s="2"/>
      <c r="V2" s="2"/>
      <c r="W2" s="3"/>
      <c r="X2" s="4"/>
    </row>
    <row r="3" spans="2:24" x14ac:dyDescent="0.3">
      <c r="F3" s="59" t="s">
        <v>136</v>
      </c>
      <c r="Q3" s="2"/>
      <c r="R3" s="2"/>
      <c r="S3" s="3"/>
      <c r="T3" s="3"/>
      <c r="U3" s="2"/>
      <c r="V3" s="2"/>
      <c r="W3" s="3"/>
      <c r="X3" s="4"/>
    </row>
    <row r="4" spans="2:24" x14ac:dyDescent="0.3">
      <c r="F4" s="59" t="s">
        <v>141</v>
      </c>
      <c r="Q4" s="2"/>
      <c r="R4" s="2"/>
      <c r="S4" s="3"/>
      <c r="T4" s="3"/>
      <c r="U4" s="2"/>
      <c r="V4" s="2"/>
      <c r="W4" s="3"/>
      <c r="X4" s="4"/>
    </row>
    <row r="5" spans="2:24" x14ac:dyDescent="0.3">
      <c r="F5" s="59" t="s">
        <v>14</v>
      </c>
      <c r="Q5" s="2"/>
      <c r="R5" s="2"/>
      <c r="S5" s="3"/>
      <c r="T5" s="3"/>
      <c r="U5" s="2"/>
      <c r="V5" s="2"/>
      <c r="W5" s="3"/>
      <c r="X5" s="4"/>
    </row>
    <row r="6" spans="2:24" ht="15.6" x14ac:dyDescent="0.3">
      <c r="F6" s="59" t="s">
        <v>161</v>
      </c>
      <c r="O6" s="33" t="s">
        <v>19</v>
      </c>
      <c r="Q6" s="2"/>
      <c r="R6" s="2"/>
      <c r="S6" s="3"/>
      <c r="T6" s="3"/>
      <c r="U6" s="2"/>
      <c r="V6" s="2"/>
      <c r="W6" s="3"/>
    </row>
    <row r="7" spans="2:24" ht="15" thickBot="1" x14ac:dyDescent="0.35">
      <c r="F7" s="59" t="s">
        <v>123</v>
      </c>
      <c r="Q7" s="2"/>
      <c r="R7" s="2"/>
      <c r="S7" s="3"/>
      <c r="T7" s="3"/>
      <c r="U7" s="2"/>
      <c r="V7" s="2"/>
      <c r="W7" s="3"/>
    </row>
    <row r="8" spans="2:24" ht="21.6" thickBot="1" x14ac:dyDescent="0.45">
      <c r="B8" s="286" t="s">
        <v>125</v>
      </c>
      <c r="C8" s="287"/>
      <c r="D8" s="314" t="s">
        <v>175</v>
      </c>
      <c r="F8" s="59"/>
      <c r="K8" s="52"/>
      <c r="R8" s="2"/>
      <c r="S8" s="3"/>
      <c r="T8" s="3"/>
      <c r="U8" s="2"/>
      <c r="V8" s="2"/>
      <c r="W8" s="3"/>
    </row>
    <row r="9" spans="2:24" ht="15" thickBot="1" x14ac:dyDescent="0.35">
      <c r="R9" s="2"/>
      <c r="S9" s="3"/>
      <c r="T9" s="3"/>
      <c r="U9" s="4"/>
      <c r="V9" s="2"/>
      <c r="W9" s="3"/>
    </row>
    <row r="10" spans="2:24" x14ac:dyDescent="0.3">
      <c r="B10" s="299" t="s">
        <v>159</v>
      </c>
      <c r="C10" s="318" t="s">
        <v>170</v>
      </c>
      <c r="D10" s="243"/>
      <c r="E10" s="243"/>
      <c r="F10" s="244" t="s">
        <v>167</v>
      </c>
      <c r="G10" s="275">
        <v>45842</v>
      </c>
      <c r="H10" s="245"/>
      <c r="K10" s="1"/>
      <c r="R10" s="2"/>
      <c r="S10" s="3"/>
      <c r="T10" s="3"/>
      <c r="U10" s="4"/>
      <c r="V10" s="2"/>
      <c r="W10" s="3"/>
    </row>
    <row r="11" spans="2:24" ht="16.8" x14ac:dyDescent="0.4">
      <c r="B11" s="284" t="s">
        <v>12</v>
      </c>
      <c r="C11" s="319"/>
      <c r="F11" t="s">
        <v>166</v>
      </c>
      <c r="G11" s="320" t="s">
        <v>173</v>
      </c>
      <c r="H11" s="285"/>
      <c r="Q11" s="19"/>
      <c r="R11" s="25" t="s">
        <v>18</v>
      </c>
      <c r="S11" s="19"/>
    </row>
    <row r="12" spans="2:24" x14ac:dyDescent="0.3">
      <c r="B12" s="246" t="s">
        <v>142</v>
      </c>
      <c r="C12" s="321"/>
      <c r="D12" s="322"/>
      <c r="E12" s="322"/>
      <c r="F12" s="322" t="s">
        <v>126</v>
      </c>
      <c r="G12" s="323" t="s">
        <v>133</v>
      </c>
      <c r="H12" s="247"/>
      <c r="Q12" s="19"/>
      <c r="R12" s="25"/>
      <c r="S12" s="19"/>
    </row>
    <row r="13" spans="2:24" x14ac:dyDescent="0.3">
      <c r="B13" s="284" t="s">
        <v>143</v>
      </c>
      <c r="F13" t="s">
        <v>165</v>
      </c>
      <c r="G13" s="324" t="s">
        <v>133</v>
      </c>
      <c r="H13" s="285"/>
      <c r="Q13" s="19"/>
      <c r="R13" s="25"/>
      <c r="S13" s="19"/>
    </row>
    <row r="14" spans="2:24" x14ac:dyDescent="0.3">
      <c r="B14" s="246" t="s">
        <v>137</v>
      </c>
      <c r="C14" s="325"/>
      <c r="D14" s="322"/>
      <c r="E14" s="322"/>
      <c r="F14" s="322" t="s">
        <v>134</v>
      </c>
      <c r="G14" s="326" t="s">
        <v>174</v>
      </c>
      <c r="H14" s="247"/>
      <c r="K14" s="29"/>
      <c r="Q14" s="20"/>
      <c r="R14" s="26" t="s">
        <v>17</v>
      </c>
      <c r="S14" s="20"/>
    </row>
    <row r="15" spans="2:24" ht="15.6" x14ac:dyDescent="0.3">
      <c r="B15" s="284" t="s">
        <v>4</v>
      </c>
      <c r="C15" s="327" t="s">
        <v>171</v>
      </c>
      <c r="D15" s="328"/>
      <c r="F15" t="s">
        <v>168</v>
      </c>
      <c r="G15" s="329" t="s">
        <v>133</v>
      </c>
      <c r="H15" s="285"/>
    </row>
    <row r="16" spans="2:24" ht="16.8" x14ac:dyDescent="0.4">
      <c r="B16" s="303" t="s">
        <v>3</v>
      </c>
      <c r="C16" s="330"/>
      <c r="D16" s="322"/>
      <c r="E16" s="322"/>
      <c r="F16" s="331" t="s">
        <v>128</v>
      </c>
      <c r="G16" s="332" t="s">
        <v>160</v>
      </c>
      <c r="H16" s="247"/>
    </row>
    <row r="17" spans="1:25" ht="15" thickBot="1" x14ac:dyDescent="0.35">
      <c r="B17" s="300" t="s">
        <v>13</v>
      </c>
      <c r="C17" s="301" t="s">
        <v>163</v>
      </c>
      <c r="D17" s="302"/>
      <c r="E17" s="119"/>
      <c r="F17" s="334" t="s">
        <v>162</v>
      </c>
      <c r="G17" s="334"/>
      <c r="H17" s="335"/>
      <c r="I17" s="262"/>
      <c r="J17" s="262"/>
      <c r="T17" s="6"/>
      <c r="U17" s="6"/>
    </row>
    <row r="18" spans="1:25" ht="15.75" customHeight="1" thickBot="1" x14ac:dyDescent="0.35">
      <c r="J18" s="47"/>
      <c r="K18" s="5"/>
      <c r="V18" s="9"/>
      <c r="X18" s="6"/>
      <c r="Y18" s="6"/>
    </row>
    <row r="19" spans="1:25" ht="13.5" customHeight="1" thickBot="1" x14ac:dyDescent="0.35">
      <c r="B19" s="336" t="s">
        <v>95</v>
      </c>
      <c r="C19" s="337"/>
      <c r="D19" s="337"/>
      <c r="E19" s="337"/>
      <c r="F19" s="337"/>
      <c r="G19" s="337"/>
      <c r="H19" s="338"/>
      <c r="I19" s="263"/>
      <c r="J19" s="263"/>
      <c r="K19" s="5"/>
      <c r="L19" s="249"/>
      <c r="M19" s="14">
        <v>0.08</v>
      </c>
      <c r="N19" s="14"/>
      <c r="O19" s="14"/>
      <c r="P19" s="250" t="s">
        <v>6</v>
      </c>
      <c r="Q19" s="36" t="s">
        <v>20</v>
      </c>
      <c r="R19" s="37" t="s">
        <v>132</v>
      </c>
      <c r="S19" s="10" t="s">
        <v>135</v>
      </c>
      <c r="U19" s="9"/>
      <c r="V19" s="9"/>
      <c r="X19" s="6"/>
      <c r="Y19" s="6"/>
    </row>
    <row r="20" spans="1:25" ht="17.399999999999999" x14ac:dyDescent="0.3">
      <c r="B20" s="311" t="s">
        <v>7</v>
      </c>
      <c r="C20" s="312" t="s">
        <v>1</v>
      </c>
      <c r="D20" s="312" t="s">
        <v>10</v>
      </c>
      <c r="E20" s="312" t="s">
        <v>11</v>
      </c>
      <c r="F20" s="312" t="s">
        <v>8</v>
      </c>
      <c r="G20" s="312" t="s">
        <v>5</v>
      </c>
      <c r="H20" s="313" t="s">
        <v>6</v>
      </c>
      <c r="I20" s="264"/>
      <c r="J20" s="264"/>
      <c r="K20" s="47"/>
      <c r="L20" s="267" t="str">
        <f>B20</f>
        <v>UNIDAD</v>
      </c>
      <c r="M20" s="266" t="s">
        <v>130</v>
      </c>
      <c r="N20" s="39" t="str">
        <f t="shared" ref="N20" si="0">E20</f>
        <v>ANCHO</v>
      </c>
      <c r="O20" s="260" t="s">
        <v>131</v>
      </c>
      <c r="P20" s="258" t="s">
        <v>16</v>
      </c>
      <c r="Q20" s="251">
        <f>O39</f>
        <v>67207.105263157893</v>
      </c>
      <c r="R20" s="257">
        <v>3000</v>
      </c>
      <c r="S20" s="38"/>
      <c r="T20" s="14" t="s">
        <v>127</v>
      </c>
      <c r="U20" s="9"/>
      <c r="X20" s="4"/>
    </row>
    <row r="21" spans="1:25" ht="17.399999999999999" x14ac:dyDescent="0.3">
      <c r="B21" s="315">
        <v>1</v>
      </c>
      <c r="C21" s="315" t="s">
        <v>169</v>
      </c>
      <c r="D21" s="316">
        <v>1.7</v>
      </c>
      <c r="E21" s="316">
        <v>0.6</v>
      </c>
      <c r="F21" s="315" t="s">
        <v>172</v>
      </c>
      <c r="G21" s="317">
        <v>74777</v>
      </c>
      <c r="H21" s="317">
        <f>G21*B21</f>
        <v>74777</v>
      </c>
      <c r="I21" s="305"/>
      <c r="J21" s="264"/>
      <c r="K21" s="47"/>
      <c r="L21" s="47">
        <f>B21</f>
        <v>1</v>
      </c>
      <c r="M21" s="39">
        <f>D21+M$19</f>
        <v>1.78</v>
      </c>
      <c r="N21" s="39">
        <f>E21+$N$19</f>
        <v>0.6</v>
      </c>
      <c r="O21" s="260">
        <f t="shared" ref="O21" si="1">M21*N21</f>
        <v>1.0680000000000001</v>
      </c>
      <c r="P21" s="258">
        <f t="shared" ref="P21" si="2">O21*L21</f>
        <v>1.0680000000000001</v>
      </c>
      <c r="Q21" s="251">
        <f t="shared" ref="Q21" si="3">Q$20*O21</f>
        <v>71777.188421052633</v>
      </c>
      <c r="R21" s="304">
        <f t="shared" ref="R21" si="4">Q21+R$20</f>
        <v>74777.188421052633</v>
      </c>
      <c r="S21" s="292">
        <f>M21*L21</f>
        <v>1.78</v>
      </c>
      <c r="T21" s="46">
        <f>N21*2*L21*2</f>
        <v>2.4</v>
      </c>
      <c r="U21" s="9"/>
      <c r="X21" s="4"/>
    </row>
    <row r="22" spans="1:25" ht="17.399999999999999" x14ac:dyDescent="0.3">
      <c r="B22" s="315">
        <v>1</v>
      </c>
      <c r="C22" s="315" t="s">
        <v>169</v>
      </c>
      <c r="D22" s="316">
        <v>0.9</v>
      </c>
      <c r="E22" s="316">
        <v>0.6</v>
      </c>
      <c r="F22" s="315" t="s">
        <v>172</v>
      </c>
      <c r="G22" s="317">
        <v>42518</v>
      </c>
      <c r="H22" s="317">
        <f t="shared" ref="H22:H23" si="5">G22*B22</f>
        <v>42518</v>
      </c>
      <c r="I22" s="305"/>
      <c r="J22" s="264"/>
      <c r="K22" s="47"/>
      <c r="L22" s="47">
        <f t="shared" ref="L22:L23" si="6">B22</f>
        <v>1</v>
      </c>
      <c r="M22" s="39">
        <f t="shared" ref="M22:M23" si="7">D22+M$19</f>
        <v>0.98</v>
      </c>
      <c r="N22" s="39">
        <f t="shared" ref="N22:N23" si="8">E22+$N$19</f>
        <v>0.6</v>
      </c>
      <c r="O22" s="260">
        <f t="shared" ref="O22:O23" si="9">M22*N22</f>
        <v>0.58799999999999997</v>
      </c>
      <c r="P22" s="258">
        <f t="shared" ref="P22:P23" si="10">O22*L22</f>
        <v>0.58799999999999997</v>
      </c>
      <c r="Q22" s="251">
        <f t="shared" ref="Q22:Q23" si="11">Q$20*O22</f>
        <v>39517.777894736842</v>
      </c>
      <c r="R22" s="304">
        <f t="shared" ref="R22:R23" si="12">Q22+R$20</f>
        <v>42517.777894736842</v>
      </c>
      <c r="S22" s="292">
        <f t="shared" ref="S22:S23" si="13">M22*L22</f>
        <v>0.98</v>
      </c>
      <c r="T22" s="46"/>
      <c r="U22" s="9"/>
      <c r="X22" s="4"/>
    </row>
    <row r="23" spans="1:25" ht="17.399999999999999" x14ac:dyDescent="0.3">
      <c r="B23" s="315">
        <v>1</v>
      </c>
      <c r="C23" s="315" t="s">
        <v>169</v>
      </c>
      <c r="D23" s="316">
        <v>0.2</v>
      </c>
      <c r="E23" s="316">
        <v>0.6</v>
      </c>
      <c r="F23" s="315" t="s">
        <v>172</v>
      </c>
      <c r="G23" s="317">
        <v>14291</v>
      </c>
      <c r="H23" s="317">
        <f t="shared" si="5"/>
        <v>14291</v>
      </c>
      <c r="I23" s="305"/>
      <c r="J23" s="264"/>
      <c r="K23" s="47"/>
      <c r="L23" s="47">
        <f t="shared" si="6"/>
        <v>1</v>
      </c>
      <c r="M23" s="39">
        <f t="shared" si="7"/>
        <v>0.28000000000000003</v>
      </c>
      <c r="N23" s="39">
        <f t="shared" si="8"/>
        <v>0.6</v>
      </c>
      <c r="O23" s="260">
        <f t="shared" si="9"/>
        <v>0.16800000000000001</v>
      </c>
      <c r="P23" s="258">
        <f t="shared" si="10"/>
        <v>0.16800000000000001</v>
      </c>
      <c r="Q23" s="251">
        <f t="shared" si="11"/>
        <v>11290.793684210526</v>
      </c>
      <c r="R23" s="304">
        <f t="shared" si="12"/>
        <v>14290.793684210526</v>
      </c>
      <c r="S23" s="292">
        <f t="shared" si="13"/>
        <v>0.28000000000000003</v>
      </c>
      <c r="T23" s="46"/>
      <c r="U23" s="9"/>
      <c r="X23" s="4"/>
    </row>
    <row r="24" spans="1:25" ht="18" thickBot="1" x14ac:dyDescent="0.35">
      <c r="B24" s="282"/>
      <c r="C24" s="282"/>
      <c r="D24" s="283"/>
      <c r="E24" s="283"/>
      <c r="F24" s="282"/>
      <c r="G24" s="264"/>
      <c r="H24" s="306"/>
      <c r="I24" s="308"/>
      <c r="J24" s="233"/>
      <c r="K24" s="47"/>
      <c r="L24" s="47"/>
      <c r="M24" s="39"/>
      <c r="N24" s="39"/>
      <c r="O24" s="260"/>
      <c r="P24" s="258"/>
      <c r="Q24" s="251"/>
      <c r="R24" s="257"/>
      <c r="S24" s="292"/>
      <c r="T24" s="14"/>
      <c r="U24" s="9"/>
      <c r="X24" s="4"/>
    </row>
    <row r="25" spans="1:25" ht="17.399999999999999" x14ac:dyDescent="0.3">
      <c r="B25" s="282"/>
      <c r="C25" s="282"/>
      <c r="D25" s="283"/>
      <c r="E25" s="283"/>
      <c r="F25" s="282"/>
      <c r="G25" s="309" t="s">
        <v>28</v>
      </c>
      <c r="H25" s="310">
        <f>SUM(H21:H24)</f>
        <v>131586</v>
      </c>
      <c r="I25" s="307"/>
      <c r="J25" s="264"/>
      <c r="K25" s="333">
        <v>1.1299999999999999</v>
      </c>
      <c r="L25" s="47"/>
      <c r="M25" s="39"/>
      <c r="N25" s="39"/>
      <c r="O25" s="260"/>
      <c r="P25" s="258"/>
      <c r="Q25" s="251"/>
      <c r="R25" s="257"/>
      <c r="S25" s="292"/>
      <c r="T25" s="46">
        <f>SUM(T21:T24)</f>
        <v>2.4</v>
      </c>
      <c r="U25" s="9"/>
      <c r="X25" s="4"/>
    </row>
    <row r="26" spans="1:25" ht="17.399999999999999" x14ac:dyDescent="0.3">
      <c r="B26" s="276"/>
      <c r="C26" s="279"/>
      <c r="D26" s="280"/>
      <c r="E26" s="280"/>
      <c r="F26" s="281"/>
      <c r="G26" s="291" t="s">
        <v>51</v>
      </c>
      <c r="H26" s="289">
        <f>H25*19%</f>
        <v>25001.34</v>
      </c>
      <c r="I26" s="307"/>
      <c r="J26" s="264"/>
      <c r="K26" s="333">
        <v>1.1399999999999999</v>
      </c>
      <c r="L26" s="47"/>
      <c r="M26" s="39">
        <f>SUM(M21:M23)</f>
        <v>3.04</v>
      </c>
      <c r="N26" s="12"/>
      <c r="O26" s="12"/>
      <c r="P26" s="252">
        <f>SUM(P21:P24)</f>
        <v>1.8240000000000001</v>
      </c>
      <c r="Q26" s="14"/>
      <c r="R26" s="12"/>
      <c r="S26" s="239">
        <f>SUM(S21:S25)</f>
        <v>3.04</v>
      </c>
      <c r="T26" s="46"/>
      <c r="U26" s="9"/>
      <c r="X26" s="4"/>
    </row>
    <row r="27" spans="1:25" ht="18" thickBot="1" x14ac:dyDescent="0.35">
      <c r="B27" s="274"/>
      <c r="C27" s="278"/>
      <c r="D27" s="271"/>
      <c r="E27" s="271"/>
      <c r="F27" s="272"/>
      <c r="G27" s="277" t="s">
        <v>6</v>
      </c>
      <c r="H27" s="290">
        <f>H25+H26</f>
        <v>156587.34</v>
      </c>
      <c r="I27" s="307"/>
      <c r="J27" s="264"/>
      <c r="K27" s="333">
        <v>0.64</v>
      </c>
      <c r="L27" s="47"/>
      <c r="M27" s="39"/>
      <c r="N27" s="12"/>
      <c r="O27" s="12"/>
      <c r="P27" s="252">
        <f>P26</f>
        <v>1.8240000000000001</v>
      </c>
      <c r="Q27" s="14"/>
      <c r="R27" s="12"/>
      <c r="S27" s="239"/>
      <c r="T27" s="46"/>
      <c r="U27" s="9"/>
      <c r="X27" s="4"/>
    </row>
    <row r="28" spans="1:25" ht="17.399999999999999" x14ac:dyDescent="0.3">
      <c r="B28" s="274"/>
      <c r="C28" s="270"/>
      <c r="D28" s="271"/>
      <c r="E28" s="271"/>
      <c r="F28" s="272"/>
      <c r="J28" s="264"/>
      <c r="K28" s="333">
        <f>SUM(K25:K27)</f>
        <v>2.9099999999999997</v>
      </c>
      <c r="L28" s="47"/>
      <c r="M28" s="14"/>
      <c r="N28" s="12"/>
      <c r="O28" s="12"/>
      <c r="P28" s="39">
        <f>P27*20%</f>
        <v>0.36480000000000001</v>
      </c>
      <c r="Q28" s="39" t="s">
        <v>129</v>
      </c>
      <c r="R28" s="42"/>
      <c r="S28" s="240"/>
      <c r="T28" s="14"/>
      <c r="U28" s="9"/>
      <c r="X28" s="4"/>
    </row>
    <row r="29" spans="1:25" ht="17.399999999999999" x14ac:dyDescent="0.35">
      <c r="B29" s="268"/>
      <c r="C29" s="230"/>
      <c r="D29" s="230"/>
      <c r="E29" s="233"/>
      <c r="F29" s="234"/>
      <c r="G29" s="230"/>
      <c r="H29" s="273"/>
      <c r="I29" s="273"/>
      <c r="J29" s="264"/>
      <c r="K29" s="47"/>
      <c r="L29" s="47"/>
      <c r="M29" s="14"/>
      <c r="N29" s="12"/>
      <c r="O29" s="12"/>
      <c r="P29" s="46">
        <f>P27+P28</f>
        <v>2.1888000000000001</v>
      </c>
      <c r="Q29" s="14"/>
      <c r="R29" s="14"/>
      <c r="S29" s="238"/>
      <c r="T29" s="14"/>
      <c r="U29" s="9"/>
      <c r="X29" s="4"/>
    </row>
    <row r="30" spans="1:25" ht="17.399999999999999" x14ac:dyDescent="0.35">
      <c r="B30" s="235"/>
      <c r="C30" s="236"/>
      <c r="D30" s="237"/>
      <c r="E30" s="235"/>
      <c r="F30" s="230"/>
      <c r="G30" s="230"/>
      <c r="I30" s="273"/>
      <c r="J30" s="264"/>
      <c r="K30" s="47"/>
      <c r="L30" s="47"/>
      <c r="M30" s="14"/>
      <c r="N30" s="14"/>
      <c r="O30" s="14"/>
      <c r="P30" s="14"/>
      <c r="Q30" s="14"/>
      <c r="R30" s="14"/>
      <c r="S30" s="240"/>
      <c r="T30" s="14"/>
      <c r="U30" s="296" t="s">
        <v>21</v>
      </c>
      <c r="V30" s="293" t="s">
        <v>149</v>
      </c>
      <c r="W30" s="297">
        <v>44971</v>
      </c>
      <c r="X30" s="298"/>
    </row>
    <row r="31" spans="1:25" ht="17.399999999999999" x14ac:dyDescent="0.35">
      <c r="B31" s="230"/>
      <c r="C31" s="230"/>
      <c r="D31" s="230"/>
      <c r="E31" s="230"/>
      <c r="F31" s="230"/>
      <c r="G31" s="230"/>
      <c r="J31" s="264"/>
      <c r="K31" s="47"/>
      <c r="L31" s="47"/>
      <c r="M31" s="39">
        <f>P29</f>
        <v>2.1888000000000001</v>
      </c>
      <c r="N31" s="12">
        <v>3500</v>
      </c>
      <c r="O31" s="12">
        <f t="shared" ref="O31:O36" si="14">M31*N31</f>
        <v>7660.8</v>
      </c>
      <c r="P31" s="14" t="s">
        <v>21</v>
      </c>
      <c r="Q31" s="14"/>
      <c r="R31" s="14"/>
      <c r="S31" s="241"/>
      <c r="T31" s="14"/>
      <c r="U31" s="296" t="s">
        <v>150</v>
      </c>
      <c r="V31" s="293">
        <v>3625</v>
      </c>
      <c r="W31" s="59" t="s">
        <v>151</v>
      </c>
      <c r="X31" s="298"/>
    </row>
    <row r="32" spans="1:25" ht="17.399999999999999" x14ac:dyDescent="0.35">
      <c r="A32" s="230"/>
      <c r="B32" s="230"/>
      <c r="C32" s="230"/>
      <c r="D32" s="230"/>
      <c r="E32" s="230"/>
      <c r="F32" s="230"/>
      <c r="G32" s="230"/>
      <c r="H32" s="230"/>
      <c r="J32" s="264"/>
      <c r="K32" s="47"/>
      <c r="L32" s="47"/>
      <c r="M32" s="248">
        <v>0.6</v>
      </c>
      <c r="N32" s="12">
        <v>25000</v>
      </c>
      <c r="O32" s="12">
        <f t="shared" si="14"/>
        <v>15000</v>
      </c>
      <c r="P32" s="39" t="s">
        <v>31</v>
      </c>
      <c r="Q32" s="42"/>
      <c r="R32" s="14"/>
      <c r="S32" s="240"/>
      <c r="T32" s="14"/>
      <c r="U32" s="296"/>
      <c r="V32" s="59">
        <v>906.25</v>
      </c>
      <c r="W32" s="59" t="s">
        <v>152</v>
      </c>
      <c r="X32" s="298"/>
    </row>
    <row r="33" spans="2:24" s="230" customFormat="1" ht="17.399999999999999" x14ac:dyDescent="0.35">
      <c r="B33" s="24" t="s">
        <v>148</v>
      </c>
      <c r="J33" s="261"/>
      <c r="K33" s="232"/>
      <c r="L33" s="249"/>
      <c r="M33" s="14"/>
      <c r="N33" s="249">
        <v>37000</v>
      </c>
      <c r="O33" s="12">
        <f t="shared" si="14"/>
        <v>0</v>
      </c>
      <c r="P33" s="39" t="s">
        <v>30</v>
      </c>
      <c r="Q33" s="42"/>
      <c r="S33" s="240"/>
      <c r="T33" s="255"/>
      <c r="U33" s="59"/>
      <c r="V33" s="59">
        <f>V32*20%</f>
        <v>181.25</v>
      </c>
      <c r="W33" s="298" t="s">
        <v>153</v>
      </c>
      <c r="X33" s="59"/>
    </row>
    <row r="34" spans="2:24" s="230" customFormat="1" ht="17.399999999999999" x14ac:dyDescent="0.35">
      <c r="B34" s="24" t="s">
        <v>164</v>
      </c>
      <c r="C34"/>
      <c r="D34"/>
      <c r="E34"/>
      <c r="F34"/>
      <c r="J34" s="261"/>
      <c r="K34" s="232"/>
      <c r="L34" s="249"/>
      <c r="M34" s="14">
        <v>1</v>
      </c>
      <c r="N34" s="249">
        <v>28500</v>
      </c>
      <c r="O34" s="12">
        <f t="shared" si="14"/>
        <v>28500</v>
      </c>
      <c r="P34" s="14" t="s">
        <v>139</v>
      </c>
      <c r="Q34" s="17"/>
      <c r="S34" s="238"/>
      <c r="T34" s="255"/>
      <c r="U34" s="59"/>
      <c r="V34" s="59">
        <f>V32+V33</f>
        <v>1087.5</v>
      </c>
      <c r="W34" s="298" t="s">
        <v>154</v>
      </c>
      <c r="X34" s="59"/>
    </row>
    <row r="35" spans="2:24" s="230" customFormat="1" ht="17.399999999999999" x14ac:dyDescent="0.35">
      <c r="B35" s="29" t="s">
        <v>124</v>
      </c>
      <c r="C35"/>
      <c r="D35"/>
      <c r="E35"/>
      <c r="F35" s="229" t="s">
        <v>15</v>
      </c>
      <c r="J35" s="261">
        <v>60910</v>
      </c>
      <c r="K35" s="259"/>
      <c r="L35" s="249"/>
      <c r="M35" s="248"/>
      <c r="N35" s="249">
        <v>900</v>
      </c>
      <c r="O35" s="12">
        <f t="shared" si="14"/>
        <v>0</v>
      </c>
      <c r="P35" s="14" t="s">
        <v>32</v>
      </c>
      <c r="Q35" s="14"/>
      <c r="R35" s="230">
        <v>1.52</v>
      </c>
      <c r="S35" s="238"/>
      <c r="T35" s="238"/>
    </row>
    <row r="36" spans="2:24" s="230" customFormat="1" ht="17.399999999999999" x14ac:dyDescent="0.35">
      <c r="J36" s="288">
        <f>J35/1.19</f>
        <v>51184.873949579836</v>
      </c>
      <c r="K36" s="259"/>
      <c r="L36" s="249"/>
      <c r="M36" s="265">
        <v>3.04</v>
      </c>
      <c r="N36" s="12">
        <v>1500</v>
      </c>
      <c r="O36" s="12">
        <f t="shared" si="14"/>
        <v>4560</v>
      </c>
      <c r="P36" s="14" t="s">
        <v>22</v>
      </c>
      <c r="Q36" s="14"/>
      <c r="R36">
        <v>2.44</v>
      </c>
      <c r="S36"/>
      <c r="T36" s="238"/>
      <c r="X36" s="231"/>
    </row>
    <row r="37" spans="2:24" s="230" customFormat="1" ht="17.399999999999999" x14ac:dyDescent="0.35">
      <c r="K37" s="259"/>
      <c r="L37" s="249"/>
      <c r="M37" s="14"/>
      <c r="N37" s="12"/>
      <c r="O37" s="12">
        <f>SUM(O31:O36)</f>
        <v>55720.800000000003</v>
      </c>
      <c r="P37" s="39" t="s">
        <v>23</v>
      </c>
      <c r="Q37" s="14"/>
      <c r="R37">
        <f>R35*R36</f>
        <v>3.7088000000000001</v>
      </c>
      <c r="S37"/>
      <c r="T37" s="238"/>
      <c r="X37" s="231"/>
    </row>
    <row r="38" spans="2:24" s="230" customFormat="1" ht="17.399999999999999" x14ac:dyDescent="0.35">
      <c r="L38" s="249"/>
      <c r="M38" s="253" t="s">
        <v>33</v>
      </c>
      <c r="N38" s="12"/>
      <c r="O38" s="254">
        <f>O37*2.2</f>
        <v>122585.76000000001</v>
      </c>
      <c r="P38" s="14" t="s">
        <v>138</v>
      </c>
      <c r="Q38" s="14"/>
      <c r="R38" s="40">
        <f>P29/R37</f>
        <v>0.5901639344262295</v>
      </c>
      <c r="S38"/>
      <c r="T38" s="256"/>
    </row>
    <row r="39" spans="2:24" s="230" customFormat="1" ht="17.399999999999999" x14ac:dyDescent="0.35">
      <c r="G39"/>
      <c r="H39" s="259"/>
      <c r="I39" s="259"/>
      <c r="J39" s="259"/>
      <c r="L39" s="249"/>
      <c r="M39" s="14"/>
      <c r="N39" s="12"/>
      <c r="O39" s="12">
        <f>O38/P27</f>
        <v>67207.105263157893</v>
      </c>
      <c r="P39" s="45" t="s">
        <v>24</v>
      </c>
      <c r="Q39" s="14"/>
      <c r="R39" s="14"/>
      <c r="S39"/>
      <c r="T39" s="238"/>
      <c r="U39" s="59" t="s">
        <v>155</v>
      </c>
      <c r="V39" s="293">
        <v>43650</v>
      </c>
    </row>
    <row r="40" spans="2:24" s="230" customFormat="1" ht="17.399999999999999" x14ac:dyDescent="0.35">
      <c r="G40"/>
      <c r="L40" s="249"/>
      <c r="M40" s="13"/>
      <c r="N40" s="14"/>
      <c r="O40" s="17">
        <f>O38/O37</f>
        <v>2.2000000000000002</v>
      </c>
      <c r="P40" s="15"/>
      <c r="Q40"/>
      <c r="R40"/>
      <c r="S40"/>
      <c r="T40" s="238"/>
      <c r="U40" s="59" t="s">
        <v>157</v>
      </c>
      <c r="V40" s="294" t="s">
        <v>156</v>
      </c>
      <c r="W40" s="59">
        <v>2.4</v>
      </c>
    </row>
    <row r="41" spans="2:24" s="230" customFormat="1" ht="17.399999999999999" x14ac:dyDescent="0.35">
      <c r="G41" s="23"/>
      <c r="L41" s="12"/>
      <c r="T41" s="238"/>
      <c r="U41" s="59" t="s">
        <v>158</v>
      </c>
      <c r="V41" s="295">
        <v>395.37</v>
      </c>
    </row>
    <row r="42" spans="2:24" s="230" customFormat="1" ht="17.399999999999999" x14ac:dyDescent="0.35">
      <c r="B42"/>
      <c r="C42" s="228"/>
      <c r="D42" s="22"/>
      <c r="E42" s="22"/>
      <c r="F42" s="21"/>
      <c r="G42" s="23"/>
      <c r="L42" s="12"/>
      <c r="T42" s="238"/>
      <c r="U42" s="59" t="s">
        <v>153</v>
      </c>
      <c r="V42" s="59">
        <v>474.45</v>
      </c>
    </row>
    <row r="43" spans="2:24" ht="14.4" customHeight="1" x14ac:dyDescent="0.3">
      <c r="L43" s="12"/>
      <c r="U43" s="59"/>
      <c r="V43" s="59"/>
    </row>
    <row r="44" spans="2:24" x14ac:dyDescent="0.3">
      <c r="L44" s="249"/>
    </row>
    <row r="45" spans="2:24" x14ac:dyDescent="0.3">
      <c r="L45" s="249"/>
      <c r="T45" s="269"/>
    </row>
    <row r="46" spans="2:24" x14ac:dyDescent="0.3">
      <c r="L46" s="249"/>
    </row>
    <row r="47" spans="2:24" ht="15" customHeight="1" x14ac:dyDescent="0.3"/>
    <row r="49" spans="15:20" x14ac:dyDescent="0.3">
      <c r="O49">
        <v>40935</v>
      </c>
      <c r="P49" t="s">
        <v>16</v>
      </c>
      <c r="Q49" t="s">
        <v>26</v>
      </c>
    </row>
    <row r="51" spans="15:20" x14ac:dyDescent="0.3">
      <c r="O51" s="54"/>
      <c r="P51" s="54"/>
    </row>
    <row r="52" spans="15:20" x14ac:dyDescent="0.3">
      <c r="S52" s="18"/>
      <c r="T52" s="18"/>
    </row>
    <row r="53" spans="15:20" x14ac:dyDescent="0.3">
      <c r="S53" s="18"/>
      <c r="T53" s="18"/>
    </row>
    <row r="54" spans="15:20" x14ac:dyDescent="0.3">
      <c r="S54" s="18"/>
      <c r="T54" s="18"/>
    </row>
    <row r="55" spans="15:20" x14ac:dyDescent="0.3">
      <c r="S55" s="18"/>
      <c r="T55" s="18"/>
    </row>
    <row r="56" spans="15:20" x14ac:dyDescent="0.3">
      <c r="S56" s="18"/>
      <c r="T56" s="18"/>
    </row>
    <row r="57" spans="15:20" x14ac:dyDescent="0.3">
      <c r="S57" s="18"/>
      <c r="T57" s="18"/>
    </row>
    <row r="58" spans="15:20" x14ac:dyDescent="0.3">
      <c r="S58" s="18"/>
      <c r="T58" s="18"/>
    </row>
    <row r="59" spans="15:20" x14ac:dyDescent="0.3">
      <c r="S59" s="18"/>
      <c r="T59" s="18"/>
    </row>
    <row r="60" spans="15:20" x14ac:dyDescent="0.3">
      <c r="S60" s="18"/>
      <c r="T60" s="18"/>
    </row>
    <row r="63" spans="15:20" x14ac:dyDescent="0.3">
      <c r="O63" s="43"/>
    </row>
    <row r="64" spans="15:20" x14ac:dyDescent="0.3">
      <c r="O64" s="43"/>
    </row>
    <row r="65" spans="3:15" x14ac:dyDescent="0.3">
      <c r="O65" s="6"/>
    </row>
    <row r="66" spans="3:15" x14ac:dyDescent="0.3">
      <c r="O66" s="6"/>
    </row>
    <row r="74" spans="3:15" x14ac:dyDescent="0.3">
      <c r="C74" t="s">
        <v>145</v>
      </c>
    </row>
    <row r="75" spans="3:15" x14ac:dyDescent="0.3">
      <c r="C75" t="s">
        <v>144</v>
      </c>
    </row>
    <row r="78" spans="3:15" x14ac:dyDescent="0.3">
      <c r="C78" t="s">
        <v>144</v>
      </c>
    </row>
    <row r="155" spans="3:3" x14ac:dyDescent="0.3">
      <c r="C155" t="s">
        <v>144</v>
      </c>
    </row>
    <row r="156" spans="3:3" x14ac:dyDescent="0.3">
      <c r="C156" t="s">
        <v>146</v>
      </c>
    </row>
    <row r="157" spans="3:3" x14ac:dyDescent="0.3">
      <c r="C157" t="s">
        <v>147</v>
      </c>
    </row>
    <row r="582" spans="3:3" x14ac:dyDescent="0.3">
      <c r="C582" t="s">
        <v>144</v>
      </c>
    </row>
  </sheetData>
  <mergeCells count="2">
    <mergeCell ref="F17:H17"/>
    <mergeCell ref="B19:H19"/>
  </mergeCells>
  <phoneticPr fontId="34" type="noConversion"/>
  <hyperlinks>
    <hyperlink ref="F35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71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105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45842</v>
      </c>
    </row>
    <row r="6" spans="2:31" ht="16.2" thickBot="1" x14ac:dyDescent="0.35">
      <c r="B6" s="140" t="s">
        <v>2</v>
      </c>
      <c r="C6" s="139" t="str">
        <f>'2229'!C10</f>
        <v>JUAN IGNACIO GALVEZ</v>
      </c>
      <c r="D6" s="138"/>
      <c r="E6" s="138"/>
      <c r="F6" s="138"/>
      <c r="N6" s="75" t="s">
        <v>104</v>
      </c>
      <c r="O6" s="75"/>
      <c r="P6" s="142" t="s">
        <v>103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340" t="s">
        <v>98</v>
      </c>
      <c r="I7" s="341"/>
      <c r="J7" s="341"/>
      <c r="K7" s="342"/>
      <c r="N7" s="75"/>
      <c r="O7" s="339" t="s">
        <v>102</v>
      </c>
      <c r="P7" s="141" t="s">
        <v>101</v>
      </c>
      <c r="Q7" s="141"/>
    </row>
    <row r="8" spans="2:31" ht="16.2" thickBot="1" x14ac:dyDescent="0.35">
      <c r="B8" s="140" t="s">
        <v>100</v>
      </c>
      <c r="C8" s="139" t="str">
        <f>'2229'!D8</f>
        <v>N° 11504</v>
      </c>
      <c r="D8" s="138"/>
      <c r="E8" s="138"/>
      <c r="F8" s="138"/>
      <c r="H8" s="182" t="s">
        <v>117</v>
      </c>
      <c r="I8" s="154" t="s">
        <v>116</v>
      </c>
      <c r="J8" s="227" t="s">
        <v>95</v>
      </c>
      <c r="K8" s="135" t="s">
        <v>6</v>
      </c>
      <c r="L8" s="134" t="s">
        <v>6</v>
      </c>
      <c r="N8" s="75"/>
      <c r="O8" s="339"/>
      <c r="P8" s="75" t="s">
        <v>99</v>
      </c>
      <c r="Q8" s="75"/>
      <c r="X8">
        <f>SUM(Q11:Q16)</f>
        <v>6</v>
      </c>
    </row>
    <row r="9" spans="2:31" ht="15" thickBot="1" x14ac:dyDescent="0.35">
      <c r="H9" s="197" t="s">
        <v>96</v>
      </c>
      <c r="I9" s="198" t="s">
        <v>115</v>
      </c>
      <c r="J9" s="183" t="s">
        <v>92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-7494.9050334541071</v>
      </c>
    </row>
    <row r="10" spans="2:31" ht="16.2" thickBot="1" x14ac:dyDescent="0.35">
      <c r="D10" s="218" t="s">
        <v>28</v>
      </c>
      <c r="E10" s="219" t="s">
        <v>51</v>
      </c>
      <c r="F10" s="220" t="s">
        <v>6</v>
      </c>
      <c r="H10" s="190">
        <v>3</v>
      </c>
      <c r="I10" s="204">
        <v>350</v>
      </c>
      <c r="J10" s="201" t="s">
        <v>32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93</v>
      </c>
      <c r="D11" s="133">
        <f>'2229'!H25</f>
        <v>131586</v>
      </c>
      <c r="E11" s="132">
        <f>D11*0.19</f>
        <v>25001.34</v>
      </c>
      <c r="F11" s="131">
        <f>E11+D11</f>
        <v>156587.34</v>
      </c>
      <c r="H11" s="191">
        <v>3</v>
      </c>
      <c r="I11" s="174">
        <v>500</v>
      </c>
      <c r="J11" s="148" t="s">
        <v>22</v>
      </c>
      <c r="K11" s="158">
        <f t="shared" si="0"/>
        <v>1500</v>
      </c>
      <c r="Q11" s="7">
        <v>1</v>
      </c>
      <c r="R11" s="7" t="s">
        <v>35</v>
      </c>
      <c r="S11" s="51">
        <v>2.8</v>
      </c>
      <c r="T11" s="51">
        <v>0.62</v>
      </c>
      <c r="U11" s="7" t="s">
        <v>38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98495.09496654589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97</v>
      </c>
      <c r="D12" s="136">
        <f>SUM(M43:M45)</f>
        <v>52494.89078743961</v>
      </c>
      <c r="F12" s="61"/>
      <c r="H12" s="191">
        <v>0</v>
      </c>
      <c r="I12" s="174">
        <v>7500</v>
      </c>
      <c r="J12" s="150" t="s">
        <v>111</v>
      </c>
      <c r="K12" s="158">
        <f t="shared" si="0"/>
        <v>0</v>
      </c>
      <c r="L12" s="61"/>
      <c r="Q12" s="7">
        <v>1</v>
      </c>
      <c r="R12" s="7" t="s">
        <v>35</v>
      </c>
      <c r="S12" s="51">
        <v>2.2999999999999998</v>
      </c>
      <c r="T12" s="51">
        <v>0.62</v>
      </c>
      <c r="U12" s="7" t="s">
        <v>38</v>
      </c>
      <c r="V12" s="55">
        <v>87990</v>
      </c>
      <c r="W12" s="49">
        <f t="shared" si="1"/>
        <v>87990</v>
      </c>
      <c r="X12" s="176">
        <f t="shared" si="2"/>
        <v>80495.09496654589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91</v>
      </c>
      <c r="D13" s="217">
        <f>D11-D12</f>
        <v>79091.10921256039</v>
      </c>
      <c r="E13" s="221">
        <f>(D11/D12)-1</f>
        <v>1.5066439424136191</v>
      </c>
      <c r="H13" s="191">
        <v>0</v>
      </c>
      <c r="I13" s="174">
        <v>50</v>
      </c>
      <c r="J13" s="150" t="s">
        <v>112</v>
      </c>
      <c r="K13" s="158">
        <f t="shared" si="0"/>
        <v>0</v>
      </c>
      <c r="L13" s="61"/>
      <c r="Q13" s="7">
        <v>1</v>
      </c>
      <c r="R13" s="7" t="s">
        <v>35</v>
      </c>
      <c r="S13" s="51">
        <v>2.0299999999999998</v>
      </c>
      <c r="T13" s="51">
        <v>0.62</v>
      </c>
      <c r="U13" s="7" t="s">
        <v>38</v>
      </c>
      <c r="V13" s="55">
        <v>78990</v>
      </c>
      <c r="W13" s="49">
        <f t="shared" si="1"/>
        <v>78990</v>
      </c>
      <c r="X13" s="176">
        <f t="shared" si="2"/>
        <v>71495.09496654589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122</v>
      </c>
      <c r="E14" s="179" t="s">
        <v>28</v>
      </c>
      <c r="F14" s="178" t="s">
        <v>110</v>
      </c>
      <c r="H14" s="191">
        <v>0</v>
      </c>
      <c r="I14" s="174">
        <v>50</v>
      </c>
      <c r="J14" s="150" t="s">
        <v>113</v>
      </c>
      <c r="K14" s="158">
        <f t="shared" si="0"/>
        <v>0</v>
      </c>
      <c r="L14" s="61"/>
      <c r="P14" s="126"/>
      <c r="Q14" s="7">
        <v>1</v>
      </c>
      <c r="R14" s="7" t="s">
        <v>35</v>
      </c>
      <c r="S14" s="51">
        <v>1.08</v>
      </c>
      <c r="T14" s="51">
        <v>0.62</v>
      </c>
      <c r="U14" s="7" t="s">
        <v>38</v>
      </c>
      <c r="V14" s="55">
        <v>39990</v>
      </c>
      <c r="W14" s="49">
        <f t="shared" si="1"/>
        <v>39990</v>
      </c>
      <c r="X14" s="176">
        <f t="shared" si="2"/>
        <v>32495.094966545894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121</v>
      </c>
      <c r="D15" s="214">
        <v>0.65</v>
      </c>
      <c r="E15" s="215">
        <f>(100%+D15)*D12</f>
        <v>86616.569799275356</v>
      </c>
      <c r="F15" s="216">
        <f>E15-D12</f>
        <v>34121.679011835746</v>
      </c>
      <c r="H15" s="191">
        <v>0</v>
      </c>
      <c r="I15" s="174">
        <v>10</v>
      </c>
      <c r="J15" s="150" t="s">
        <v>114</v>
      </c>
      <c r="K15" s="158">
        <f t="shared" si="0"/>
        <v>0</v>
      </c>
      <c r="L15" s="61"/>
      <c r="Q15" s="7">
        <v>1</v>
      </c>
      <c r="R15" s="7" t="s">
        <v>35</v>
      </c>
      <c r="S15" s="51">
        <v>1.08</v>
      </c>
      <c r="T15" s="51">
        <v>0.62</v>
      </c>
      <c r="U15" s="7" t="s">
        <v>38</v>
      </c>
      <c r="V15" s="55">
        <v>39990</v>
      </c>
      <c r="W15" s="49">
        <f t="shared" si="1"/>
        <v>39990</v>
      </c>
      <c r="X15" s="176">
        <f t="shared" si="2"/>
        <v>32495.094966545894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90</v>
      </c>
      <c r="K16" s="158">
        <f t="shared" si="0"/>
        <v>0</v>
      </c>
      <c r="L16" s="61"/>
      <c r="Q16" s="7">
        <v>1</v>
      </c>
      <c r="R16" s="7" t="s">
        <v>35</v>
      </c>
      <c r="S16" s="51">
        <v>2.06</v>
      </c>
      <c r="T16" s="51">
        <v>0.62</v>
      </c>
      <c r="U16" s="7" t="s">
        <v>38</v>
      </c>
      <c r="V16" s="55">
        <v>79990</v>
      </c>
      <c r="W16" s="49">
        <f t="shared" si="1"/>
        <v>79990</v>
      </c>
      <c r="X16" s="176">
        <f t="shared" si="2"/>
        <v>72495.09496654589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88</v>
      </c>
      <c r="C17" s="129" t="s">
        <v>87</v>
      </c>
      <c r="D17" s="129" t="s">
        <v>28</v>
      </c>
      <c r="E17" s="128" t="s">
        <v>51</v>
      </c>
      <c r="F17" s="127" t="s">
        <v>6</v>
      </c>
      <c r="H17" s="193">
        <v>1</v>
      </c>
      <c r="I17" s="202"/>
      <c r="J17" s="188" t="s">
        <v>89</v>
      </c>
      <c r="K17" s="158">
        <f t="shared" si="0"/>
        <v>0</v>
      </c>
      <c r="L17" s="61"/>
      <c r="Q17" s="7">
        <v>6</v>
      </c>
      <c r="R17" s="7" t="s">
        <v>36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85</v>
      </c>
      <c r="D18" s="122">
        <f>'2229'!O33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86</v>
      </c>
      <c r="K18" s="158">
        <f t="shared" si="0"/>
        <v>0</v>
      </c>
      <c r="L18" s="61"/>
      <c r="Q18" s="7">
        <v>1</v>
      </c>
      <c r="R18" s="56" t="s">
        <v>37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31</v>
      </c>
      <c r="D19" s="122">
        <f>'2229'!O32</f>
        <v>15000</v>
      </c>
      <c r="E19" s="123">
        <f>D19*0.19</f>
        <v>2850</v>
      </c>
      <c r="F19" s="120">
        <f>SUM(D19:E19)</f>
        <v>17850</v>
      </c>
      <c r="H19" s="192">
        <v>1</v>
      </c>
      <c r="I19" s="202"/>
      <c r="J19" s="184" t="s">
        <v>84</v>
      </c>
      <c r="K19" s="158">
        <f t="shared" si="0"/>
        <v>0</v>
      </c>
      <c r="L19" s="61"/>
      <c r="Q19" s="16"/>
      <c r="T19" s="5"/>
      <c r="U19" s="6"/>
      <c r="V19" s="30" t="s">
        <v>28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21</v>
      </c>
      <c r="D20" s="122">
        <f>'2229'!O31</f>
        <v>7660.8</v>
      </c>
      <c r="E20" s="121">
        <f>D20*0.19</f>
        <v>1455.5520000000001</v>
      </c>
      <c r="F20" s="120">
        <f>SUM(D20:E20)</f>
        <v>9116.3520000000008</v>
      </c>
      <c r="H20" s="192">
        <v>1</v>
      </c>
      <c r="I20" s="202"/>
      <c r="J20" s="184" t="s">
        <v>83</v>
      </c>
      <c r="K20" s="158">
        <f t="shared" si="0"/>
        <v>0</v>
      </c>
      <c r="V20" s="31" t="s">
        <v>29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22660.799999999999</v>
      </c>
      <c r="E21" s="116">
        <f>SUM(E18:E20)</f>
        <v>4305.5519999999997</v>
      </c>
      <c r="F21" s="115">
        <f>SUM(F18:F20)</f>
        <v>26966.351999999999</v>
      </c>
      <c r="H21" s="192">
        <v>1</v>
      </c>
      <c r="I21" s="202"/>
      <c r="J21" s="184" t="s">
        <v>82</v>
      </c>
      <c r="K21" s="158">
        <f t="shared" si="0"/>
        <v>0</v>
      </c>
      <c r="M21" s="153">
        <f>B32/9</f>
        <v>2318.840579710145</v>
      </c>
      <c r="Q21" s="50" t="s">
        <v>39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80</v>
      </c>
      <c r="C22" s="113" t="s">
        <v>79</v>
      </c>
      <c r="D22" s="112" t="s">
        <v>78</v>
      </c>
      <c r="E22" s="111" t="s">
        <v>77</v>
      </c>
      <c r="F22" s="110" t="s">
        <v>6</v>
      </c>
      <c r="H22" s="192">
        <v>1</v>
      </c>
      <c r="I22" s="202"/>
      <c r="J22" s="148" t="s">
        <v>81</v>
      </c>
      <c r="K22" s="158">
        <f t="shared" si="0"/>
        <v>0</v>
      </c>
      <c r="M22" s="105"/>
      <c r="N22" s="58"/>
      <c r="Q22" s="50" t="s">
        <v>34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25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76</v>
      </c>
      <c r="K23" s="158">
        <f t="shared" si="0"/>
        <v>0</v>
      </c>
      <c r="M23" s="105"/>
      <c r="N23" s="58"/>
      <c r="Q23" s="50" t="s">
        <v>27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74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117</v>
      </c>
      <c r="I24" s="155" t="s">
        <v>115</v>
      </c>
      <c r="J24" s="181" t="s">
        <v>75</v>
      </c>
      <c r="K24" s="152" t="s">
        <v>94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73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108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71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72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70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69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68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106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67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118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22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119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65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120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64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41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40</v>
      </c>
      <c r="K33" s="97">
        <f t="shared" si="5"/>
        <v>0</v>
      </c>
    </row>
    <row r="34" spans="2:16" ht="15" thickBot="1" x14ac:dyDescent="0.35">
      <c r="B34" s="83" t="s">
        <v>63</v>
      </c>
      <c r="C34" s="82" t="s">
        <v>62</v>
      </c>
      <c r="D34" s="81">
        <f>L9</f>
        <v>2550</v>
      </c>
      <c r="H34" s="192">
        <v>1</v>
      </c>
      <c r="I34" s="174"/>
      <c r="J34" s="148" t="s">
        <v>107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61</v>
      </c>
      <c r="D35" s="78">
        <f>L24</f>
        <v>0</v>
      </c>
      <c r="H35" s="194">
        <v>6</v>
      </c>
      <c r="I35" s="206"/>
      <c r="J35" s="180" t="s">
        <v>109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59</v>
      </c>
      <c r="D36" s="78">
        <f>L36</f>
        <v>18467.665666666668</v>
      </c>
      <c r="E36" s="58"/>
      <c r="H36" s="151" t="s">
        <v>96</v>
      </c>
      <c r="I36" s="155" t="s">
        <v>115</v>
      </c>
      <c r="J36" s="189" t="s">
        <v>66</v>
      </c>
      <c r="K36" s="152" t="s">
        <v>94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42</v>
      </c>
      <c r="D37" s="73"/>
      <c r="H37" s="199">
        <f>$E$33</f>
        <v>3.9000000000000004</v>
      </c>
      <c r="I37" s="204">
        <f>32609.69/9</f>
        <v>3623.2988888888885</v>
      </c>
      <c r="J37" s="187" t="s">
        <v>45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43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44</v>
      </c>
      <c r="K39" s="84">
        <f>I39*H39</f>
        <v>565.5</v>
      </c>
    </row>
    <row r="40" spans="2:16" ht="15" thickBot="1" x14ac:dyDescent="0.35">
      <c r="B40" s="68" t="s">
        <v>52</v>
      </c>
      <c r="C40" s="67" t="s">
        <v>51</v>
      </c>
      <c r="D40" s="66">
        <f>E11-E21</f>
        <v>20695.788</v>
      </c>
    </row>
    <row r="41" spans="2:16" ht="15" thickBot="1" x14ac:dyDescent="0.35">
      <c r="H41" s="343" t="s">
        <v>60</v>
      </c>
      <c r="I41" s="344"/>
      <c r="J41" s="344"/>
      <c r="K41" s="344"/>
      <c r="L41" s="344"/>
      <c r="M41" s="345"/>
    </row>
    <row r="42" spans="2:16" ht="15" thickBot="1" x14ac:dyDescent="0.35">
      <c r="B42" s="75" t="s">
        <v>46</v>
      </c>
      <c r="C42" s="75"/>
      <c r="D42" s="207">
        <f>E33</f>
        <v>3.9000000000000004</v>
      </c>
      <c r="H42" s="77" t="s">
        <v>58</v>
      </c>
      <c r="I42" s="159" t="s">
        <v>57</v>
      </c>
      <c r="J42" s="160"/>
      <c r="K42" s="160"/>
      <c r="L42" s="161"/>
      <c r="M42" s="76">
        <f>D11</f>
        <v>131586</v>
      </c>
    </row>
    <row r="43" spans="2:16" ht="15" thickBot="1" x14ac:dyDescent="0.35">
      <c r="D43" s="57"/>
      <c r="H43" s="72" t="s">
        <v>56</v>
      </c>
      <c r="I43" s="162" t="s">
        <v>55</v>
      </c>
      <c r="J43" s="163"/>
      <c r="K43" s="163"/>
      <c r="L43" s="164"/>
      <c r="M43" s="64">
        <f>D21</f>
        <v>22660.799999999999</v>
      </c>
    </row>
    <row r="44" spans="2:16" x14ac:dyDescent="0.3">
      <c r="D44" s="57"/>
      <c r="I44" s="165" t="s">
        <v>54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53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50</v>
      </c>
      <c r="J46" s="172"/>
      <c r="K46" s="172"/>
      <c r="L46" s="173"/>
      <c r="M46" s="62">
        <f>M42-(SUM(M43:M45))</f>
        <v>79091.10921256039</v>
      </c>
    </row>
    <row r="47" spans="2:16" x14ac:dyDescent="0.3">
      <c r="I47" s="162" t="s">
        <v>49</v>
      </c>
      <c r="J47" s="163"/>
      <c r="K47" s="163"/>
      <c r="L47" s="164"/>
      <c r="M47" s="64"/>
    </row>
    <row r="48" spans="2:16" ht="15" thickBot="1" x14ac:dyDescent="0.35">
      <c r="D48" s="60"/>
      <c r="I48" s="168" t="s">
        <v>48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47</v>
      </c>
      <c r="J49" s="172"/>
      <c r="K49" s="172"/>
      <c r="L49" s="173"/>
      <c r="M49" s="62">
        <f>M46-SUM(M47:M48)</f>
        <v>79091.10921256039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2025-07-02T13:31:03Z</cp:lastPrinted>
  <dcterms:created xsi:type="dcterms:W3CDTF">2013-03-18T13:35:42Z</dcterms:created>
  <dcterms:modified xsi:type="dcterms:W3CDTF">2025-07-04T20:22:51Z</dcterms:modified>
</cp:coreProperties>
</file>