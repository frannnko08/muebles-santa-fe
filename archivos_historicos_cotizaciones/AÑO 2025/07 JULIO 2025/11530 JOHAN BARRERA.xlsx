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7E47CF82-ED7D-4C1C-AB25-3342BFFA5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 l="1"/>
  <c r="N21" i="1"/>
  <c r="M24" i="1" l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s="1"/>
  <c r="D20" i="3" l="1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<sst xmlns="http://schemas.openxmlformats.org/spreadsheetml/2006/main" count="231" uniqueCount="176">
  <si>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</si>
  <si>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</si>
  <si>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</si>
  <si>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</si>
  <si>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</si>
  <si>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</si>
  <si>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</si>
  <si>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</si>
  <si>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</si>
  <si>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</si>
  <si>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</si>
  <si>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</si>
  <si>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</si>
  <si>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</si>
  <si>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</si>
  <si>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</si>
  <si>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</si>
  <si>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</si>
  <si>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</si>
  <si>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</si>
  <si>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</si>
  <si>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</si>
  <si>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</si>
  <si>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</si>
  <si>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</si>
  <si>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</si>
  <si>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</si>
  <si>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</si>
  <si>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</si>
  <si>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</si>
  <si>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</si>
  <si>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</si>
  <si>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</si>
  <si>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</si>
  <si>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</si>
  <si>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</si>
  <si>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</si>
  <si>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</si>
  <si>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</si>
  <si>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</si>
  <si>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</si>
  <si>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</si>
  <si>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</si>
  <si>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</si>
  <si>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</si>
  <si>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</si>
  <si>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</si>
  <si>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</si>
  <si>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</si>
  <si>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</si>
  <si>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</si>
  <si>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</si>
  <si>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</si>
  <si>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</si>
  <si>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</si>
  <si>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</si>
  <si>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</si>
  <si>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</si>
  <si>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</si>
  <si>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</si>
  <si>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</si>
  <si>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</si>
  <si>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</si>
  <si>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</si>
  <si>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</si>
  <si>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</si>
  <si>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</si>
  <si>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</si>
  <si>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</si>
  <si>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</si>
  <si>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</si>
  <si>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</si>
  <si>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</si>
  <si>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</si>
  <si>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</si>
  <si>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</si>
  <si>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</si>
  <si>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</si>
  <si>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</si>
  <si>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</si>
  <si>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</si>
  <si>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</si>
  <si>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</si>
  <si>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</si>
  <si>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</si>
  <si>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</si>
  <si>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</si>
  <si>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</si>
  <si>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</si>
  <si>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</si>
  <si>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</si>
  <si>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</si>
  <si>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</si>
  <si>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</si>
  <si>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</si>
  <si>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</si>
  <si>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</si>
  <si>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</si>
  <si>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</si>
  <si>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</si>
  <si>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</si>
  <si>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</si>
  <si>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</si>
  <si>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</si>
  <si>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</si>
  <si>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</si>
  <si>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</si>
  <si>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</si>
  <si>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</si>
  <si>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</si>
  <si>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</si>
  <si>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</si>
  <si>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</si>
  <si>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</si>
  <si>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</si>
  <si>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</si>
  <si>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</si>
  <si>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</si>
  <si>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</si>
  <si>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</si>
  <si>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</si>
  <si>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</si>
  <si>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</si>
  <si>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</si>
  <si>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</si>
  <si>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</si>
  <si>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</si>
  <si>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</si>
  <si>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</si>
  <si>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</si>
  <si>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</si>
  <si>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</si>
  <si>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</si>
  <si>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</si>
  <si>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</si>
  <si>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</si>
  <si>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</si>
  <si>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</si>
  <si>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</si>
  <si>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</si>
  <si>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</si>
  <si>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</si>
  <si>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</si>
  <si>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</si>
  <si>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</si>
  <si>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</si>
  <si>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</si>
  <si>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</si>
  <si>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</si>
  <si>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</si>
  <si>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</si>
  <si>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</si>
  <si>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</si>
  <si>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</si>
  <si>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</si>
  <si>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</si>
  <si>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</si>
  <si>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</si>
  <si>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</si>
  <si>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</si>
  <si>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</si>
  <si>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</si>
  <si>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</si>
  <si>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</si>
  <si>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</si>
  <si>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</si>
  <si>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</si>
  <si>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</si>
  <si>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</si>
  <si>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</si>
  <si>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</si>
  <si>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+569 2606 2590</t>
  </si>
  <si>
    <t>JOHAN BARRERA</t>
  </si>
  <si>
    <t>N° 11530</t>
  </si>
  <si>
    <t>CUBIERTA MESA 90° 2 LADOS</t>
  </si>
  <si>
    <t>NEGRO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</si>
</sst>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 A LA MEDIDA Y ENCHAPADAS POR LOS LADOS ANGOSTOS CON REGRUESO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5" zoomScale="93" zoomScaleNormal="93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172</v>
      </c>
      <c r="D10" s="239"/>
      <c r="E10" s="239"/>
      <c r="F10" s="240" t="s">
        <v>167</v>
      </c>
      <c r="G10" s="271">
        <v>45856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171</v>
      </c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62584.021739130432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5">
      <c r="B21" s="329">
        <v>1</v>
      </c>
      <c r="C21" s="330" t="s">
        <v>174</v>
      </c>
      <c r="D21" s="331">
        <v>3.6</v>
      </c>
      <c r="E21" s="331">
        <v>0.5</v>
      </c>
      <c r="F21" s="330" t="s">
        <v>175</v>
      </c>
      <c r="G21" s="332">
        <f>Q21</f>
        <v>115154.6</v>
      </c>
      <c r="H21" s="333">
        <f>G21*B21</f>
        <v>115154.6</v>
      </c>
      <c r="I21" s="299"/>
      <c r="J21" s="260"/>
      <c r="K21" s="44"/>
      <c r="L21" s="44">
        <f>B21</f>
        <v>1</v>
      </c>
      <c r="M21" s="36">
        <f>D21+M$19</f>
        <v>3.68</v>
      </c>
      <c r="N21" s="36">
        <f>E21+$N$19</f>
        <v>0.5</v>
      </c>
      <c r="O21" s="256">
        <f t="shared" ref="O21" si="1">M21*N21</f>
        <v>1.84</v>
      </c>
      <c r="P21" s="254">
        <f t="shared" ref="P21" si="2">O21*L21</f>
        <v>1.84</v>
      </c>
      <c r="Q21" s="247">
        <f t="shared" ref="Q21" si="3">Q$20*O21</f>
        <v>115154.6</v>
      </c>
      <c r="R21" s="298">
        <f t="shared" ref="R21" si="4">Q21+R$20</f>
        <v>118154.6</v>
      </c>
      <c r="S21" s="286">
        <f>M21*L21</f>
        <v>3.68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115154.6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21879.374</v>
      </c>
      <c r="I24" s="301"/>
      <c r="J24" s="260"/>
      <c r="K24" s="319"/>
      <c r="L24" s="44"/>
      <c r="M24" s="36">
        <f>SUM(M21:M21)</f>
        <v>3.68</v>
      </c>
      <c r="N24" s="12"/>
      <c r="O24" s="12"/>
      <c r="P24" s="248">
        <f>SUM(P21:P22)</f>
        <v>1.84</v>
      </c>
      <c r="Q24" s="14"/>
      <c r="R24" s="12"/>
      <c r="S24" s="235">
        <f>SUM(S21:S23)</f>
        <v>3.68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137033.97400000002</v>
      </c>
      <c r="I25" s="301"/>
      <c r="J25" s="260"/>
      <c r="K25" s="319"/>
      <c r="L25" s="44"/>
      <c r="M25" s="36"/>
      <c r="N25" s="12"/>
      <c r="O25" s="12"/>
      <c r="P25" s="248">
        <f>P24</f>
        <v>1.84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0.36800000000000005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2.2080000000000002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2.2080000000000002</v>
      </c>
      <c r="N29" s="12">
        <v>3500</v>
      </c>
      <c r="O29" s="12">
        <f t="shared" ref="O29:O34" si="5">M29*N29</f>
        <v>7728.0000000000009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0.65</v>
      </c>
      <c r="N30" s="12">
        <v>23500</v>
      </c>
      <c r="O30" s="12">
        <f t="shared" si="5"/>
        <v>15275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1</v>
      </c>
      <c r="N32" s="245">
        <v>23520</v>
      </c>
      <c r="O32" s="12">
        <f t="shared" si="5"/>
        <v>23520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3.88</v>
      </c>
      <c r="N34" s="12">
        <v>1500</v>
      </c>
      <c r="O34" s="12">
        <f t="shared" si="5"/>
        <v>5820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52343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O35*2.2</f>
        <v>115154.6</v>
      </c>
      <c r="P36" s="14" t="s">
        <v>138</v>
      </c>
      <c r="Q36" s="14"/>
      <c r="R36" s="37">
        <f>P27/R35</f>
        <v>0.59534081104400349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62584.021739130432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2.2000000000000002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45856</v>
      </c>
    </row>
    <row r="6" spans="1:31" ht="16.2" thickBot="1" x14ac:dyDescent="0.35">
      <c r="B6" s="137" t="s">
        <v>2</v>
      </c>
      <c r="C6" s="136" t="str">
        <f>'2229'!C10</f>
        <v>JOHAN BARRERA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-7730.5905932367168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115154.6</v>
      </c>
      <c r="E11" s="129">
        <f>D11*0.19</f>
        <v>21879.374</v>
      </c>
      <c r="F11" s="128">
        <f>E11+D11</f>
        <v>137033.97400000002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98259.409406763283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42981.910275362316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80259.409406763283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72172.68972463769</v>
      </c>
      <c r="E13" s="218">
        <f>(D11/D12)-1</f>
        <v>1.6791410447387172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71259.409406763283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32259.409406763283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81837.557164289843</v>
      </c>
      <c r="C15" s="210" t="s">
        <v>121</v>
      </c>
      <c r="D15" s="211">
        <v>0.6</v>
      </c>
      <c r="E15" s="212">
        <f>(100%+D15)*D12</f>
        <v>68771.056440579705</v>
      </c>
      <c r="F15" s="213">
        <f>E15-D12</f>
        <v>25789.146165217389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32259.409406763283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72259.409406763283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15275</v>
      </c>
      <c r="E19" s="120">
        <f>D19*0.19</f>
        <v>2902.25</v>
      </c>
      <c r="F19" s="117">
        <f>SUM(D19:E19)</f>
        <v>18177.25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7728.0000000000009</v>
      </c>
      <c r="E20" s="118">
        <f>D20*0.19</f>
        <v>1468.3200000000002</v>
      </c>
      <c r="F20" s="117">
        <f>SUM(D20:E20)</f>
        <v>9196.3200000000015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23003</v>
      </c>
      <c r="E21" s="113">
        <f>SUM(E18:E20)</f>
        <v>4370.57</v>
      </c>
      <c r="F21" s="112">
        <f>SUM(F18:F20)</f>
        <v>27373.57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17508.804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115154.6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23003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72172.68972463769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72172.68972463769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2025-07-18T13:32:36Z</cp:lastPrinted>
  <dcterms:created xsi:type="dcterms:W3CDTF">2013-03-18T13:35:42Z</dcterms:created>
  <dcterms:modified xsi:type="dcterms:W3CDTF">2025-07-31T16:10:41Z</dcterms:modified>
</cp:coreProperties>
</file>