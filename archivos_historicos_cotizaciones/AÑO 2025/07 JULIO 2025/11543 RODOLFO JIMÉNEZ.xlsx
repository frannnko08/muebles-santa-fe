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35A43303-49A1-46C3-AA51-A266E795E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/>
  <c r="J37" i="1" s="1"/>
  <c r="L21" i="1"/>
  <c r="M21" i="1"/>
  <c r="N21" i="1"/>
  <c r="O21" i="1" l="1"/>
  <c r="P21" i="1" s="1"/>
  <c r="M24" i="1" l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Q21" i="1" s="1"/>
  <c r="D21" i="3"/>
  <c r="M43" i="3" s="1"/>
  <c r="D12" i="3" s="1"/>
  <c r="E15" i="3" s="1"/>
  <c r="A15" i="3" s="1"/>
  <c r="F20" i="3"/>
  <c r="F21" i="3" s="1"/>
  <c r="R21" i="1" l="1"/>
  <c r="G21" i="1"/>
  <c r="H21" i="1" s="1"/>
  <c r="O38" i="1"/>
  <c r="F15" i="3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<sst xmlns="http://schemas.openxmlformats.org/spreadsheetml/2006/main" count="230" uniqueCount="175">
  <si>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</si>
  <si>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</si>
  <si>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</si>
  <si>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</si>
  <si>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</si>
  <si>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</si>
  <si>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</si>
  <si>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</si>
  <si>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</si>
  <si>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</si>
  <si>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</si>
  <si>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</si>
  <si>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</si>
  <si>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</si>
  <si>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</si>
  <si>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</si>
  <si>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</si>
  <si>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</si>
  <si>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</si>
  <si>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</si>
  <si>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</si>
  <si>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</si>
  <si>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</si>
  <si>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</si>
  <si>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</si>
  <si>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</si>
  <si>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</si>
  <si>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</si>
  <si>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</si>
  <si>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</si>
  <si>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</si>
  <si>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</si>
  <si>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</si>
  <si>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</si>
  <si>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</si>
  <si>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</si>
  <si>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</si>
  <si>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</si>
  <si>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</si>
  <si>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</si>
  <si>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</si>
  <si>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</si>
  <si>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</si>
  <si>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</si>
  <si>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</si>
  <si>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</si>
  <si>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</si>
  <si>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</si>
  <si>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</si>
  <si>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</si>
  <si>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</si>
  <si>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</si>
  <si>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</si>
  <si>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</si>
  <si>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</si>
  <si>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</si>
  <si>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</si>
  <si>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</si>
  <si>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</si>
  <si>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</si>
  <si>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</si>
  <si>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</si>
  <si>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</si>
  <si>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</si>
  <si>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</si>
  <si>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</si>
  <si>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</si>
  <si>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</si>
  <si>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</si>
  <si>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</si>
  <si>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</si>
  <si>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</si>
  <si>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</si>
  <si>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</si>
  <si>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</si>
  <si>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</si>
  <si>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</si>
  <si>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</si>
  <si>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</si>
  <si>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</si>
  <si>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</si>
  <si>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</si>
  <si>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</si>
  <si>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</si>
  <si>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</si>
  <si>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</si>
  <si>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</si>
  <si>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</si>
  <si>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</si>
  <si>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</si>
  <si>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</si>
  <si>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</si>
  <si>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</si>
  <si>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</si>
  <si>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</si>
  <si>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</si>
  <si>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</si>
  <si>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</si>
  <si>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</si>
  <si>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</si>
  <si>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</si>
  <si>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</si>
  <si>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</si>
  <si>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</si>
  <si>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</si>
  <si>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</si>
  <si>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</si>
  <si>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</si>
  <si>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</si>
  <si>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</si>
  <si>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</si>
  <si>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</si>
  <si>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</si>
  <si>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</si>
  <si>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</si>
  <si>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</si>
  <si>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</si>
  <si>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</si>
  <si>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</si>
  <si>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</si>
  <si>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</si>
  <si>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</si>
  <si>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</si>
  <si>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</si>
  <si>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</si>
  <si>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</si>
  <si>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</si>
  <si>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</si>
  <si>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</si>
  <si>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</si>
  <si>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</si>
  <si>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</si>
  <si>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</si>
  <si>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</si>
  <si>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</si>
  <si>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</si>
  <si>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</si>
  <si>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</si>
  <si>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</si>
  <si>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</si>
  <si>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</si>
  <si>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</si>
  <si>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</si>
  <si>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</si>
  <si>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</si>
  <si>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</si>
  <si>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</si>
  <si>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</si>
  <si>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</si>
  <si>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</si>
  <si>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</si>
  <si>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</si>
  <si>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</si>
  <si>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</si>
  <si>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</si>
  <si>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</si>
  <si>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</si>
  <si>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</si>
  <si>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</si>
  <si>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</si>
  <si>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</si>
  <si>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</si>
  <si>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</si>
  <si>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</si>
  <si>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</si>
  <si>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</si>
  <si>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</si>
  <si>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</si>
  <si>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</si>
  <si>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</si>
  <si>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</si>
  <si>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RODOLFO JIMÉNEZ</t>
  </si>
  <si>
    <t>N° 11543</t>
  </si>
  <si>
    <t>CUB CON RESPALDO FRENTE 180°</t>
  </si>
  <si>
    <t>ALMENDRA 0920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</si>
</sst>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5" zoomScale="93" zoomScaleNormal="93" workbookViewId="0">
      <selection activeCell="J33" sqref="J3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171</v>
      </c>
      <c r="D10" s="239"/>
      <c r="E10" s="239"/>
      <c r="F10" s="240" t="s">
        <v>167</v>
      </c>
      <c r="G10" s="271">
        <v>45867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0" t="s">
        <v>162</v>
      </c>
      <c r="G17" s="330"/>
      <c r="H17" s="331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2" t="s">
        <v>95</v>
      </c>
      <c r="C19" s="333"/>
      <c r="D19" s="333"/>
      <c r="E19" s="333"/>
      <c r="F19" s="333"/>
      <c r="G19" s="333"/>
      <c r="H19" s="334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81238.091168091167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42">
        <v>1</v>
      </c>
      <c r="C21" s="343" t="s">
        <v>173</v>
      </c>
      <c r="D21" s="344">
        <v>1</v>
      </c>
      <c r="E21" s="344">
        <v>0.39</v>
      </c>
      <c r="F21" s="343" t="s">
        <v>174</v>
      </c>
      <c r="G21" s="345">
        <f>Q21</f>
        <v>34217.484000000004</v>
      </c>
      <c r="H21" s="346">
        <f>G21*B21</f>
        <v>34217.484000000004</v>
      </c>
      <c r="I21" s="299"/>
      <c r="J21" s="260"/>
      <c r="K21" s="44"/>
      <c r="L21" s="44">
        <f>B21</f>
        <v>1</v>
      </c>
      <c r="M21" s="36">
        <f>D21+M$19</f>
        <v>1.08</v>
      </c>
      <c r="N21" s="36">
        <f>E21+$N$19</f>
        <v>0.39</v>
      </c>
      <c r="O21" s="256">
        <f t="shared" ref="O21" si="1">M21*N21</f>
        <v>0.42120000000000002</v>
      </c>
      <c r="P21" s="254">
        <f t="shared" ref="P21" si="2">O21*L21</f>
        <v>0.42120000000000002</v>
      </c>
      <c r="Q21" s="247">
        <f t="shared" ref="Q21" si="3">Q$20*O21</f>
        <v>34217.484000000004</v>
      </c>
      <c r="R21" s="298">
        <f t="shared" ref="R21" si="4">Q21+R$20</f>
        <v>37217.484000000004</v>
      </c>
      <c r="S21" s="286"/>
      <c r="T21" s="43"/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34217.484000000004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0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6501.3219600000011</v>
      </c>
      <c r="I24" s="301"/>
      <c r="J24" s="260"/>
      <c r="K24" s="319"/>
      <c r="L24" s="44"/>
      <c r="M24" s="36" t="e">
        <f>SUM(#REF!)</f>
        <v>#REF!</v>
      </c>
      <c r="N24" s="12"/>
      <c r="O24" s="12"/>
      <c r="P24" s="248">
        <f>SUM(P21:P22)</f>
        <v>0.42120000000000002</v>
      </c>
      <c r="Q24" s="14"/>
      <c r="R24" s="12"/>
      <c r="S24" s="235">
        <f>SUM(S21:S23)</f>
        <v>0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40718.805960000005</v>
      </c>
      <c r="I25" s="301"/>
      <c r="J25" s="260"/>
      <c r="K25" s="319"/>
      <c r="L25" s="44"/>
      <c r="M25" s="36"/>
      <c r="N25" s="12"/>
      <c r="O25" s="12"/>
      <c r="P25" s="248">
        <f>P24</f>
        <v>0.42120000000000002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8.4240000000000009E-2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29"/>
      <c r="K27" s="44"/>
      <c r="L27" s="44"/>
      <c r="M27" s="14"/>
      <c r="N27" s="12"/>
      <c r="O27" s="12"/>
      <c r="P27" s="43">
        <f>P25+P26</f>
        <v>0.50544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0.50544</v>
      </c>
      <c r="N29" s="12">
        <v>3500</v>
      </c>
      <c r="O29" s="12">
        <f t="shared" ref="O29:O34" si="5">M29*N29</f>
        <v>1769.04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0.15</v>
      </c>
      <c r="N30" s="12">
        <v>23500</v>
      </c>
      <c r="O30" s="12">
        <f t="shared" si="5"/>
        <v>3525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1</v>
      </c>
      <c r="N32" s="245">
        <v>10000</v>
      </c>
      <c r="O32" s="12">
        <f t="shared" si="5"/>
        <v>10000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>
        <f>40000*40</f>
        <v>1600000</v>
      </c>
      <c r="K34" s="255"/>
      <c r="L34" s="245"/>
      <c r="M34" s="261">
        <v>1</v>
      </c>
      <c r="N34" s="12">
        <v>1000</v>
      </c>
      <c r="O34" s="12">
        <f t="shared" si="5"/>
        <v>1000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J35" s="226">
        <f>60000*8</f>
        <v>480000</v>
      </c>
      <c r="K35" s="255"/>
      <c r="L35" s="245"/>
      <c r="M35" s="14"/>
      <c r="N35" s="12"/>
      <c r="O35" s="12">
        <f>SUM(O29:O34)</f>
        <v>16294.04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J36" s="282">
        <f>J34-J35</f>
        <v>1120000</v>
      </c>
      <c r="L36" s="245"/>
      <c r="M36" s="249" t="s">
        <v>33</v>
      </c>
      <c r="N36" s="12"/>
      <c r="O36" s="250">
        <f>O35*2.1</f>
        <v>34217.484000000004</v>
      </c>
      <c r="P36" s="14" t="s">
        <v>138</v>
      </c>
      <c r="Q36" s="14"/>
      <c r="R36" s="37">
        <f>P27/R35</f>
        <v>0.13628127696289905</v>
      </c>
      <c r="S36"/>
      <c r="T36" s="252"/>
    </row>
    <row r="37" spans="2:24" s="226" customFormat="1" ht="17.399999999999999" x14ac:dyDescent="0.35">
      <c r="G37"/>
      <c r="H37" s="255"/>
      <c r="I37" s="255"/>
      <c r="J37" s="255">
        <f>J36/2</f>
        <v>560000</v>
      </c>
      <c r="L37" s="245"/>
      <c r="M37" s="14"/>
      <c r="N37" s="12"/>
      <c r="O37" s="12">
        <f>O36/P25</f>
        <v>81238.091168091167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45867</v>
      </c>
    </row>
    <row r="6" spans="1:31" ht="16.2" thickBot="1" x14ac:dyDescent="0.35">
      <c r="B6" s="137" t="s">
        <v>2</v>
      </c>
      <c r="C6" s="136" t="str">
        <f>'2229'!C10</f>
        <v>RODOLFO JIMÉNEZ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6" t="s">
        <v>98</v>
      </c>
      <c r="I7" s="337"/>
      <c r="J7" s="337"/>
      <c r="K7" s="338"/>
      <c r="N7" s="72"/>
      <c r="O7" s="335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11543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5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1036.5394067632842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34217.484000000004</v>
      </c>
      <c r="E11" s="129">
        <f>D11*0.19</f>
        <v>6501.3219600000011</v>
      </c>
      <c r="F11" s="128">
        <f>E11+D11</f>
        <v>40718.805960000005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107026.53940676329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25272.950275362316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89026.539406763288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8944.5337246376876</v>
      </c>
      <c r="E13" s="218">
        <f>(D11/D12)-1</f>
        <v>0.35391727626502667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80026.539406763288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41026.539406763288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48119.697324289853</v>
      </c>
      <c r="C15" s="210" t="s">
        <v>121</v>
      </c>
      <c r="D15" s="211">
        <v>0.6</v>
      </c>
      <c r="E15" s="212">
        <f>(100%+D15)*D12</f>
        <v>40436.720440579709</v>
      </c>
      <c r="F15" s="213">
        <f>E15-D12</f>
        <v>15163.770165217393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41026.539406763288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81026.539406763288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3525</v>
      </c>
      <c r="E19" s="120">
        <f>D19*0.19</f>
        <v>669.75</v>
      </c>
      <c r="F19" s="117">
        <f>SUM(D19:E19)</f>
        <v>4194.75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1769.04</v>
      </c>
      <c r="E20" s="118">
        <f>D20*0.19</f>
        <v>336.11759999999998</v>
      </c>
      <c r="F20" s="117">
        <f>SUM(D20:E20)</f>
        <v>2105.1576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5294.04</v>
      </c>
      <c r="E21" s="113">
        <f>SUM(E18:E20)</f>
        <v>1005.8676</v>
      </c>
      <c r="F21" s="112">
        <f>SUM(F18:F20)</f>
        <v>6299.9076000000005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5495.4543600000015</v>
      </c>
    </row>
    <row r="41" spans="2:16" ht="15" thickBot="1" x14ac:dyDescent="0.35">
      <c r="H41" s="339" t="s">
        <v>60</v>
      </c>
      <c r="I41" s="340"/>
      <c r="J41" s="340"/>
      <c r="K41" s="340"/>
      <c r="L41" s="340"/>
      <c r="M41" s="341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34217.484000000004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5294.04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8944.5337246376876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8944.5337246376876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2025-07-29T21:51:02Z</cp:lastPrinted>
  <dcterms:created xsi:type="dcterms:W3CDTF">2013-03-18T13:35:42Z</dcterms:created>
  <dcterms:modified xsi:type="dcterms:W3CDTF">2025-07-30T13:46:51Z</dcterms:modified>
</cp:coreProperties>
</file>