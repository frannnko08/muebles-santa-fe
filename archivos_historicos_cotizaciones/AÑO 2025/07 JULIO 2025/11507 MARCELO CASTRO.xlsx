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A073087E-7E3B-4176-AF62-25116DDC8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5" i="1"/>
  <c r="S22" i="1"/>
  <c r="S23" i="1"/>
  <c r="S24" i="1"/>
  <c r="H24" i="1"/>
  <c r="H23" i="1"/>
  <c r="H22" i="1"/>
  <c r="N24" i="1"/>
  <c r="M24" i="1"/>
  <c r="L24" i="1"/>
  <c r="N23" i="1"/>
  <c r="M23" i="1"/>
  <c r="L23" i="1"/>
  <c r="N22" i="1"/>
  <c r="M22" i="1"/>
  <c r="L22" i="1"/>
  <c r="J38" i="1"/>
  <c r="L21" i="1"/>
  <c r="N21" i="1"/>
  <c r="O23" i="1" l="1"/>
  <c r="O22" i="1"/>
  <c r="P22" i="1" s="1"/>
  <c r="O24" i="1"/>
  <c r="P24" i="1"/>
  <c r="P23" i="1"/>
  <c r="M21" i="1"/>
  <c r="M28" i="1" s="1"/>
  <c r="S21" i="1" l="1"/>
  <c r="S28" i="1" s="1"/>
  <c r="T21" i="1"/>
  <c r="T27" i="1" s="1"/>
  <c r="O21" i="1"/>
  <c r="P21" i="1" s="1"/>
  <c r="P28" i="1" s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4" i="1"/>
  <c r="R24" i="1" s="1"/>
  <c r="Q22" i="1"/>
  <c r="R22" i="1" s="1"/>
  <c r="O42" i="1"/>
  <c r="E15" i="3"/>
  <c r="Q21" i="1" l="1"/>
  <c r="F15" i="3"/>
  <c r="H21" i="1" l="1"/>
  <c r="H27" i="1" s="1"/>
  <c r="H28" i="1" s="1"/>
  <c r="D11" i="3" l="1"/>
  <c r="X9" i="3" s="1"/>
  <c r="X15" i="3" s="1"/>
  <c r="H2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<sst xmlns="http://schemas.openxmlformats.org/spreadsheetml/2006/main" count="239" uniqueCount="178">
  <si>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</si>
  <si>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</si>
  <si>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</si>
  <si>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</si>
  <si>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</si>
  <si>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</si>
  <si>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</si>
  <si>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</si>
  <si>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</si>
  <si>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</si>
  <si>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</si>
  <si>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</si>
  <si>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</si>
  <si>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</si>
  <si>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</si>
  <si>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</si>
  <si>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</si>
  <si>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</si>
  <si>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</si>
  <si>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</si>
  <si>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</si>
  <si>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</si>
  <si>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</si>
  <si>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</si>
  <si>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</si>
  <si>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</si>
  <si>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</si>
  <si>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</si>
  <si>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</si>
  <si>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</si>
  <si>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</si>
  <si>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</si>
  <si>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</si>
  <si>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</si>
  <si>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</si>
  <si>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</si>
  <si>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</si>
  <si>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</si>
  <si>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</si>
  <si>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</si>
  <si>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</si>
  <si>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</si>
  <si>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</si>
  <si>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</si>
  <si>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</si>
  <si>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</si>
  <si>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</si>
  <si>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</si>
  <si>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</si>
  <si>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</si>
  <si>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</si>
  <si>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</si>
  <si>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</si>
  <si>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</si>
  <si>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</si>
  <si>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</si>
  <si>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</si>
  <si>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</si>
  <si>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</si>
  <si>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</si>
  <si>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</si>
  <si>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</si>
  <si>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</si>
  <si>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</si>
  <si>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</si>
  <si>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</si>
  <si>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</si>
  <si>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</si>
  <si>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</si>
  <si>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</si>
  <si>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</si>
  <si>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</si>
  <si>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</si>
  <si>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</si>
  <si>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</si>
  <si>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</si>
  <si>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</si>
  <si>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</si>
  <si>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</si>
  <si>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</si>
  <si>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</si>
  <si>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</si>
  <si>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</si>
  <si>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</si>
  <si>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</si>
  <si>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</si>
  <si>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</si>
  <si>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</si>
  <si>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</si>
  <si>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</si>
  <si>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</si>
  <si>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</si>
  <si>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</si>
  <si>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</si>
  <si>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</si>
  <si>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</si>
  <si>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</si>
  <si>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</si>
  <si>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</si>
  <si>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</si>
  <si>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</si>
  <si>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</si>
  <si>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</si>
  <si>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</si>
  <si>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</si>
  <si>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</si>
  <si>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</si>
  <si>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</si>
  <si>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</si>
  <si>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</si>
  <si>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</si>
  <si>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</si>
  <si>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</si>
  <si>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</si>
  <si>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</si>
  <si>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</si>
  <si>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</si>
  <si>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</si>
  <si>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</si>
  <si>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</si>
  <si>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</si>
  <si>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</si>
  <si>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</si>
  <si>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</si>
  <si>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</si>
  <si>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</si>
  <si>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</si>
  <si>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</si>
  <si>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</si>
  <si>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</si>
  <si>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</si>
  <si>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</si>
  <si>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</si>
  <si>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</si>
  <si>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</si>
  <si>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</si>
  <si>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</si>
  <si>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</si>
  <si>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</si>
  <si>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</si>
  <si>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</si>
  <si>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</si>
  <si>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</si>
  <si>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</si>
  <si>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</si>
  <si>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</si>
  <si>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</si>
  <si>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</si>
  <si>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</si>
  <si>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</si>
  <si>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</si>
  <si>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</si>
  <si>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</si>
  <si>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</si>
  <si>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</si>
  <si>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</si>
  <si>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</si>
  <si>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</si>
  <si>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</si>
  <si>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</si>
  <si>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</si>
  <si>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</si>
  <si>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</si>
  <si>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</si>
  <si>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</si>
  <si>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</si>
  <si>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</si>
  <si>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</si>
  <si>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</si>
  <si>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</si>
  <si>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CUB C/R FRENTE ESPAÑOL 180°</t>
  </si>
  <si>
    <t>SERVICIO INSTALACION INCLUYE TRASLADO Y CORTE 45°</t>
  </si>
  <si>
    <t>MARCELO CASTRO</t>
  </si>
  <si>
    <t>569 7137 9100</t>
  </si>
  <si>
    <t>PUENTE ALTO</t>
  </si>
  <si>
    <t>8 DIAS HABILES</t>
  </si>
  <si>
    <t>N° 11507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</si>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</sst>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NO INCLUYEN DESFONDADOS, EN CASO QUE LOS HAYA SE DEBE INDICAR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2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4.664062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172</v>
      </c>
      <c r="D10" s="243"/>
      <c r="E10" s="243"/>
      <c r="F10" s="244" t="s">
        <v>167</v>
      </c>
      <c r="G10" s="275">
        <v>45863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175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169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173</v>
      </c>
      <c r="D15" s="328"/>
      <c r="F15" t="s">
        <v>168</v>
      </c>
      <c r="G15" s="329" t="s">
        <v>169</v>
      </c>
      <c r="H15" s="285"/>
    </row>
    <row r="16" spans="2:24" ht="16.8" x14ac:dyDescent="0.4">
      <c r="B16" s="303" t="s">
        <v>3</v>
      </c>
      <c r="C16" s="330" t="s">
        <v>174</v>
      </c>
      <c r="D16" s="322"/>
      <c r="E16" s="322"/>
      <c r="F16" s="331" t="s">
        <v>128</v>
      </c>
      <c r="G16" s="332" t="s">
        <v>160</v>
      </c>
      <c r="H16" s="247"/>
    </row>
    <row r="17" spans="2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O41</f>
        <v>77447.462708867679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5">
        <v>2</v>
      </c>
      <c r="C21" s="315" t="s">
        <v>170</v>
      </c>
      <c r="D21" s="316">
        <v>2.5550000000000002</v>
      </c>
      <c r="E21" s="316">
        <v>0.65</v>
      </c>
      <c r="F21" s="315" t="s">
        <v>177</v>
      </c>
      <c r="G21" s="317">
        <v>143648</v>
      </c>
      <c r="H21" s="317">
        <f>G21*B21</f>
        <v>287296</v>
      </c>
      <c r="I21" s="305"/>
      <c r="J21" s="264"/>
      <c r="K21" s="47"/>
      <c r="L21" s="47">
        <f>B21</f>
        <v>2</v>
      </c>
      <c r="M21" s="39">
        <f>D21+M$19</f>
        <v>2.6350000000000002</v>
      </c>
      <c r="N21" s="39">
        <f>E21+$N$19</f>
        <v>0.65</v>
      </c>
      <c r="O21" s="260">
        <f t="shared" ref="O21" si="1">M21*N21</f>
        <v>1.7127500000000002</v>
      </c>
      <c r="P21" s="258">
        <f t="shared" ref="P21" si="2">O21*L21</f>
        <v>3.4255000000000004</v>
      </c>
      <c r="Q21" s="251">
        <f t="shared" ref="Q21" si="3">Q$20*O21</f>
        <v>132648.14175461314</v>
      </c>
      <c r="R21" s="304">
        <v>139</v>
      </c>
      <c r="S21" s="292">
        <f>M21*L21</f>
        <v>5.2700000000000005</v>
      </c>
      <c r="T21" s="46">
        <f>N21*2*L21*2</f>
        <v>5.2</v>
      </c>
      <c r="U21" s="9"/>
      <c r="X21" s="4"/>
    </row>
    <row r="22" spans="2:25" ht="17.399999999999999" x14ac:dyDescent="0.3">
      <c r="B22" s="315">
        <v>2</v>
      </c>
      <c r="C22" s="315" t="s">
        <v>170</v>
      </c>
      <c r="D22" s="316">
        <v>2.585</v>
      </c>
      <c r="E22" s="316">
        <v>0.65</v>
      </c>
      <c r="F22" s="315" t="s">
        <v>177</v>
      </c>
      <c r="G22" s="317">
        <v>143158</v>
      </c>
      <c r="H22" s="317">
        <f t="shared" ref="H22:H25" si="4">G22*B22</f>
        <v>286316</v>
      </c>
      <c r="I22" s="305"/>
      <c r="J22" s="264"/>
      <c r="K22" s="47"/>
      <c r="L22" s="47">
        <f t="shared" ref="L22:L25" si="5">B22</f>
        <v>2</v>
      </c>
      <c r="M22" s="39">
        <f t="shared" ref="M22:M24" si="6">D22+M$19</f>
        <v>2.665</v>
      </c>
      <c r="N22" s="39">
        <f t="shared" ref="N22:N24" si="7">E22+$N$19</f>
        <v>0.65</v>
      </c>
      <c r="O22" s="260">
        <f t="shared" ref="O22:O24" si="8">M22*N22</f>
        <v>1.7322500000000001</v>
      </c>
      <c r="P22" s="258">
        <f t="shared" ref="P22:P24" si="9">O22*L22</f>
        <v>3.4645000000000001</v>
      </c>
      <c r="Q22" s="251">
        <f t="shared" ref="Q22:Q24" si="10">Q$20*O22</f>
        <v>134158.36727743605</v>
      </c>
      <c r="R22" s="304">
        <f t="shared" ref="R22:R24" si="11">Q22+R$20</f>
        <v>137158.36727743605</v>
      </c>
      <c r="S22" s="292">
        <f t="shared" ref="S22:S24" si="12">M22*L22</f>
        <v>5.33</v>
      </c>
      <c r="T22" s="46"/>
      <c r="U22" s="9"/>
      <c r="X22" s="4"/>
    </row>
    <row r="23" spans="2:25" ht="17.399999999999999" x14ac:dyDescent="0.3">
      <c r="B23" s="315">
        <v>1</v>
      </c>
      <c r="C23" s="315" t="s">
        <v>170</v>
      </c>
      <c r="D23" s="316">
        <v>1.615</v>
      </c>
      <c r="E23" s="316">
        <v>0.65</v>
      </c>
      <c r="F23" s="315" t="s">
        <v>177</v>
      </c>
      <c r="G23" s="317">
        <v>93328</v>
      </c>
      <c r="H23" s="317">
        <f t="shared" si="4"/>
        <v>93328</v>
      </c>
      <c r="I23" s="305"/>
      <c r="J23" s="264"/>
      <c r="K23" s="47"/>
      <c r="L23" s="47">
        <f t="shared" si="5"/>
        <v>1</v>
      </c>
      <c r="M23" s="39">
        <f t="shared" si="6"/>
        <v>1.6950000000000001</v>
      </c>
      <c r="N23" s="39">
        <f t="shared" si="7"/>
        <v>0.65</v>
      </c>
      <c r="O23" s="260">
        <f t="shared" si="8"/>
        <v>1.10175</v>
      </c>
      <c r="P23" s="258">
        <f t="shared" si="9"/>
        <v>1.10175</v>
      </c>
      <c r="Q23" s="251">
        <f t="shared" si="10"/>
        <v>85327.742039494959</v>
      </c>
      <c r="R23" s="304">
        <f t="shared" si="11"/>
        <v>88327.742039494959</v>
      </c>
      <c r="S23" s="292">
        <f t="shared" si="12"/>
        <v>1.6950000000000001</v>
      </c>
      <c r="T23" s="46"/>
      <c r="U23" s="9"/>
      <c r="X23" s="4"/>
    </row>
    <row r="24" spans="2:25" ht="17.399999999999999" x14ac:dyDescent="0.3">
      <c r="B24" s="315">
        <v>1</v>
      </c>
      <c r="C24" s="315" t="s">
        <v>170</v>
      </c>
      <c r="D24" s="316">
        <v>3.07</v>
      </c>
      <c r="E24" s="316">
        <v>0.65</v>
      </c>
      <c r="F24" s="315" t="s">
        <v>177</v>
      </c>
      <c r="G24" s="317">
        <v>166574</v>
      </c>
      <c r="H24" s="317">
        <f t="shared" si="4"/>
        <v>166574</v>
      </c>
      <c r="I24" s="305"/>
      <c r="J24" s="264"/>
      <c r="K24" s="47"/>
      <c r="L24" s="47">
        <f t="shared" si="5"/>
        <v>1</v>
      </c>
      <c r="M24" s="39">
        <f t="shared" si="6"/>
        <v>3.15</v>
      </c>
      <c r="N24" s="39">
        <f t="shared" si="7"/>
        <v>0.65</v>
      </c>
      <c r="O24" s="260">
        <f t="shared" si="8"/>
        <v>2.0474999999999999</v>
      </c>
      <c r="P24" s="258">
        <f t="shared" si="9"/>
        <v>2.0474999999999999</v>
      </c>
      <c r="Q24" s="251">
        <f t="shared" si="10"/>
        <v>158573.67989640657</v>
      </c>
      <c r="R24" s="304">
        <f t="shared" si="11"/>
        <v>161573.67989640657</v>
      </c>
      <c r="S24" s="292">
        <f t="shared" si="12"/>
        <v>3.15</v>
      </c>
      <c r="T24" s="46"/>
      <c r="U24" s="9"/>
      <c r="X24" s="4"/>
    </row>
    <row r="25" spans="2:25" ht="17.399999999999999" x14ac:dyDescent="0.3">
      <c r="B25" s="315">
        <v>1</v>
      </c>
      <c r="C25" s="315" t="s">
        <v>171</v>
      </c>
      <c r="D25" s="316"/>
      <c r="E25" s="316"/>
      <c r="F25" s="315"/>
      <c r="G25" s="317">
        <v>285000</v>
      </c>
      <c r="H25" s="317">
        <f t="shared" si="4"/>
        <v>285000</v>
      </c>
      <c r="I25" s="305"/>
      <c r="J25" s="264"/>
      <c r="K25" s="47"/>
      <c r="L25" s="47">
        <f t="shared" si="5"/>
        <v>1</v>
      </c>
      <c r="M25" s="39"/>
      <c r="N25" s="39"/>
      <c r="O25" s="260"/>
      <c r="P25" s="258"/>
      <c r="Q25" s="251"/>
      <c r="R25" s="304"/>
      <c r="S25" s="292"/>
      <c r="T25" s="46"/>
      <c r="U25" s="9"/>
      <c r="X25" s="4"/>
    </row>
    <row r="26" spans="2:25" ht="18" thickBot="1" x14ac:dyDescent="0.35">
      <c r="B26" s="282"/>
      <c r="C26" s="282"/>
      <c r="D26" s="283"/>
      <c r="E26" s="283"/>
      <c r="F26" s="282"/>
      <c r="G26" s="264"/>
      <c r="H26" s="306"/>
      <c r="I26" s="308"/>
      <c r="J26" s="233"/>
      <c r="K26" s="47"/>
      <c r="L26" s="47"/>
      <c r="M26" s="39"/>
      <c r="N26" s="39"/>
      <c r="O26" s="260"/>
      <c r="P26" s="258"/>
      <c r="Q26" s="251"/>
      <c r="R26" s="257"/>
      <c r="S26" s="292"/>
      <c r="T26" s="14"/>
      <c r="U26" s="9"/>
      <c r="X26" s="4"/>
    </row>
    <row r="27" spans="2:25" ht="17.399999999999999" x14ac:dyDescent="0.3">
      <c r="B27" s="282"/>
      <c r="C27" s="282"/>
      <c r="D27" s="283"/>
      <c r="E27" s="283"/>
      <c r="F27" s="282"/>
      <c r="G27" s="309" t="s">
        <v>28</v>
      </c>
      <c r="H27" s="310">
        <f>SUM(H21:H26)</f>
        <v>1118514</v>
      </c>
      <c r="I27" s="307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2"/>
      <c r="T27" s="46">
        <f>SUM(T21:T26)</f>
        <v>5.2</v>
      </c>
      <c r="U27" s="9"/>
      <c r="X27" s="4"/>
    </row>
    <row r="28" spans="2:25" ht="17.399999999999999" x14ac:dyDescent="0.3">
      <c r="B28" s="276"/>
      <c r="C28" s="279"/>
      <c r="D28" s="280"/>
      <c r="E28" s="280"/>
      <c r="F28" s="281"/>
      <c r="G28" s="291" t="s">
        <v>51</v>
      </c>
      <c r="H28" s="289">
        <f>H27*19%</f>
        <v>212517.66</v>
      </c>
      <c r="I28" s="307"/>
      <c r="J28" s="264"/>
      <c r="K28" s="47"/>
      <c r="L28" s="47"/>
      <c r="M28" s="39">
        <f>SUM(M21:M21)</f>
        <v>2.6350000000000002</v>
      </c>
      <c r="N28" s="12"/>
      <c r="O28" s="12"/>
      <c r="P28" s="252">
        <f>SUM(P21:P26)</f>
        <v>10.039250000000001</v>
      </c>
      <c r="Q28" s="14"/>
      <c r="R28" s="12"/>
      <c r="S28" s="239">
        <f>SUM(S21:S27)</f>
        <v>15.445000000000002</v>
      </c>
      <c r="T28" s="46"/>
      <c r="U28" s="9"/>
      <c r="X28" s="4"/>
    </row>
    <row r="29" spans="2:25" ht="18" thickBot="1" x14ac:dyDescent="0.35">
      <c r="B29" s="274"/>
      <c r="C29" s="278"/>
      <c r="D29" s="271"/>
      <c r="E29" s="271"/>
      <c r="F29" s="272"/>
      <c r="G29" s="277" t="s">
        <v>6</v>
      </c>
      <c r="H29" s="290">
        <f>H27+H28</f>
        <v>1331031.6599999999</v>
      </c>
      <c r="I29" s="307"/>
      <c r="J29" s="264"/>
      <c r="K29" s="47"/>
      <c r="L29" s="47"/>
      <c r="M29" s="39"/>
      <c r="N29" s="12"/>
      <c r="O29" s="12"/>
      <c r="P29" s="252">
        <f>P28</f>
        <v>10.039250000000001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2.0078500000000004</v>
      </c>
      <c r="Q30" s="39" t="s">
        <v>129</v>
      </c>
      <c r="R30" s="42"/>
      <c r="S30" s="240"/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12.0471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296" t="s">
        <v>21</v>
      </c>
      <c r="V32" s="293" t="s">
        <v>149</v>
      </c>
      <c r="W32" s="297">
        <v>44971</v>
      </c>
      <c r="X32" s="298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12.0471</v>
      </c>
      <c r="N33" s="12">
        <v>3500</v>
      </c>
      <c r="O33" s="12">
        <f t="shared" ref="O33:O38" si="13">M33*N33</f>
        <v>42164.85</v>
      </c>
      <c r="P33" s="14" t="s">
        <v>21</v>
      </c>
      <c r="Q33" s="14"/>
      <c r="R33" s="14"/>
      <c r="S33" s="241"/>
      <c r="T33" s="14"/>
      <c r="U33" s="296" t="s">
        <v>150</v>
      </c>
      <c r="V33" s="293">
        <v>3625</v>
      </c>
      <c r="W33" s="59" t="s">
        <v>151</v>
      </c>
      <c r="X33" s="298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3.5</v>
      </c>
      <c r="N34" s="12">
        <v>25000</v>
      </c>
      <c r="O34" s="12">
        <f t="shared" si="13"/>
        <v>87500</v>
      </c>
      <c r="P34" s="39" t="s">
        <v>31</v>
      </c>
      <c r="Q34" s="42"/>
      <c r="R34" s="14"/>
      <c r="S34" s="240"/>
      <c r="T34" s="14"/>
      <c r="U34" s="296"/>
      <c r="V34" s="59">
        <v>906.25</v>
      </c>
      <c r="W34" s="59" t="s">
        <v>152</v>
      </c>
      <c r="X34" s="298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37000</v>
      </c>
      <c r="O35" s="12">
        <f t="shared" si="13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8" t="s">
        <v>153</v>
      </c>
      <c r="X35" s="59"/>
    </row>
    <row r="36" spans="1:24" s="230" customFormat="1" ht="17.399999999999999" x14ac:dyDescent="0.35">
      <c r="B36" s="24" t="s">
        <v>164</v>
      </c>
      <c r="C36"/>
      <c r="D36"/>
      <c r="E36"/>
      <c r="F36"/>
      <c r="J36" s="261"/>
      <c r="K36" s="232"/>
      <c r="L36" s="249"/>
      <c r="M36" s="14">
        <v>6</v>
      </c>
      <c r="N36" s="249">
        <v>28522</v>
      </c>
      <c r="O36" s="12">
        <f t="shared" si="13"/>
        <v>171132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8" t="s">
        <v>154</v>
      </c>
      <c r="X36" s="59"/>
    </row>
    <row r="37" spans="1:24" s="230" customFormat="1" ht="17.399999999999999" x14ac:dyDescent="0.35">
      <c r="B37" s="29" t="s">
        <v>124</v>
      </c>
      <c r="C37"/>
      <c r="D37"/>
      <c r="E37"/>
      <c r="F37" s="229" t="s">
        <v>15</v>
      </c>
      <c r="J37" s="261">
        <v>60910</v>
      </c>
      <c r="K37" s="259"/>
      <c r="L37" s="249"/>
      <c r="M37" s="248"/>
      <c r="N37" s="249">
        <v>900</v>
      </c>
      <c r="O37" s="12">
        <f t="shared" si="13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8">
        <f>J37/1.19</f>
        <v>51184.873949579836</v>
      </c>
      <c r="K38" s="259"/>
      <c r="L38" s="249"/>
      <c r="M38" s="265">
        <v>15.445</v>
      </c>
      <c r="N38" s="12">
        <v>1500</v>
      </c>
      <c r="O38" s="12">
        <f t="shared" si="13"/>
        <v>23167.5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323964.34999999998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O39*2.4</f>
        <v>777514.44</v>
      </c>
      <c r="P40" s="14" t="s">
        <v>138</v>
      </c>
      <c r="Q40" s="14"/>
      <c r="R40" s="40">
        <f>P31/R39</f>
        <v>3.2482474115616911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L41" s="249"/>
      <c r="M41" s="14"/>
      <c r="N41" s="12"/>
      <c r="O41" s="12">
        <f>O40/P29</f>
        <v>77447.462708867679</v>
      </c>
      <c r="P41" s="45" t="s">
        <v>24</v>
      </c>
      <c r="Q41" s="14"/>
      <c r="R41" s="14"/>
      <c r="S41"/>
      <c r="T41" s="238"/>
      <c r="U41" s="59" t="s">
        <v>155</v>
      </c>
      <c r="V41" s="293">
        <v>43650</v>
      </c>
    </row>
    <row r="42" spans="1:24" s="230" customFormat="1" ht="17.399999999999999" x14ac:dyDescent="0.35">
      <c r="G42"/>
      <c r="L42" s="249"/>
      <c r="M42" s="13"/>
      <c r="N42" s="14"/>
      <c r="O42" s="17">
        <f>O40/O39</f>
        <v>2.4</v>
      </c>
      <c r="P42" s="15"/>
      <c r="Q42"/>
      <c r="R42"/>
      <c r="S42"/>
      <c r="T42" s="238"/>
      <c r="U42" s="59" t="s">
        <v>157</v>
      </c>
      <c r="V42" s="294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5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45863</v>
      </c>
    </row>
    <row r="6" spans="2:31" ht="16.2" thickBot="1" x14ac:dyDescent="0.35">
      <c r="B6" s="140" t="s">
        <v>2</v>
      </c>
      <c r="C6" s="139" t="str">
        <f>'2229'!C10</f>
        <v>MARCELO CASTRO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-142556.79128345411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1118514</v>
      </c>
      <c r="E11" s="132">
        <f>D11*0.19</f>
        <v>212517.66</v>
      </c>
      <c r="F11" s="131">
        <f>E11+D11</f>
        <v>1331031.6599999999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-36566.791283454106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159498.94078743961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-54566.791283454106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959015.05921256042</v>
      </c>
      <c r="E13" s="221">
        <f>(D11/D12)-1</f>
        <v>6.0126735292281133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-63566.791283454106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-102566.79128345411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263173.25229927537</v>
      </c>
      <c r="F15" s="216">
        <f>E15-D12</f>
        <v>103674.31151183575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-102566.79128345411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-62566.791283454106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87500</v>
      </c>
      <c r="E19" s="123">
        <f>D19*0.19</f>
        <v>16625</v>
      </c>
      <c r="F19" s="120">
        <f>SUM(D19:E19)</f>
        <v>104125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42164.85</v>
      </c>
      <c r="E20" s="121">
        <f>D20*0.19</f>
        <v>8011.3215</v>
      </c>
      <c r="F20" s="120">
        <f>SUM(D20:E20)</f>
        <v>50176.171499999997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129664.85</v>
      </c>
      <c r="E21" s="116">
        <f>SUM(E18:E20)</f>
        <v>24636.321499999998</v>
      </c>
      <c r="F21" s="115">
        <f>SUM(F18:F20)</f>
        <v>154301.1715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187881.33850000001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1118514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129664.85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959015.05921256042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959015.05921256042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2025-07-02T13:31:03Z</cp:lastPrinted>
  <dcterms:created xsi:type="dcterms:W3CDTF">2013-03-18T13:35:42Z</dcterms:created>
  <dcterms:modified xsi:type="dcterms:W3CDTF">2025-07-25T21:58:06Z</dcterms:modified>
</cp:coreProperties>
</file>