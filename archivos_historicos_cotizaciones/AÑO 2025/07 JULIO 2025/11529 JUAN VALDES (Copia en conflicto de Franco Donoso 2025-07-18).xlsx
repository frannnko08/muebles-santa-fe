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872649A0-FE68-4E69-B601-5368C43D70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4" i="1" s="1"/>
  <c r="S21" i="1" l="1"/>
  <c r="S24" i="1" s="1"/>
  <c r="T21" i="1"/>
  <c r="T23" i="1" s="1"/>
  <c r="O21" i="1"/>
  <c r="P21" i="1" s="1"/>
  <c r="P24" i="1" s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O38" i="1" l="1"/>
  <c r="Q21" i="1" l="1"/>
  <c r="G21" i="1" s="1"/>
  <c r="F15" i="3"/>
  <c r="R21" i="1" l="1"/>
  <c r="H21" i="1" l="1"/>
  <c r="H23" i="1" l="1"/>
  <c r="H24" i="1" s="1"/>
  <c r="H25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<sst xmlns="http://schemas.openxmlformats.org/spreadsheetml/2006/main" count="231" uniqueCount="176">
  <si>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</si>
  <si>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</si>
  <si>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</si>
  <si>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</si>
  <si>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</si>
  <si>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</si>
  <si>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</si>
  <si>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</si>
  <si>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</si>
  <si>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</si>
  <si>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</si>
  <si>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</si>
  <si>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</si>
  <si>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</si>
  <si>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</si>
  <si>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</si>
  <si>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</si>
  <si>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</si>
  <si>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</si>
  <si>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</si>
  <si>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</si>
  <si>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</si>
  <si>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</si>
  <si>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</si>
  <si>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</si>
  <si>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</si>
  <si>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</si>
  <si>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</si>
  <si>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</si>
  <si>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</si>
  <si>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</si>
  <si>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</si>
  <si>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</si>
  <si>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</si>
  <si>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</si>
  <si>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</si>
  <si>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</si>
  <si>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</si>
  <si>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</si>
  <si>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</si>
  <si>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</si>
  <si>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</si>
  <si>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</si>
  <si>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</si>
  <si>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</si>
  <si>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</si>
  <si>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</si>
  <si>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</si>
  <si>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</si>
  <si>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</si>
  <si>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</si>
  <si>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</si>
  <si>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</si>
  <si>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</si>
  <si>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</si>
  <si>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</si>
  <si>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</si>
  <si>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</si>
  <si>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</si>
  <si>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</si>
  <si>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</si>
  <si>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</si>
  <si>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</si>
  <si>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</si>
  <si>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</si>
  <si>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</si>
  <si>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</si>
  <si>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</si>
  <si>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</si>
  <si>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</si>
  <si>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</si>
  <si>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</si>
  <si>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</si>
  <si>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</si>
  <si>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</si>
  <si>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</si>
  <si>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</si>
  <si>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</si>
  <si>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</si>
  <si>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</si>
  <si>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</si>
  <si>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</si>
  <si>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</si>
  <si>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</si>
  <si>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</si>
  <si>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</si>
  <si>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</si>
  <si>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</si>
  <si>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</si>
  <si>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</si>
  <si>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</si>
  <si>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</si>
  <si>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</si>
  <si>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</si>
  <si>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</si>
  <si>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</si>
  <si>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</si>
  <si>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</si>
  <si>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</si>
  <si>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</si>
  <si>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</si>
  <si>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</si>
  <si>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</si>
  <si>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</si>
  <si>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</si>
  <si>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</si>
  <si>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</si>
  <si>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</si>
  <si>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</si>
  <si>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</si>
  <si>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</si>
  <si>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</si>
  <si>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</si>
  <si>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</si>
  <si>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</si>
  <si>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</si>
  <si>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</si>
  <si>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</si>
  <si>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</si>
  <si>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</si>
  <si>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</si>
  <si>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</si>
  <si>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</si>
  <si>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</si>
  <si>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</si>
  <si>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</si>
  <si>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</si>
  <si>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</si>
  <si>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</si>
  <si>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</si>
  <si>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</si>
  <si>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</si>
  <si>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</si>
  <si>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</si>
  <si>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</si>
  <si>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</si>
  <si>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</si>
  <si>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</si>
  <si>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</si>
  <si>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</si>
  <si>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</si>
  <si>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</si>
  <si>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</si>
  <si>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</si>
  <si>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</si>
  <si>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</si>
  <si>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</si>
  <si>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</si>
  <si>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</si>
  <si>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</si>
  <si>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</si>
  <si>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</si>
  <si>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</si>
  <si>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</si>
  <si>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</si>
  <si>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</si>
  <si>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</si>
  <si>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</si>
  <si>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</si>
  <si>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</si>
  <si>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</si>
  <si>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</si>
  <si>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</si>
  <si>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</si>
  <si>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</si>
  <si>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</si>
  <si>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</si>
  <si>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</si>
  <si>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</si>
  <si>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3 DIAS HABILES</t>
  </si>
  <si>
    <t>MELAMIL 15MM</t>
  </si>
  <si>
    <t xml:space="preserve">CUB CON RESPALDO FRENTE 90° </t>
  </si>
  <si>
    <t>N° 11528</t>
  </si>
  <si>
    <t>BLANCO BR</t>
  </si>
  <si>
    <t>FERNANDO ANDRADE</t>
  </si>
  <si>
    <t>+569 9742 2926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</si>
</sst>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32" fillId="0" borderId="19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166" fontId="32" fillId="0" borderId="18" xfId="0" applyNumberFormat="1" applyFont="1" applyBorder="1" applyAlignment="1">
      <alignment horizontal="center" vertical="center"/>
    </xf>
    <xf numFmtId="167" fontId="11" fillId="0" borderId="18" xfId="2" applyNumberFormat="1" applyFont="1" applyFill="1" applyBorder="1" applyAlignment="1">
      <alignment horizontal="center" vertical="center"/>
    </xf>
    <xf numFmtId="167" fontId="11" fillId="0" borderId="7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CUBIERTAS SE ENTREGA CORTADA A LA MEDIDA Y ENCHAPADA EN EL LADO IZQUIERDO MIRANDOLA DESDE EL FRENTE Y SOBRE MEDIDA EN EL OTRO LADO.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D12" zoomScale="93" zoomScaleNormal="93" workbookViewId="0">
      <selection activeCell="O36" sqref="O36"/>
    </sheetView>
  </sheetViews>
  <sheetFormatPr baseColWidth="10" defaultRowHeight="14.4" x14ac:dyDescent="0.3"/>
  <cols>
    <col min="1" max="1" width="6" customWidth="1"/>
    <col min="2" max="2" width="10.5546875" customWidth="1"/>
    <col min="3" max="3" width="40.33203125" customWidth="1"/>
    <col min="4" max="4" width="11.109375" customWidth="1"/>
    <col min="5" max="5" width="14.44140625" customWidth="1"/>
    <col min="6" max="6" width="27.33203125" customWidth="1"/>
    <col min="7" max="7" width="14" customWidth="1"/>
    <col min="8" max="8" width="14.3320312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2" t="s">
        <v>125</v>
      </c>
      <c r="C8" s="323"/>
      <c r="D8" s="324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305" t="s">
        <v>174</v>
      </c>
      <c r="D10" s="239"/>
      <c r="E10" s="239"/>
      <c r="F10" s="240" t="s">
        <v>167</v>
      </c>
      <c r="G10" s="271">
        <v>45855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6"/>
      <c r="F11" t="s">
        <v>166</v>
      </c>
      <c r="G11" s="307" t="s">
        <v>169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08"/>
      <c r="D12" s="309"/>
      <c r="E12" s="309"/>
      <c r="F12" s="309" t="s">
        <v>126</v>
      </c>
      <c r="G12" s="310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1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2"/>
      <c r="D14" s="309"/>
      <c r="E14" s="309"/>
      <c r="F14" s="309" t="s">
        <v>134</v>
      </c>
      <c r="G14" s="313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4" t="s">
        <v>175</v>
      </c>
      <c r="D15" s="315"/>
      <c r="F15" t="s">
        <v>168</v>
      </c>
      <c r="G15" s="316" t="s">
        <v>133</v>
      </c>
      <c r="H15" s="281"/>
    </row>
    <row r="16" spans="2:24" ht="16.8" x14ac:dyDescent="0.4">
      <c r="B16" s="297" t="s">
        <v>3</v>
      </c>
      <c r="C16" s="317"/>
      <c r="D16" s="309"/>
      <c r="E16" s="309"/>
      <c r="F16" s="318" t="s">
        <v>128</v>
      </c>
      <c r="G16" s="319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5" t="s">
        <v>162</v>
      </c>
      <c r="G17" s="335"/>
      <c r="H17" s="336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7" t="s">
        <v>95</v>
      </c>
      <c r="C19" s="338"/>
      <c r="D19" s="338"/>
      <c r="E19" s="338"/>
      <c r="F19" s="338"/>
      <c r="G19" s="338"/>
      <c r="H19" s="339"/>
      <c r="I19" s="259"/>
      <c r="J19" s="259"/>
      <c r="K19" s="5"/>
      <c r="L19" s="245"/>
      <c r="M19" s="14">
        <v>0.08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325" t="s">
        <v>7</v>
      </c>
      <c r="C20" s="326" t="s">
        <v>1</v>
      </c>
      <c r="D20" s="326" t="s">
        <v>130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O37</f>
        <v>63180.526315789466</v>
      </c>
      <c r="R20" s="253">
        <v>3000</v>
      </c>
      <c r="S20" s="35"/>
      <c r="T20" s="14" t="s">
        <v>127</v>
      </c>
      <c r="U20" s="9"/>
      <c r="X20" s="4"/>
    </row>
    <row r="21" spans="1:25" ht="18" thickBot="1" x14ac:dyDescent="0.35">
      <c r="B21" s="330">
        <v>1</v>
      </c>
      <c r="C21" s="331" t="s">
        <v>171</v>
      </c>
      <c r="D21" s="332">
        <v>1.06</v>
      </c>
      <c r="E21" s="332">
        <v>0.5</v>
      </c>
      <c r="F21" s="331" t="s">
        <v>173</v>
      </c>
      <c r="G21" s="333">
        <f>Q21</f>
        <v>36012.9</v>
      </c>
      <c r="H21" s="334">
        <f>G21*B21</f>
        <v>36012.9</v>
      </c>
      <c r="I21" s="299"/>
      <c r="J21" s="260"/>
      <c r="K21" s="44"/>
      <c r="L21" s="44">
        <f>B21</f>
        <v>1</v>
      </c>
      <c r="M21" s="36">
        <f>D21+M$19</f>
        <v>1.1400000000000001</v>
      </c>
      <c r="N21" s="36">
        <f>E21+$N$19</f>
        <v>0.5</v>
      </c>
      <c r="O21" s="256">
        <f t="shared" ref="O21" si="1">M21*N21</f>
        <v>0.57000000000000006</v>
      </c>
      <c r="P21" s="254">
        <f t="shared" ref="P21" si="2">O21*L21</f>
        <v>0.57000000000000006</v>
      </c>
      <c r="Q21" s="247">
        <f t="shared" ref="Q21" si="3">Q$20*O21</f>
        <v>36012.9</v>
      </c>
      <c r="R21" s="298">
        <f t="shared" ref="R21" si="4">Q21+R$20</f>
        <v>39012.9</v>
      </c>
      <c r="S21" s="286">
        <f>M21*L21</f>
        <v>1.1400000000000001</v>
      </c>
      <c r="T21" s="43">
        <f>N21*2*L21*2</f>
        <v>2</v>
      </c>
      <c r="U21" s="9"/>
      <c r="X21" s="4"/>
    </row>
    <row r="22" spans="1:25" ht="18" thickBot="1" x14ac:dyDescent="0.35">
      <c r="B22" s="278"/>
      <c r="C22" s="278"/>
      <c r="D22" s="279"/>
      <c r="E22" s="279"/>
      <c r="F22" s="278"/>
      <c r="G22" s="260"/>
      <c r="H22" s="300"/>
      <c r="I22" s="302"/>
      <c r="J22" s="229"/>
      <c r="K22" s="44"/>
      <c r="L22" s="44"/>
      <c r="M22" s="36"/>
      <c r="N22" s="36"/>
      <c r="O22" s="256"/>
      <c r="P22" s="254"/>
      <c r="Q22" s="247"/>
      <c r="R22" s="253"/>
      <c r="S22" s="286"/>
      <c r="T22" s="14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303" t="s">
        <v>28</v>
      </c>
      <c r="H23" s="304">
        <f>SUM(H21:H22)</f>
        <v>36012.9</v>
      </c>
      <c r="I23" s="301"/>
      <c r="J23" s="260"/>
      <c r="K23" s="320"/>
      <c r="L23" s="44"/>
      <c r="M23" s="36"/>
      <c r="N23" s="36"/>
      <c r="O23" s="256"/>
      <c r="P23" s="254"/>
      <c r="Q23" s="247"/>
      <c r="R23" s="253"/>
      <c r="S23" s="286"/>
      <c r="T23" s="43">
        <f>SUM(T21:T22)</f>
        <v>2</v>
      </c>
      <c r="U23" s="9"/>
      <c r="X23" s="4"/>
    </row>
    <row r="24" spans="1:25" ht="17.399999999999999" x14ac:dyDescent="0.3">
      <c r="B24" s="272"/>
      <c r="C24" s="275"/>
      <c r="D24" s="276"/>
      <c r="E24" s="276"/>
      <c r="F24" s="277"/>
      <c r="G24" s="285" t="s">
        <v>51</v>
      </c>
      <c r="H24" s="283">
        <f>H23*19%</f>
        <v>6842.451</v>
      </c>
      <c r="I24" s="301"/>
      <c r="J24" s="260"/>
      <c r="K24" s="320"/>
      <c r="L24" s="44"/>
      <c r="M24" s="36">
        <f>SUM(M21:M21)</f>
        <v>1.1400000000000001</v>
      </c>
      <c r="N24" s="12"/>
      <c r="O24" s="12"/>
      <c r="P24" s="248">
        <f>SUM(P21:P22)</f>
        <v>0.57000000000000006</v>
      </c>
      <c r="Q24" s="14"/>
      <c r="R24" s="12"/>
      <c r="S24" s="235">
        <f>SUM(S21:S23)</f>
        <v>1.1400000000000001</v>
      </c>
      <c r="T24" s="43"/>
      <c r="U24" s="9"/>
      <c r="X24" s="4"/>
    </row>
    <row r="25" spans="1:25" ht="18" thickBot="1" x14ac:dyDescent="0.35">
      <c r="B25" s="270"/>
      <c r="C25" s="274"/>
      <c r="D25" s="267"/>
      <c r="E25" s="267"/>
      <c r="F25" s="268"/>
      <c r="G25" s="273" t="s">
        <v>6</v>
      </c>
      <c r="H25" s="284">
        <f>H23+H24</f>
        <v>42855.351000000002</v>
      </c>
      <c r="I25" s="301"/>
      <c r="J25" s="260"/>
      <c r="K25" s="320"/>
      <c r="L25" s="44"/>
      <c r="M25" s="36"/>
      <c r="N25" s="12"/>
      <c r="O25" s="12"/>
      <c r="P25" s="248">
        <f>P24</f>
        <v>0.57000000000000006</v>
      </c>
      <c r="Q25" s="14"/>
      <c r="R25" s="12"/>
      <c r="S25" s="235"/>
      <c r="T25" s="43"/>
      <c r="U25" s="9"/>
      <c r="X25" s="4"/>
    </row>
    <row r="26" spans="1:25" ht="17.399999999999999" x14ac:dyDescent="0.3">
      <c r="B26" s="270"/>
      <c r="C26" s="266"/>
      <c r="D26" s="267"/>
      <c r="E26" s="267"/>
      <c r="F26" s="268"/>
      <c r="J26" s="260"/>
      <c r="K26" s="320"/>
      <c r="L26" s="44"/>
      <c r="M26" s="14"/>
      <c r="N26" s="12"/>
      <c r="O26" s="12"/>
      <c r="P26" s="36">
        <f>P25*20%</f>
        <v>0.11400000000000002</v>
      </c>
      <c r="Q26" s="36" t="s">
        <v>129</v>
      </c>
      <c r="R26" s="39"/>
      <c r="S26" s="236"/>
      <c r="T26" s="14"/>
      <c r="U26" s="9"/>
      <c r="X26" s="4"/>
    </row>
    <row r="27" spans="1:25" ht="17.399999999999999" x14ac:dyDescent="0.35">
      <c r="B27" s="264"/>
      <c r="C27" s="226"/>
      <c r="D27" s="226"/>
      <c r="E27" s="229"/>
      <c r="F27" s="230"/>
      <c r="G27" s="226"/>
      <c r="H27" s="269"/>
      <c r="I27" s="269"/>
      <c r="J27" s="260"/>
      <c r="K27" s="44"/>
      <c r="L27" s="44"/>
      <c r="M27" s="14"/>
      <c r="N27" s="12"/>
      <c r="O27" s="12"/>
      <c r="P27" s="43">
        <f>P25+P26</f>
        <v>0.68400000000000005</v>
      </c>
      <c r="Q27" s="14"/>
      <c r="R27" s="14"/>
      <c r="S27" s="234"/>
      <c r="T27" s="14"/>
      <c r="U27" s="9"/>
      <c r="X27" s="4"/>
    </row>
    <row r="28" spans="1:25" ht="17.399999999999999" x14ac:dyDescent="0.35">
      <c r="B28" s="231"/>
      <c r="C28" s="232"/>
      <c r="D28" s="233"/>
      <c r="E28" s="231"/>
      <c r="F28" s="226"/>
      <c r="G28" s="226"/>
      <c r="I28" s="269"/>
      <c r="J28" s="260"/>
      <c r="K28" s="44"/>
      <c r="L28" s="44"/>
      <c r="M28" s="14"/>
      <c r="N28" s="14"/>
      <c r="O28" s="14"/>
      <c r="P28" s="14"/>
      <c r="Q28" s="14"/>
      <c r="R28" s="14"/>
      <c r="S28" s="236"/>
      <c r="T28" s="14"/>
      <c r="U28" s="290" t="s">
        <v>21</v>
      </c>
      <c r="V28" s="287" t="s">
        <v>149</v>
      </c>
      <c r="W28" s="291">
        <v>44971</v>
      </c>
      <c r="X28" s="292"/>
    </row>
    <row r="29" spans="1:25" ht="17.399999999999999" x14ac:dyDescent="0.35">
      <c r="B29" s="226"/>
      <c r="C29" s="226"/>
      <c r="D29" s="226"/>
      <c r="E29" s="226"/>
      <c r="F29" s="226"/>
      <c r="G29" s="226"/>
      <c r="J29" s="260"/>
      <c r="K29" s="44"/>
      <c r="L29" s="44"/>
      <c r="M29" s="36">
        <f>P27</f>
        <v>0.68400000000000005</v>
      </c>
      <c r="N29" s="12">
        <v>3500</v>
      </c>
      <c r="O29" s="12">
        <f t="shared" ref="O29:O34" si="5">M29*N29</f>
        <v>2394</v>
      </c>
      <c r="P29" s="14" t="s">
        <v>21</v>
      </c>
      <c r="Q29" s="14"/>
      <c r="R29" s="14"/>
      <c r="S29" s="237"/>
      <c r="T29" s="14"/>
      <c r="U29" s="290" t="s">
        <v>150</v>
      </c>
      <c r="V29" s="287">
        <v>3625</v>
      </c>
      <c r="W29" s="56" t="s">
        <v>151</v>
      </c>
      <c r="X29" s="292"/>
    </row>
    <row r="30" spans="1:25" ht="17.399999999999999" x14ac:dyDescent="0.35">
      <c r="A30" s="226"/>
      <c r="B30" s="226"/>
      <c r="C30" s="226"/>
      <c r="D30" s="226"/>
      <c r="E30" s="226"/>
      <c r="F30" s="226"/>
      <c r="G30" s="226"/>
      <c r="H30" s="226"/>
      <c r="J30" s="260"/>
      <c r="K30" s="44"/>
      <c r="L30" s="44"/>
      <c r="M30" s="244">
        <v>0.2</v>
      </c>
      <c r="N30" s="12">
        <v>23500</v>
      </c>
      <c r="O30" s="12">
        <f t="shared" si="5"/>
        <v>4700</v>
      </c>
      <c r="P30" s="36" t="s">
        <v>170</v>
      </c>
      <c r="Q30" s="39"/>
      <c r="R30" s="14"/>
      <c r="S30" s="236"/>
      <c r="T30" s="14"/>
      <c r="U30" s="290"/>
      <c r="V30" s="56">
        <v>906.25</v>
      </c>
      <c r="W30" s="56" t="s">
        <v>152</v>
      </c>
      <c r="X30" s="292"/>
    </row>
    <row r="31" spans="1:25" s="226" customFormat="1" ht="17.399999999999999" x14ac:dyDescent="0.35">
      <c r="B31" s="21" t="s">
        <v>148</v>
      </c>
      <c r="J31" s="257"/>
      <c r="K31" s="228"/>
      <c r="L31" s="245"/>
      <c r="M31" s="14"/>
      <c r="N31" s="245">
        <v>80000</v>
      </c>
      <c r="O31" s="12">
        <f t="shared" si="5"/>
        <v>0</v>
      </c>
      <c r="P31" s="36" t="s">
        <v>30</v>
      </c>
      <c r="Q31" s="39"/>
      <c r="S31" s="236"/>
      <c r="T31" s="251"/>
      <c r="U31" s="56"/>
      <c r="V31" s="56">
        <f>V30*20%</f>
        <v>181.25</v>
      </c>
      <c r="W31" s="292" t="s">
        <v>153</v>
      </c>
      <c r="X31" s="56"/>
    </row>
    <row r="32" spans="1:25" s="226" customFormat="1" ht="17.399999999999999" x14ac:dyDescent="0.35">
      <c r="B32" s="21" t="s">
        <v>164</v>
      </c>
      <c r="C32"/>
      <c r="D32"/>
      <c r="E32"/>
      <c r="F32"/>
      <c r="J32" s="257"/>
      <c r="K32" s="228"/>
      <c r="L32" s="245"/>
      <c r="M32" s="14">
        <v>0.5</v>
      </c>
      <c r="N32" s="245">
        <v>16690</v>
      </c>
      <c r="O32" s="12">
        <f t="shared" si="5"/>
        <v>8345</v>
      </c>
      <c r="P32" s="14" t="s">
        <v>139</v>
      </c>
      <c r="Q32" s="17"/>
      <c r="S32" s="234"/>
      <c r="T32" s="251"/>
      <c r="U32" s="56"/>
      <c r="V32" s="56">
        <f>V30+V31</f>
        <v>1087.5</v>
      </c>
      <c r="W32" s="292" t="s">
        <v>154</v>
      </c>
      <c r="X32" s="56"/>
    </row>
    <row r="33" spans="2:24" s="226" customFormat="1" ht="17.399999999999999" x14ac:dyDescent="0.35">
      <c r="B33" s="26" t="s">
        <v>124</v>
      </c>
      <c r="C33"/>
      <c r="D33"/>
      <c r="E33"/>
      <c r="F33" s="225" t="s">
        <v>15</v>
      </c>
      <c r="J33" s="257"/>
      <c r="K33" s="255"/>
      <c r="L33" s="245"/>
      <c r="M33" s="244"/>
      <c r="N33" s="245">
        <v>900</v>
      </c>
      <c r="O33" s="12">
        <f t="shared" si="5"/>
        <v>0</v>
      </c>
      <c r="P33" s="14" t="s">
        <v>32</v>
      </c>
      <c r="Q33" s="14"/>
      <c r="R33" s="226">
        <v>1.52</v>
      </c>
      <c r="S33" s="234"/>
      <c r="T33" s="234"/>
    </row>
    <row r="34" spans="2:24" s="226" customFormat="1" ht="17.399999999999999" x14ac:dyDescent="0.35">
      <c r="J34" s="282"/>
      <c r="K34" s="255"/>
      <c r="L34" s="245"/>
      <c r="M34" s="261">
        <v>1.1399999999999999</v>
      </c>
      <c r="N34" s="12">
        <v>1500</v>
      </c>
      <c r="O34" s="12">
        <f t="shared" si="5"/>
        <v>1709.9999999999998</v>
      </c>
      <c r="P34" s="14" t="s">
        <v>22</v>
      </c>
      <c r="Q34" s="14"/>
      <c r="R34">
        <v>2.44</v>
      </c>
      <c r="S34"/>
      <c r="T34" s="234"/>
      <c r="X34" s="227"/>
    </row>
    <row r="35" spans="2:24" s="226" customFormat="1" ht="17.399999999999999" x14ac:dyDescent="0.35">
      <c r="K35" s="255"/>
      <c r="L35" s="245"/>
      <c r="M35" s="14"/>
      <c r="N35" s="12"/>
      <c r="O35" s="12">
        <f>SUM(O29:O34)</f>
        <v>17149</v>
      </c>
      <c r="P35" s="36" t="s">
        <v>23</v>
      </c>
      <c r="Q35" s="14"/>
      <c r="R35">
        <f>R33*R34</f>
        <v>3.7088000000000001</v>
      </c>
      <c r="S35"/>
      <c r="T35" s="234"/>
      <c r="X35" s="227"/>
    </row>
    <row r="36" spans="2:24" s="226" customFormat="1" ht="17.399999999999999" x14ac:dyDescent="0.35">
      <c r="L36" s="245"/>
      <c r="M36" s="249" t="s">
        <v>33</v>
      </c>
      <c r="N36" s="12"/>
      <c r="O36" s="250">
        <f>O35*2.1</f>
        <v>36012.9</v>
      </c>
      <c r="P36" s="14" t="s">
        <v>138</v>
      </c>
      <c r="Q36" s="14"/>
      <c r="R36" s="37">
        <f>P27/R35</f>
        <v>0.18442622950819673</v>
      </c>
      <c r="S36"/>
      <c r="T36" s="252"/>
    </row>
    <row r="37" spans="2:24" s="226" customFormat="1" ht="17.399999999999999" x14ac:dyDescent="0.35">
      <c r="G37"/>
      <c r="H37" s="255"/>
      <c r="I37" s="255"/>
      <c r="J37" s="255"/>
      <c r="L37" s="245"/>
      <c r="M37" s="14"/>
      <c r="N37" s="12"/>
      <c r="O37" s="12">
        <f>O36/P25</f>
        <v>63180.526315789466</v>
      </c>
      <c r="P37" s="42" t="s">
        <v>24</v>
      </c>
      <c r="Q37" s="14"/>
      <c r="R37" s="14"/>
      <c r="S37"/>
      <c r="T37" s="234"/>
      <c r="U37" s="56" t="s">
        <v>155</v>
      </c>
      <c r="V37" s="287">
        <v>43650</v>
      </c>
    </row>
    <row r="38" spans="2:24" s="226" customFormat="1" ht="17.399999999999999" x14ac:dyDescent="0.35">
      <c r="G38"/>
      <c r="L38" s="245"/>
      <c r="M38" s="13"/>
      <c r="N38" s="14"/>
      <c r="O38" s="17">
        <f>O36/O35</f>
        <v>2.1</v>
      </c>
      <c r="P38" s="15"/>
      <c r="Q38"/>
      <c r="R38"/>
      <c r="S38"/>
      <c r="T38" s="234"/>
      <c r="U38" s="56" t="s">
        <v>157</v>
      </c>
      <c r="V38" s="288" t="s">
        <v>156</v>
      </c>
      <c r="W38" s="56">
        <v>2.4</v>
      </c>
    </row>
    <row r="39" spans="2:24" s="226" customFormat="1" ht="17.399999999999999" x14ac:dyDescent="0.35">
      <c r="D39" s="279"/>
      <c r="E39" s="279"/>
      <c r="F39" s="278"/>
      <c r="G39" s="321"/>
      <c r="H39" s="328"/>
      <c r="L39" s="12"/>
      <c r="T39" s="234"/>
      <c r="U39" s="56" t="s">
        <v>158</v>
      </c>
      <c r="V39" s="289">
        <v>395.37</v>
      </c>
    </row>
    <row r="40" spans="2:24" s="226" customFormat="1" ht="17.399999999999999" x14ac:dyDescent="0.35">
      <c r="B40"/>
      <c r="C40" s="329"/>
      <c r="D40" s="279"/>
      <c r="E40" s="279"/>
      <c r="F40" s="278"/>
      <c r="G40" s="321"/>
      <c r="H40" s="328"/>
      <c r="L40" s="12"/>
      <c r="T40" s="234"/>
      <c r="U40" s="56" t="s">
        <v>153</v>
      </c>
      <c r="V40" s="56">
        <v>474.45</v>
      </c>
    </row>
    <row r="41" spans="2:24" ht="14.4" customHeight="1" x14ac:dyDescent="0.35">
      <c r="D41" s="279"/>
      <c r="E41" s="279"/>
      <c r="F41" s="278"/>
      <c r="G41" s="321"/>
      <c r="H41" s="328"/>
      <c r="L41" s="12"/>
      <c r="U41" s="56"/>
      <c r="V41" s="56"/>
    </row>
    <row r="42" spans="2:24" ht="17.399999999999999" x14ac:dyDescent="0.35">
      <c r="D42" s="279"/>
      <c r="E42" s="279"/>
      <c r="F42" s="278"/>
      <c r="G42" s="321"/>
      <c r="H42" s="328"/>
      <c r="L42" s="245"/>
    </row>
    <row r="43" spans="2:24" ht="17.399999999999999" x14ac:dyDescent="0.35">
      <c r="D43" s="279"/>
      <c r="E43" s="279"/>
      <c r="F43" s="278"/>
      <c r="G43" s="321"/>
      <c r="H43" s="328"/>
      <c r="L43" s="245"/>
      <c r="T43" s="265"/>
    </row>
    <row r="44" spans="2:24" ht="17.399999999999999" x14ac:dyDescent="0.35">
      <c r="D44" s="279"/>
      <c r="E44" s="279"/>
      <c r="F44" s="278"/>
      <c r="G44" s="321"/>
      <c r="H44" s="328"/>
      <c r="L44" s="245"/>
    </row>
    <row r="45" spans="2:24" ht="15" customHeight="1" x14ac:dyDescent="0.35">
      <c r="D45" s="279"/>
      <c r="E45" s="279"/>
      <c r="F45" s="278"/>
      <c r="G45" s="321"/>
      <c r="H45" s="328"/>
    </row>
    <row r="46" spans="2:24" ht="17.399999999999999" x14ac:dyDescent="0.35">
      <c r="D46" s="279"/>
      <c r="E46" s="279"/>
      <c r="F46" s="278"/>
      <c r="G46" s="321"/>
      <c r="H46" s="328"/>
    </row>
    <row r="47" spans="2:24" ht="17.399999999999999" x14ac:dyDescent="0.35">
      <c r="D47" s="279"/>
      <c r="E47" s="279"/>
      <c r="F47" s="278"/>
      <c r="G47" s="321"/>
      <c r="H47" s="328"/>
      <c r="O47">
        <v>40935</v>
      </c>
      <c r="P47" t="s">
        <v>16</v>
      </c>
      <c r="Q47" t="s">
        <v>26</v>
      </c>
    </row>
    <row r="48" spans="2:24" ht="17.399999999999999" x14ac:dyDescent="0.35">
      <c r="D48" s="279"/>
      <c r="E48" s="279"/>
      <c r="F48" s="278"/>
      <c r="G48" s="321"/>
      <c r="H48" s="328"/>
    </row>
    <row r="49" spans="4:20" ht="17.399999999999999" x14ac:dyDescent="0.35">
      <c r="D49" s="279"/>
      <c r="E49" s="279"/>
      <c r="F49" s="278"/>
      <c r="G49" s="321"/>
      <c r="H49" s="328"/>
      <c r="O49" s="51"/>
      <c r="P49" s="51"/>
    </row>
    <row r="50" spans="4:20" ht="17.399999999999999" x14ac:dyDescent="0.35">
      <c r="D50" s="279"/>
      <c r="E50" s="279"/>
      <c r="F50" s="278"/>
      <c r="G50" s="321"/>
      <c r="H50" s="328"/>
      <c r="S50" s="18"/>
      <c r="T50" s="18"/>
    </row>
    <row r="51" spans="4:20" ht="17.399999999999999" x14ac:dyDescent="0.35">
      <c r="D51" s="279"/>
      <c r="E51" s="279"/>
      <c r="F51" s="278"/>
      <c r="G51" s="321"/>
      <c r="H51" s="328"/>
      <c r="S51" s="18"/>
      <c r="T51" s="18"/>
    </row>
    <row r="52" spans="4:20" ht="17.399999999999999" x14ac:dyDescent="0.35">
      <c r="D52" s="279"/>
      <c r="E52" s="279"/>
      <c r="F52" s="278"/>
      <c r="G52" s="321"/>
      <c r="H52" s="328"/>
      <c r="S52" s="18"/>
      <c r="T52" s="18"/>
    </row>
    <row r="53" spans="4:20" x14ac:dyDescent="0.3">
      <c r="S53" s="18"/>
      <c r="T53" s="18"/>
    </row>
    <row r="54" spans="4:20" x14ac:dyDescent="0.3"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61" spans="4:20" x14ac:dyDescent="0.3">
      <c r="O61" s="40"/>
    </row>
    <row r="62" spans="4:20" x14ac:dyDescent="0.3">
      <c r="O62" s="40"/>
    </row>
    <row r="63" spans="4:20" x14ac:dyDescent="0.3">
      <c r="O63" s="6"/>
    </row>
    <row r="64" spans="4:20" x14ac:dyDescent="0.3">
      <c r="O64" s="6"/>
    </row>
    <row r="72" spans="3:3" x14ac:dyDescent="0.3">
      <c r="C72" t="s">
        <v>145</v>
      </c>
    </row>
    <row r="73" spans="3:3" x14ac:dyDescent="0.3">
      <c r="C73" t="s">
        <v>144</v>
      </c>
    </row>
    <row r="76" spans="3:3" x14ac:dyDescent="0.3">
      <c r="C76" t="s">
        <v>144</v>
      </c>
    </row>
    <row r="153" spans="3:3" x14ac:dyDescent="0.3">
      <c r="C153" t="s">
        <v>144</v>
      </c>
    </row>
    <row r="154" spans="3:3" x14ac:dyDescent="0.3">
      <c r="C154" t="s">
        <v>146</v>
      </c>
    </row>
    <row r="155" spans="3:3" x14ac:dyDescent="0.3">
      <c r="C155" t="s">
        <v>147</v>
      </c>
    </row>
    <row r="580" spans="3:3" x14ac:dyDescent="0.3">
      <c r="C580" t="s">
        <v>144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45855</v>
      </c>
    </row>
    <row r="6" spans="1:31" ht="16.2" thickBot="1" x14ac:dyDescent="0.35">
      <c r="B6" s="137" t="s">
        <v>2</v>
      </c>
      <c r="C6" s="136" t="str">
        <f>'2229'!C10</f>
        <v>FERNANDO ANDRADE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41" t="s">
        <v>98</v>
      </c>
      <c r="I7" s="342"/>
      <c r="J7" s="342"/>
      <c r="K7" s="343"/>
      <c r="N7" s="72"/>
      <c r="O7" s="340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11528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40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1217.2927400966182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'2229'!H23</f>
        <v>36012.9</v>
      </c>
      <c r="E11" s="129">
        <f>D11*0.19</f>
        <v>6842.451</v>
      </c>
      <c r="F11" s="128">
        <f>E11+D11</f>
        <v>42855.351000000002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107207.29274009661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27072.910275362319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89207.292740096615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8939.9897246376822</v>
      </c>
      <c r="E13" s="218">
        <f>(D11/D12)-1</f>
        <v>0.3302190135344818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80207.292740096615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41207.292740096615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51546.821164289853</v>
      </c>
      <c r="C15" s="210" t="s">
        <v>121</v>
      </c>
      <c r="D15" s="211">
        <v>0.6</v>
      </c>
      <c r="E15" s="212">
        <f>(100%+D15)*D12</f>
        <v>43316.656440579711</v>
      </c>
      <c r="F15" s="213">
        <f>E15-D12</f>
        <v>16243.746165217392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41207.292740096615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81207.292740096615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'2229'!O31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'2229'!O30</f>
        <v>4700</v>
      </c>
      <c r="E19" s="120">
        <f>D19*0.19</f>
        <v>893</v>
      </c>
      <c r="F19" s="117">
        <f>SUM(D19:E19)</f>
        <v>5593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'2229'!O29</f>
        <v>2394</v>
      </c>
      <c r="E20" s="118">
        <f>D20*0.19</f>
        <v>454.86</v>
      </c>
      <c r="F20" s="117">
        <f>SUM(D20:E20)</f>
        <v>2848.86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7094</v>
      </c>
      <c r="E21" s="113">
        <f>SUM(E18:E20)</f>
        <v>1347.8600000000001</v>
      </c>
      <c r="F21" s="112">
        <f>SUM(F18:F20)</f>
        <v>8441.86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5494.5910000000003</v>
      </c>
    </row>
    <row r="41" spans="2:16" ht="15" thickBot="1" x14ac:dyDescent="0.35">
      <c r="H41" s="344" t="s">
        <v>60</v>
      </c>
      <c r="I41" s="345"/>
      <c r="J41" s="345"/>
      <c r="K41" s="345"/>
      <c r="L41" s="345"/>
      <c r="M41" s="346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36012.9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7094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8939.9897246376822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8939.9897246376822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2025-07-17T21:07:41Z</cp:lastPrinted>
  <dcterms:created xsi:type="dcterms:W3CDTF">2013-03-18T13:35:42Z</dcterms:created>
  <dcterms:modified xsi:type="dcterms:W3CDTF">2025-07-18T18:16:12Z</dcterms:modified>
</cp:coreProperties>
</file>