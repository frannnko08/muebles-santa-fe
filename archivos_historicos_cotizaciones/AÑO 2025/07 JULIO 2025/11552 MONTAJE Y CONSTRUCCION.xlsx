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6A000498-89C8-4A2F-92D2-F231F2C32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6" i="1"/>
  <c r="P25" i="1"/>
  <c r="Q25" i="1" s="1"/>
  <c r="P26" i="1"/>
  <c r="Q26" i="1"/>
  <c r="P27" i="1"/>
  <c r="Q27" i="1" s="1"/>
  <c r="N25" i="1"/>
  <c r="N26" i="1"/>
  <c r="N27" i="1"/>
  <c r="I25" i="1"/>
  <c r="N24" i="1"/>
  <c r="O24" i="1"/>
  <c r="P24" i="1" s="1"/>
  <c r="T24" i="1" l="1"/>
  <c r="Q24" i="1"/>
  <c r="N22" i="1"/>
  <c r="T22" i="1" s="1"/>
  <c r="O22" i="1"/>
  <c r="N23" i="1"/>
  <c r="O23" i="1"/>
  <c r="K41" i="1"/>
  <c r="N21" i="1"/>
  <c r="N32" i="1" l="1"/>
  <c r="P23" i="1"/>
  <c r="Q23" i="1" s="1"/>
  <c r="P22" i="1"/>
  <c r="Q22" i="1" s="1"/>
  <c r="T23" i="1"/>
  <c r="O21" i="1"/>
  <c r="T21" i="1" l="1"/>
  <c r="T32" i="1" s="1"/>
  <c r="U21" i="1"/>
  <c r="U31" i="1" s="1"/>
  <c r="P21" i="1"/>
  <c r="Q21" i="1" s="1"/>
  <c r="Q32" i="1" s="1"/>
  <c r="W39" i="1" l="1"/>
  <c r="W40" i="1" s="1"/>
  <c r="P38" i="1" l="1"/>
  <c r="Q33" i="1" l="1"/>
  <c r="O20" i="1"/>
  <c r="M20" i="1"/>
  <c r="Q34" i="1" l="1"/>
  <c r="Q35" i="1" s="1"/>
  <c r="N37" i="1" s="1"/>
  <c r="P39" i="1"/>
  <c r="S43" i="1"/>
  <c r="S44" i="1" l="1"/>
  <c r="P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2" i="1"/>
  <c r="P41" i="1"/>
  <c r="F18" i="3" l="1"/>
  <c r="P37" i="1" l="1"/>
  <c r="P43" i="1" s="1"/>
  <c r="P44" i="1" s="1"/>
  <c r="P45" i="1" s="1"/>
  <c r="D20" i="3" l="1"/>
  <c r="E20" i="3" s="1"/>
  <c r="E21" i="3" s="1"/>
  <c r="R20" i="1" l="1"/>
  <c r="D21" i="3"/>
  <c r="M43" i="3" s="1"/>
  <c r="D12" i="3" s="1"/>
  <c r="E15" i="3" s="1"/>
  <c r="A15" i="3" s="1"/>
  <c r="F20" i="3"/>
  <c r="F21" i="3" s="1"/>
  <c r="R24" i="1" l="1"/>
  <c r="S24" i="1" s="1"/>
  <c r="I24" i="1" s="1"/>
  <c r="R26" i="1"/>
  <c r="S26" i="1" s="1"/>
  <c r="R27" i="1"/>
  <c r="S27" i="1" s="1"/>
  <c r="R25" i="1"/>
  <c r="S25" i="1" s="1"/>
  <c r="R22" i="1"/>
  <c r="S22" i="1" s="1"/>
  <c r="I22" i="1" s="1"/>
  <c r="R23" i="1"/>
  <c r="S23" i="1" s="1"/>
  <c r="I23" i="1" s="1"/>
  <c r="P46" i="1"/>
  <c r="R21" i="1" l="1"/>
  <c r="F15" i="3"/>
  <c r="S21" i="1" l="1"/>
  <c r="I21" i="1" l="1"/>
  <c r="I31" i="1" l="1"/>
  <c r="I32" i="1" s="1"/>
  <c r="I33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<sst xmlns="http://schemas.openxmlformats.org/spreadsheetml/2006/main" count="243" uniqueCount="178">
  <si>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</si>
  <si>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</si>
  <si>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</si>
  <si>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</si>
  <si>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</si>
  <si>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</si>
  <si>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</si>
  <si>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</si>
  <si>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</si>
  <si>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</si>
  <si>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</si>
  <si>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</si>
  <si>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</si>
  <si>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</si>
  <si>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</si>
  <si>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</si>
  <si>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</si>
  <si>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</si>
  <si>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</si>
  <si>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</si>
  <si>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</si>
  <si>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</si>
  <si>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</si>
  <si>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</si>
  <si>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</si>
  <si>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</si>
  <si>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</si>
  <si>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</si>
  <si>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</si>
  <si>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</si>
  <si>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</si>
  <si>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</si>
  <si>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</si>
  <si>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</si>
  <si>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</si>
  <si>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</si>
  <si>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</si>
  <si>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</si>
  <si>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</si>
  <si>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</si>
  <si>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</si>
  <si>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</si>
  <si>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</si>
  <si>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</si>
  <si>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</si>
  <si>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</si>
  <si>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</si>
  <si>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</si>
  <si>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</si>
  <si>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</si>
  <si>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</si>
  <si>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</si>
  <si>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</si>
  <si>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</si>
  <si>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</si>
  <si>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</si>
  <si>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</si>
  <si>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</si>
  <si>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</si>
  <si>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</si>
  <si>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</si>
  <si>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</si>
  <si>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</si>
  <si>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</si>
  <si>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</si>
  <si>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</si>
  <si>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</si>
  <si>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</si>
  <si>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</si>
  <si>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</si>
  <si>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</si>
  <si>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</si>
  <si>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</si>
  <si>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</si>
  <si>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</si>
  <si>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</si>
  <si>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</si>
  <si>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</si>
  <si>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</si>
  <si>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</si>
  <si>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</si>
  <si>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</si>
  <si>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</si>
  <si>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</si>
  <si>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</si>
  <si>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</si>
  <si>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</si>
  <si>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</si>
  <si>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</si>
  <si>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</si>
  <si>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</si>
  <si>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</si>
  <si>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</si>
  <si>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</si>
  <si>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</si>
  <si>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</si>
  <si>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</si>
  <si>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</si>
  <si>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</si>
  <si>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</si>
  <si>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</si>
  <si>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</si>
  <si>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</si>
  <si>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</si>
  <si>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</si>
  <si>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</si>
  <si>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</si>
  <si>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</si>
  <si>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</si>
  <si>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</si>
  <si>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</si>
  <si>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</si>
  <si>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</si>
  <si>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</si>
  <si>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</si>
  <si>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</si>
  <si>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</si>
  <si>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</si>
  <si>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</si>
  <si>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</si>
  <si>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</si>
  <si>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</si>
  <si>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</si>
  <si>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</si>
  <si>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</si>
  <si>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</si>
  <si>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</si>
  <si>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</si>
  <si>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</si>
  <si>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</si>
  <si>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</si>
  <si>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</si>
  <si>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</si>
  <si>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</si>
  <si>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</si>
  <si>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</si>
  <si>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</si>
  <si>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</si>
  <si>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</si>
  <si>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</si>
  <si>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</si>
  <si>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</si>
  <si>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</si>
  <si>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</si>
  <si>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</si>
  <si>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</si>
  <si>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</si>
  <si>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</si>
  <si>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</si>
  <si>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</si>
  <si>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</si>
  <si>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</si>
  <si>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</si>
  <si>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</si>
  <si>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</si>
  <si>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</si>
  <si>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</si>
  <si>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</si>
  <si>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</si>
  <si>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</si>
  <si>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</si>
  <si>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</si>
  <si>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</si>
  <si>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</si>
  <si>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</si>
  <si>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</si>
  <si>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</si>
  <si>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</si>
  <si>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</si>
  <si>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</si>
  <si>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</si>
  <si>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11552</t>
  </si>
  <si>
    <t>MONTAJE Y CONSTRUCCION</t>
  </si>
  <si>
    <t>EDGAR LILLO</t>
  </si>
  <si>
    <t>SERVICIO CORTE 45°</t>
  </si>
  <si>
    <t>BLANCO MATE</t>
  </si>
  <si>
    <t>MESON LATERAL 180° MDF 30MM</t>
  </si>
  <si>
    <t>BANQUETA MDF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</si>
</sst>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34</xdr:row>
      <xdr:rowOff>8194</xdr:rowOff>
    </xdr:from>
    <xdr:to>
      <xdr:col>9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36</xdr:row>
      <xdr:rowOff>154305</xdr:rowOff>
    </xdr:from>
    <xdr:to>
      <xdr:col>8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6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6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VAN CORTADAS A LA MEDIDA Y ENCHAPADAS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8"/>
  <sheetViews>
    <sheetView tabSelected="1" topLeftCell="A14" zoomScale="93" zoomScaleNormal="93" workbookViewId="0">
      <selection activeCell="C26" sqref="C26"/>
    </sheetView>
  </sheetViews>
  <sheetFormatPr baseColWidth="10" defaultRowHeight="14.4" x14ac:dyDescent="0.3"/>
  <cols>
    <col min="1" max="1" width="6" customWidth="1"/>
    <col min="2" max="2" width="10.5546875" customWidth="1"/>
    <col min="3" max="3" width="33.44140625" customWidth="1"/>
    <col min="4" max="4" width="11.109375" customWidth="1"/>
    <col min="5" max="6" width="14.44140625" customWidth="1"/>
    <col min="7" max="7" width="31.77734375" customWidth="1"/>
    <col min="8" max="8" width="14" customWidth="1"/>
    <col min="9" max="9" width="14.21875" customWidth="1"/>
    <col min="10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38" t="s">
        <v>140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6" t="s">
        <v>136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6" t="s">
        <v>141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6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6" t="s">
        <v>161</v>
      </c>
      <c r="P6" s="30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6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18" t="s">
        <v>125</v>
      </c>
      <c r="C8" s="319"/>
      <c r="D8" s="320" t="s">
        <v>171</v>
      </c>
      <c r="G8" s="56"/>
      <c r="L8" s="49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1" t="s">
        <v>159</v>
      </c>
      <c r="C10" s="239" t="s">
        <v>172</v>
      </c>
      <c r="D10" s="239"/>
      <c r="E10" s="239"/>
      <c r="F10" s="239"/>
      <c r="G10" s="240" t="s">
        <v>167</v>
      </c>
      <c r="H10" s="271">
        <v>45869</v>
      </c>
      <c r="I10" s="241"/>
      <c r="L10" s="1"/>
      <c r="S10" s="2"/>
      <c r="T10" s="3"/>
      <c r="U10" s="3"/>
      <c r="V10" s="4"/>
      <c r="W10" s="2"/>
      <c r="X10" s="3"/>
    </row>
    <row r="11" spans="2:25" ht="16.8" x14ac:dyDescent="0.4">
      <c r="B11" s="280" t="s">
        <v>12</v>
      </c>
      <c r="C11" s="302"/>
      <c r="G11" t="s">
        <v>166</v>
      </c>
      <c r="H11" s="303" t="s">
        <v>170</v>
      </c>
      <c r="I11" s="281"/>
      <c r="R11" s="19"/>
      <c r="S11" s="22" t="s">
        <v>18</v>
      </c>
      <c r="T11" s="19"/>
    </row>
    <row r="12" spans="2:25" x14ac:dyDescent="0.3">
      <c r="B12" s="242" t="s">
        <v>142</v>
      </c>
      <c r="C12" s="304"/>
      <c r="D12" s="305"/>
      <c r="E12" s="305"/>
      <c r="F12" s="305"/>
      <c r="G12" s="305" t="s">
        <v>126</v>
      </c>
      <c r="H12" s="306" t="s">
        <v>133</v>
      </c>
      <c r="I12" s="243"/>
      <c r="R12" s="19"/>
      <c r="S12" s="22"/>
      <c r="T12" s="19"/>
    </row>
    <row r="13" spans="2:25" x14ac:dyDescent="0.3">
      <c r="B13" s="280" t="s">
        <v>143</v>
      </c>
      <c r="C13" t="s">
        <v>173</v>
      </c>
      <c r="G13" t="s">
        <v>165</v>
      </c>
      <c r="H13" s="307" t="s">
        <v>133</v>
      </c>
      <c r="I13" s="281"/>
      <c r="R13" s="19"/>
      <c r="S13" s="22"/>
      <c r="T13" s="19"/>
    </row>
    <row r="14" spans="2:25" x14ac:dyDescent="0.3">
      <c r="B14" s="242" t="s">
        <v>137</v>
      </c>
      <c r="C14" s="308"/>
      <c r="D14" s="305"/>
      <c r="E14" s="305"/>
      <c r="F14" s="305"/>
      <c r="G14" s="305" t="s">
        <v>134</v>
      </c>
      <c r="H14" s="309" t="s">
        <v>133</v>
      </c>
      <c r="I14" s="243"/>
      <c r="L14" s="26"/>
      <c r="R14" s="20"/>
      <c r="S14" s="23" t="s">
        <v>17</v>
      </c>
      <c r="T14" s="20"/>
    </row>
    <row r="15" spans="2:25" ht="15.6" x14ac:dyDescent="0.3">
      <c r="B15" s="280" t="s">
        <v>4</v>
      </c>
      <c r="C15" s="310">
        <v>56971387383</v>
      </c>
      <c r="D15" s="311"/>
      <c r="G15" t="s">
        <v>168</v>
      </c>
      <c r="H15" s="312" t="s">
        <v>133</v>
      </c>
      <c r="I15" s="281"/>
    </row>
    <row r="16" spans="2:25" ht="16.8" x14ac:dyDescent="0.4">
      <c r="B16" s="295" t="s">
        <v>3</v>
      </c>
      <c r="C16" s="313"/>
      <c r="D16" s="305"/>
      <c r="E16" s="305"/>
      <c r="F16" s="305"/>
      <c r="G16" s="314" t="s">
        <v>128</v>
      </c>
      <c r="H16" s="315" t="s">
        <v>160</v>
      </c>
      <c r="I16" s="243"/>
    </row>
    <row r="17" spans="2:26" ht="15" thickBot="1" x14ac:dyDescent="0.35">
      <c r="B17" s="292" t="s">
        <v>13</v>
      </c>
      <c r="C17" s="293" t="s">
        <v>163</v>
      </c>
      <c r="D17" s="294"/>
      <c r="E17" s="116"/>
      <c r="F17" s="116"/>
      <c r="G17" s="333" t="s">
        <v>162</v>
      </c>
      <c r="H17" s="333"/>
      <c r="I17" s="334"/>
      <c r="J17" s="258"/>
      <c r="K17" s="258"/>
      <c r="U17" s="6"/>
      <c r="V17" s="6"/>
    </row>
    <row r="18" spans="2:26" ht="15.75" customHeight="1" thickBot="1" x14ac:dyDescent="0.35">
      <c r="K18" s="44"/>
      <c r="L18" s="5"/>
      <c r="W18" s="9"/>
      <c r="Y18" s="6"/>
      <c r="Z18" s="6"/>
    </row>
    <row r="19" spans="2:26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6"/>
      <c r="I19" s="337"/>
      <c r="J19" s="259"/>
      <c r="K19" s="259"/>
      <c r="L19" s="5"/>
      <c r="M19" s="245"/>
      <c r="N19" s="14">
        <v>0.08</v>
      </c>
      <c r="O19" s="14"/>
      <c r="P19" s="14"/>
      <c r="Q19" s="246" t="s">
        <v>6</v>
      </c>
      <c r="R19" s="33" t="s">
        <v>20</v>
      </c>
      <c r="S19" s="34" t="s">
        <v>132</v>
      </c>
      <c r="T19" s="10" t="s">
        <v>135</v>
      </c>
      <c r="V19" s="9"/>
      <c r="W19" s="9"/>
      <c r="Y19" s="6"/>
      <c r="Z19" s="6"/>
    </row>
    <row r="20" spans="2:26" ht="17.399999999999999" x14ac:dyDescent="0.3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130</v>
      </c>
      <c r="G20" s="322" t="s">
        <v>8</v>
      </c>
      <c r="H20" s="322" t="s">
        <v>5</v>
      </c>
      <c r="I20" s="323" t="s">
        <v>6</v>
      </c>
      <c r="J20" s="260"/>
      <c r="K20" s="260"/>
      <c r="L20" s="44"/>
      <c r="M20" s="263" t="str">
        <f>B20</f>
        <v>UNIDAD</v>
      </c>
      <c r="N20" s="262" t="s">
        <v>130</v>
      </c>
      <c r="O20" s="36" t="str">
        <f t="shared" ref="O20" si="0">E20</f>
        <v>ANCHO</v>
      </c>
      <c r="P20" s="256" t="s">
        <v>131</v>
      </c>
      <c r="Q20" s="254" t="s">
        <v>16</v>
      </c>
      <c r="R20" s="247">
        <f>P45</f>
        <v>88149.758454106268</v>
      </c>
      <c r="S20" s="253">
        <v>20000</v>
      </c>
      <c r="T20" s="35"/>
      <c r="U20" s="14" t="s">
        <v>127</v>
      </c>
      <c r="V20" s="9"/>
      <c r="Y20" s="4"/>
    </row>
    <row r="21" spans="2:26" ht="17.399999999999999" x14ac:dyDescent="0.3">
      <c r="B21" s="326">
        <v>1</v>
      </c>
      <c r="C21" s="326" t="s">
        <v>176</v>
      </c>
      <c r="D21" s="327">
        <v>1.22</v>
      </c>
      <c r="E21" s="327">
        <v>0.4</v>
      </c>
      <c r="F21" s="327"/>
      <c r="G21" s="326" t="s">
        <v>175</v>
      </c>
      <c r="H21" s="328">
        <v>95722</v>
      </c>
      <c r="I21" s="328">
        <f>H21*B21</f>
        <v>95722</v>
      </c>
      <c r="J21" s="297"/>
      <c r="K21" s="260"/>
      <c r="L21" s="44"/>
      <c r="M21" s="44"/>
      <c r="N21" s="36">
        <f>D21+N$19</f>
        <v>1.3</v>
      </c>
      <c r="O21" s="36">
        <f>E21+$O$19</f>
        <v>0.4</v>
      </c>
      <c r="P21" s="256">
        <f t="shared" ref="P21" si="1">N21*O21</f>
        <v>0.52</v>
      </c>
      <c r="Q21" s="254">
        <f t="shared" ref="Q21" si="2">P21*M21</f>
        <v>0</v>
      </c>
      <c r="R21" s="247">
        <f t="shared" ref="R21" si="3">R$20*P21</f>
        <v>45837.874396135259</v>
      </c>
      <c r="S21" s="296">
        <f t="shared" ref="S21" si="4">R21+S$20</f>
        <v>65837.874396135259</v>
      </c>
      <c r="T21" s="284">
        <f>N21*M21</f>
        <v>0</v>
      </c>
      <c r="U21" s="43">
        <f>O21*2*M21*2</f>
        <v>0</v>
      </c>
      <c r="V21" s="9"/>
      <c r="Y21" s="4"/>
    </row>
    <row r="22" spans="2:26" ht="17.399999999999999" x14ac:dyDescent="0.3">
      <c r="B22" s="326">
        <v>1</v>
      </c>
      <c r="C22" s="326" t="s">
        <v>176</v>
      </c>
      <c r="D22" s="327">
        <v>1.7</v>
      </c>
      <c r="E22" s="327">
        <v>0.4</v>
      </c>
      <c r="F22" s="327"/>
      <c r="G22" s="326" t="s">
        <v>175</v>
      </c>
      <c r="H22" s="328">
        <v>121835</v>
      </c>
      <c r="I22" s="328">
        <f t="shared" ref="I22:I23" si="5">H22*B22</f>
        <v>121835</v>
      </c>
      <c r="J22" s="297"/>
      <c r="K22" s="260"/>
      <c r="L22" s="44"/>
      <c r="M22" s="332"/>
      <c r="N22" s="36">
        <f t="shared" ref="N22:N23" si="6">D22+N$19</f>
        <v>1.78</v>
      </c>
      <c r="O22" s="36">
        <f t="shared" ref="O22:O23" si="7">E22+$O$19</f>
        <v>0.4</v>
      </c>
      <c r="P22" s="256">
        <f t="shared" ref="P22:P23" si="8">N22*O22</f>
        <v>0.71200000000000008</v>
      </c>
      <c r="Q22" s="254">
        <f t="shared" ref="Q22:Q23" si="9">P22*M22</f>
        <v>0</v>
      </c>
      <c r="R22" s="247">
        <f t="shared" ref="R22:R23" si="10">R$20*P22</f>
        <v>62762.628019323667</v>
      </c>
      <c r="S22" s="296">
        <f t="shared" ref="S22:S23" si="11">R22+S$20</f>
        <v>82762.62801932366</v>
      </c>
      <c r="T22" s="284">
        <f t="shared" ref="T22:T23" si="12">N22*M22</f>
        <v>0</v>
      </c>
      <c r="U22" s="43"/>
      <c r="V22" s="9"/>
      <c r="Y22" s="4"/>
    </row>
    <row r="23" spans="2:26" ht="17.399999999999999" x14ac:dyDescent="0.3">
      <c r="B23" s="326">
        <v>1</v>
      </c>
      <c r="C23" s="326" t="s">
        <v>176</v>
      </c>
      <c r="D23" s="327">
        <v>1.5</v>
      </c>
      <c r="E23" s="327">
        <v>0.4</v>
      </c>
      <c r="F23" s="327"/>
      <c r="G23" s="326" t="s">
        <v>175</v>
      </c>
      <c r="H23" s="328">
        <v>110954</v>
      </c>
      <c r="I23" s="328">
        <f t="shared" si="5"/>
        <v>110954</v>
      </c>
      <c r="J23" s="297"/>
      <c r="K23" s="260"/>
      <c r="L23" s="44"/>
      <c r="M23" s="44"/>
      <c r="N23" s="36">
        <f t="shared" si="6"/>
        <v>1.58</v>
      </c>
      <c r="O23" s="36">
        <f t="shared" si="7"/>
        <v>0.4</v>
      </c>
      <c r="P23" s="256">
        <f t="shared" si="8"/>
        <v>0.63200000000000012</v>
      </c>
      <c r="Q23" s="254">
        <f t="shared" si="9"/>
        <v>0</v>
      </c>
      <c r="R23" s="247">
        <f t="shared" si="10"/>
        <v>55710.647342995173</v>
      </c>
      <c r="S23" s="296">
        <f t="shared" si="11"/>
        <v>75710.647342995173</v>
      </c>
      <c r="T23" s="284">
        <f t="shared" si="12"/>
        <v>0</v>
      </c>
      <c r="U23" s="43"/>
      <c r="V23" s="9"/>
      <c r="Y23" s="4"/>
    </row>
    <row r="24" spans="2:26" ht="17.399999999999999" x14ac:dyDescent="0.3">
      <c r="B24" s="326">
        <v>1</v>
      </c>
      <c r="C24" s="326" t="s">
        <v>176</v>
      </c>
      <c r="D24" s="327">
        <v>1.7</v>
      </c>
      <c r="E24" s="327">
        <v>0.4</v>
      </c>
      <c r="F24" s="327"/>
      <c r="G24" s="326" t="s">
        <v>175</v>
      </c>
      <c r="H24" s="328">
        <v>121835</v>
      </c>
      <c r="I24" s="328">
        <f t="shared" ref="I24:I27" si="13">H24*B24</f>
        <v>121835</v>
      </c>
      <c r="J24" s="297"/>
      <c r="K24" s="260"/>
      <c r="L24" s="44"/>
      <c r="M24" s="44"/>
      <c r="N24" s="36">
        <f t="shared" ref="N24:N27" si="14">D24+N$19</f>
        <v>1.78</v>
      </c>
      <c r="O24" s="36">
        <f t="shared" ref="O24" si="15">E24+$O$19</f>
        <v>0.4</v>
      </c>
      <c r="P24" s="256">
        <f t="shared" ref="P24" si="16">N24*O24</f>
        <v>0.71200000000000008</v>
      </c>
      <c r="Q24" s="254">
        <f t="shared" ref="Q24" si="17">P24*M24</f>
        <v>0</v>
      </c>
      <c r="R24" s="247">
        <f t="shared" ref="R24" si="18">R$20*P24</f>
        <v>62762.628019323667</v>
      </c>
      <c r="S24" s="296">
        <f t="shared" ref="S24" si="19">R24+S$20</f>
        <v>82762.62801932366</v>
      </c>
      <c r="T24" s="284">
        <f t="shared" ref="T24" si="20">N24*M24</f>
        <v>0</v>
      </c>
      <c r="U24" s="43"/>
      <c r="V24" s="9"/>
      <c r="Y24" s="4"/>
    </row>
    <row r="25" spans="2:26" ht="17.399999999999999" x14ac:dyDescent="0.3">
      <c r="B25" s="326">
        <v>2</v>
      </c>
      <c r="C25" s="326" t="s">
        <v>174</v>
      </c>
      <c r="D25" s="327"/>
      <c r="E25" s="327"/>
      <c r="F25" s="327"/>
      <c r="G25" s="326"/>
      <c r="H25" s="328">
        <v>15000</v>
      </c>
      <c r="I25" s="328">
        <f t="shared" si="13"/>
        <v>30000</v>
      </c>
      <c r="J25" s="297"/>
      <c r="K25" s="260"/>
      <c r="L25" s="44"/>
      <c r="M25" s="44"/>
      <c r="N25" s="36">
        <f t="shared" si="14"/>
        <v>0.08</v>
      </c>
      <c r="O25" s="36"/>
      <c r="P25" s="256">
        <f t="shared" ref="P25:P27" si="21">N25*O25</f>
        <v>0</v>
      </c>
      <c r="Q25" s="254">
        <f t="shared" ref="Q25:Q27" si="22">P25*M25</f>
        <v>0</v>
      </c>
      <c r="R25" s="247">
        <f t="shared" ref="R25:R27" si="23">R$20*P25</f>
        <v>0</v>
      </c>
      <c r="S25" s="296">
        <f t="shared" ref="S25:S27" si="24">R25+S$20</f>
        <v>20000</v>
      </c>
      <c r="T25" s="284"/>
      <c r="U25" s="43"/>
      <c r="V25" s="9"/>
      <c r="Y25" s="4"/>
    </row>
    <row r="26" spans="2:26" ht="17.399999999999999" x14ac:dyDescent="0.3">
      <c r="B26" s="326">
        <v>1</v>
      </c>
      <c r="C26" s="326" t="s">
        <v>177</v>
      </c>
      <c r="D26" s="327">
        <v>1.05</v>
      </c>
      <c r="E26" s="327">
        <v>0.25</v>
      </c>
      <c r="F26" s="327">
        <v>0.45</v>
      </c>
      <c r="G26" s="326" t="s">
        <v>175</v>
      </c>
      <c r="H26" s="328">
        <v>134551</v>
      </c>
      <c r="I26" s="328">
        <f t="shared" si="13"/>
        <v>134551</v>
      </c>
      <c r="J26" s="297"/>
      <c r="K26" s="260"/>
      <c r="L26" s="44"/>
      <c r="M26" s="44">
        <v>1</v>
      </c>
      <c r="N26" s="36">
        <f t="shared" si="14"/>
        <v>1.1300000000000001</v>
      </c>
      <c r="O26" s="36">
        <v>1.1499999999999999</v>
      </c>
      <c r="P26" s="256">
        <f t="shared" si="21"/>
        <v>1.2995000000000001</v>
      </c>
      <c r="Q26" s="254">
        <f t="shared" si="22"/>
        <v>1.2995000000000001</v>
      </c>
      <c r="R26" s="247">
        <f t="shared" si="23"/>
        <v>114550.61111111111</v>
      </c>
      <c r="S26" s="296">
        <f t="shared" si="24"/>
        <v>134550.61111111112</v>
      </c>
      <c r="T26" s="284"/>
      <c r="U26" s="43"/>
      <c r="V26" s="9"/>
      <c r="Y26" s="4"/>
    </row>
    <row r="27" spans="2:26" ht="17.399999999999999" x14ac:dyDescent="0.3">
      <c r="B27" s="326">
        <v>1</v>
      </c>
      <c r="C27" s="326" t="s">
        <v>177</v>
      </c>
      <c r="D27" s="327">
        <v>1.04</v>
      </c>
      <c r="E27" s="327">
        <v>0.25</v>
      </c>
      <c r="F27" s="327">
        <v>0.45</v>
      </c>
      <c r="G27" s="326" t="s">
        <v>175</v>
      </c>
      <c r="H27" s="328">
        <v>133537</v>
      </c>
      <c r="I27" s="328">
        <f t="shared" si="13"/>
        <v>133537</v>
      </c>
      <c r="J27" s="297"/>
      <c r="K27" s="260"/>
      <c r="L27" s="44"/>
      <c r="M27" s="44">
        <v>1</v>
      </c>
      <c r="N27" s="36">
        <f t="shared" si="14"/>
        <v>1.1200000000000001</v>
      </c>
      <c r="O27" s="36">
        <v>1.1499999999999999</v>
      </c>
      <c r="P27" s="256">
        <f t="shared" si="21"/>
        <v>1.288</v>
      </c>
      <c r="Q27" s="254">
        <f t="shared" si="22"/>
        <v>1.288</v>
      </c>
      <c r="R27" s="247">
        <f t="shared" si="23"/>
        <v>113536.88888888888</v>
      </c>
      <c r="S27" s="296">
        <f t="shared" si="24"/>
        <v>133536.88888888888</v>
      </c>
      <c r="T27" s="284"/>
      <c r="U27" s="43"/>
      <c r="V27" s="9"/>
      <c r="Y27" s="4"/>
    </row>
    <row r="28" spans="2:26" ht="17.399999999999999" x14ac:dyDescent="0.3">
      <c r="B28" s="278"/>
      <c r="C28" s="345"/>
      <c r="D28" s="279"/>
      <c r="E28" s="279"/>
      <c r="F28" s="279"/>
      <c r="G28" s="345"/>
      <c r="H28" s="297"/>
      <c r="I28" s="297"/>
      <c r="J28" s="297"/>
      <c r="K28" s="260"/>
      <c r="L28" s="44"/>
      <c r="M28" s="44"/>
      <c r="N28" s="36"/>
      <c r="O28" s="36"/>
      <c r="P28" s="256"/>
      <c r="Q28" s="254"/>
      <c r="R28" s="247"/>
      <c r="S28" s="296"/>
      <c r="T28" s="284"/>
      <c r="U28" s="43"/>
      <c r="V28" s="9"/>
      <c r="Y28" s="4"/>
    </row>
    <row r="29" spans="2:26" ht="17.399999999999999" x14ac:dyDescent="0.3">
      <c r="B29" s="278"/>
      <c r="C29" s="345"/>
      <c r="D29" s="279"/>
      <c r="E29" s="279"/>
      <c r="F29" s="279"/>
      <c r="G29" s="345"/>
      <c r="H29" s="297"/>
      <c r="I29" s="297"/>
      <c r="J29" s="297"/>
      <c r="K29" s="260"/>
      <c r="L29" s="44"/>
      <c r="M29" s="44"/>
      <c r="N29" s="36"/>
      <c r="O29" s="36"/>
      <c r="P29" s="256"/>
      <c r="Q29" s="254"/>
      <c r="R29" s="247"/>
      <c r="S29" s="296"/>
      <c r="T29" s="284"/>
      <c r="U29" s="43"/>
      <c r="V29" s="9"/>
      <c r="Y29" s="4"/>
    </row>
    <row r="30" spans="2:26" ht="18" thickBot="1" x14ac:dyDescent="0.35">
      <c r="B30" s="278"/>
      <c r="C30" s="278"/>
      <c r="D30" s="279"/>
      <c r="E30" s="279"/>
      <c r="F30" s="279"/>
      <c r="G30" s="278"/>
      <c r="H30" s="260"/>
      <c r="I30" s="298"/>
      <c r="J30" s="300"/>
      <c r="K30" s="229"/>
      <c r="L30" s="44"/>
      <c r="M30" s="44"/>
      <c r="N30" s="36"/>
      <c r="O30" s="36"/>
      <c r="P30" s="256"/>
      <c r="Q30" s="254"/>
      <c r="R30" s="247"/>
      <c r="S30" s="253"/>
      <c r="T30" s="284"/>
      <c r="U30" s="14"/>
      <c r="V30" s="9"/>
      <c r="Y30" s="4"/>
    </row>
    <row r="31" spans="2:26" ht="17.399999999999999" x14ac:dyDescent="0.3">
      <c r="B31" s="278"/>
      <c r="C31" s="278"/>
      <c r="D31" s="279"/>
      <c r="E31" s="279"/>
      <c r="F31" s="279"/>
      <c r="G31" s="278"/>
      <c r="H31" s="301" t="s">
        <v>28</v>
      </c>
      <c r="I31" s="329">
        <f>SUM(I21:I30)</f>
        <v>748434</v>
      </c>
      <c r="J31" s="299"/>
      <c r="K31" s="260"/>
      <c r="L31" s="316"/>
      <c r="M31" s="44"/>
      <c r="N31" s="36"/>
      <c r="O31" s="36"/>
      <c r="P31" s="256"/>
      <c r="Q31" s="254"/>
      <c r="R31" s="247"/>
      <c r="S31" s="253"/>
      <c r="T31" s="284"/>
      <c r="U31" s="43">
        <f>SUM(U21:U30)</f>
        <v>0</v>
      </c>
      <c r="V31" s="9"/>
      <c r="Y31" s="4"/>
    </row>
    <row r="32" spans="2:26" ht="17.399999999999999" x14ac:dyDescent="0.3">
      <c r="B32" s="272"/>
      <c r="C32" s="275"/>
      <c r="D32" s="276"/>
      <c r="E32" s="276"/>
      <c r="F32" s="276"/>
      <c r="G32" s="277"/>
      <c r="H32" s="283" t="s">
        <v>51</v>
      </c>
      <c r="I32" s="330">
        <f>I31*19%</f>
        <v>142202.46</v>
      </c>
      <c r="J32" s="299"/>
      <c r="K32" s="260"/>
      <c r="L32" s="316"/>
      <c r="M32" s="44"/>
      <c r="N32" s="36">
        <f>SUM(N21:N23)</f>
        <v>4.66</v>
      </c>
      <c r="O32" s="12"/>
      <c r="P32" s="12"/>
      <c r="Q32" s="248">
        <f>SUM(Q21:Q30)</f>
        <v>2.5875000000000004</v>
      </c>
      <c r="R32" s="14"/>
      <c r="S32" s="12"/>
      <c r="T32" s="235">
        <f>SUM(T21:T31)</f>
        <v>0</v>
      </c>
      <c r="U32" s="43"/>
      <c r="V32" s="9"/>
      <c r="Y32" s="4"/>
    </row>
    <row r="33" spans="1:25" ht="18" thickBot="1" x14ac:dyDescent="0.35">
      <c r="B33" s="270"/>
      <c r="C33" s="274"/>
      <c r="D33" s="267"/>
      <c r="E33" s="267"/>
      <c r="F33" s="267"/>
      <c r="G33" s="268"/>
      <c r="H33" s="273" t="s">
        <v>6</v>
      </c>
      <c r="I33" s="331">
        <f>I31+I32</f>
        <v>890636.46</v>
      </c>
      <c r="J33" s="299"/>
      <c r="K33" s="260"/>
      <c r="L33" s="316"/>
      <c r="M33" s="44"/>
      <c r="N33" s="36"/>
      <c r="O33" s="12"/>
      <c r="P33" s="12"/>
      <c r="Q33" s="248">
        <f>Q32</f>
        <v>2.5875000000000004</v>
      </c>
      <c r="R33" s="14"/>
      <c r="S33" s="12"/>
      <c r="T33" s="235"/>
      <c r="U33" s="43"/>
      <c r="V33" s="9"/>
      <c r="Y33" s="4"/>
    </row>
    <row r="34" spans="1:25" ht="17.399999999999999" x14ac:dyDescent="0.3">
      <c r="B34" s="270"/>
      <c r="C34" s="266"/>
      <c r="D34" s="267"/>
      <c r="E34" s="267"/>
      <c r="F34" s="267"/>
      <c r="G34" s="268"/>
      <c r="K34" s="260"/>
      <c r="L34" s="316"/>
      <c r="M34" s="44"/>
      <c r="N34" s="14"/>
      <c r="O34" s="12"/>
      <c r="P34" s="12"/>
      <c r="Q34" s="36">
        <f>Q33*20%</f>
        <v>0.51750000000000007</v>
      </c>
      <c r="R34" s="36" t="s">
        <v>129</v>
      </c>
      <c r="S34" s="39"/>
      <c r="T34" s="236"/>
      <c r="U34" s="14"/>
      <c r="V34" s="9"/>
      <c r="Y34" s="4"/>
    </row>
    <row r="35" spans="1:25" ht="17.399999999999999" x14ac:dyDescent="0.35">
      <c r="B35" s="264"/>
      <c r="C35" s="226"/>
      <c r="D35" s="226"/>
      <c r="E35" s="229"/>
      <c r="F35" s="229"/>
      <c r="G35" s="230"/>
      <c r="H35" s="226"/>
      <c r="I35" s="269"/>
      <c r="J35" s="269"/>
      <c r="K35" s="260"/>
      <c r="L35" s="44"/>
      <c r="M35" s="44"/>
      <c r="N35" s="14"/>
      <c r="O35" s="12"/>
      <c r="P35" s="12"/>
      <c r="Q35" s="43">
        <f>Q33+Q34</f>
        <v>3.1050000000000004</v>
      </c>
      <c r="R35" s="14"/>
      <c r="S35" s="14"/>
      <c r="T35" s="234"/>
      <c r="U35" s="14"/>
      <c r="V35" s="9"/>
      <c r="Y35" s="4"/>
    </row>
    <row r="36" spans="1:25" ht="17.399999999999999" x14ac:dyDescent="0.35">
      <c r="B36" s="231"/>
      <c r="C36" s="232"/>
      <c r="D36" s="233"/>
      <c r="E36" s="231"/>
      <c r="F36" s="231"/>
      <c r="G36" s="226"/>
      <c r="H36" s="226"/>
      <c r="J36" s="269"/>
      <c r="K36" s="260"/>
      <c r="L36" s="44"/>
      <c r="M36" s="44"/>
      <c r="N36" s="14"/>
      <c r="O36" s="14"/>
      <c r="P36" s="14"/>
      <c r="Q36" s="14"/>
      <c r="R36" s="14"/>
      <c r="S36" s="14"/>
      <c r="T36" s="236"/>
      <c r="U36" s="14"/>
      <c r="V36" s="288" t="s">
        <v>21</v>
      </c>
      <c r="W36" s="285" t="s">
        <v>149</v>
      </c>
      <c r="X36" s="289">
        <v>44971</v>
      </c>
      <c r="Y36" s="290"/>
    </row>
    <row r="37" spans="1:25" ht="17.399999999999999" x14ac:dyDescent="0.35">
      <c r="B37" s="226"/>
      <c r="C37" s="226"/>
      <c r="D37" s="226"/>
      <c r="E37" s="226"/>
      <c r="F37" s="226"/>
      <c r="G37" s="226"/>
      <c r="H37" s="226"/>
      <c r="K37" s="260"/>
      <c r="L37" s="44"/>
      <c r="M37" s="44"/>
      <c r="N37" s="36">
        <f>Q35*2</f>
        <v>6.2100000000000009</v>
      </c>
      <c r="O37" s="12">
        <v>3500</v>
      </c>
      <c r="P37" s="12">
        <f t="shared" ref="P37:P42" si="25">N37*O37</f>
        <v>21735.000000000004</v>
      </c>
      <c r="Q37" s="14" t="s">
        <v>21</v>
      </c>
      <c r="R37" s="14"/>
      <c r="S37" s="14"/>
      <c r="T37" s="237"/>
      <c r="U37" s="14"/>
      <c r="V37" s="288" t="s">
        <v>150</v>
      </c>
      <c r="W37" s="285">
        <v>3625</v>
      </c>
      <c r="X37" s="56" t="s">
        <v>151</v>
      </c>
      <c r="Y37" s="290"/>
    </row>
    <row r="38" spans="1:25" ht="17.399999999999999" x14ac:dyDescent="0.35">
      <c r="A38" s="226"/>
      <c r="B38" s="226"/>
      <c r="C38" s="226"/>
      <c r="D38" s="226"/>
      <c r="E38" s="226"/>
      <c r="F38" s="226"/>
      <c r="G38" s="226"/>
      <c r="H38" s="226"/>
      <c r="I38" s="226"/>
      <c r="K38" s="260"/>
      <c r="L38" s="44"/>
      <c r="M38" s="44"/>
      <c r="N38" s="244">
        <v>1</v>
      </c>
      <c r="O38" s="12">
        <v>45000</v>
      </c>
      <c r="P38" s="12">
        <f t="shared" si="25"/>
        <v>45000</v>
      </c>
      <c r="Q38" s="36" t="s">
        <v>169</v>
      </c>
      <c r="R38" s="39"/>
      <c r="S38" s="14"/>
      <c r="T38" s="236"/>
      <c r="U38" s="14"/>
      <c r="V38" s="288"/>
      <c r="W38" s="56">
        <v>906.25</v>
      </c>
      <c r="X38" s="56" t="s">
        <v>152</v>
      </c>
      <c r="Y38" s="290"/>
    </row>
    <row r="39" spans="1:25" s="226" customFormat="1" ht="17.399999999999999" x14ac:dyDescent="0.35">
      <c r="B39" s="21" t="s">
        <v>148</v>
      </c>
      <c r="K39" s="257"/>
      <c r="L39" s="228"/>
      <c r="M39" s="245"/>
      <c r="N39" s="14"/>
      <c r="O39" s="245">
        <v>80000</v>
      </c>
      <c r="P39" s="12">
        <f t="shared" si="25"/>
        <v>0</v>
      </c>
      <c r="Q39" s="36" t="s">
        <v>30</v>
      </c>
      <c r="R39" s="39"/>
      <c r="T39" s="236"/>
      <c r="U39" s="251"/>
      <c r="V39" s="56"/>
      <c r="W39" s="56">
        <f>W38*20%</f>
        <v>181.25</v>
      </c>
      <c r="X39" s="290" t="s">
        <v>153</v>
      </c>
      <c r="Y39" s="56"/>
    </row>
    <row r="40" spans="1:25" s="226" customFormat="1" ht="17.399999999999999" x14ac:dyDescent="0.35">
      <c r="B40" s="21" t="s">
        <v>164</v>
      </c>
      <c r="C40"/>
      <c r="D40"/>
      <c r="E40"/>
      <c r="F40"/>
      <c r="G40"/>
      <c r="K40" s="257">
        <v>46000</v>
      </c>
      <c r="L40" s="228"/>
      <c r="M40" s="245"/>
      <c r="N40" s="14">
        <v>1</v>
      </c>
      <c r="O40" s="245">
        <v>24500</v>
      </c>
      <c r="P40" s="12">
        <f t="shared" si="25"/>
        <v>24500</v>
      </c>
      <c r="Q40" s="14" t="s">
        <v>139</v>
      </c>
      <c r="R40" s="17"/>
      <c r="T40" s="234"/>
      <c r="U40" s="251"/>
      <c r="V40" s="56"/>
      <c r="W40" s="56">
        <f>W38+W39</f>
        <v>1087.5</v>
      </c>
      <c r="X40" s="290" t="s">
        <v>154</v>
      </c>
      <c r="Y40" s="56"/>
    </row>
    <row r="41" spans="1:25" s="226" customFormat="1" ht="17.399999999999999" x14ac:dyDescent="0.35">
      <c r="B41" s="26" t="s">
        <v>124</v>
      </c>
      <c r="C41"/>
      <c r="D41"/>
      <c r="E41"/>
      <c r="F41"/>
      <c r="G41" s="225" t="s">
        <v>15</v>
      </c>
      <c r="K41" s="257">
        <f>K40/1.19</f>
        <v>38655.462184873948</v>
      </c>
      <c r="L41" s="255"/>
      <c r="M41" s="245"/>
      <c r="N41" s="244"/>
      <c r="O41" s="245">
        <v>900</v>
      </c>
      <c r="P41" s="12">
        <f t="shared" si="25"/>
        <v>0</v>
      </c>
      <c r="Q41" s="14" t="s">
        <v>32</v>
      </c>
      <c r="R41" s="14"/>
      <c r="S41" s="226">
        <v>1.52</v>
      </c>
      <c r="T41" s="234"/>
      <c r="U41" s="234"/>
    </row>
    <row r="42" spans="1:25" s="226" customFormat="1" ht="17.399999999999999" x14ac:dyDescent="0.35">
      <c r="K42" s="282"/>
      <c r="L42" s="255"/>
      <c r="M42" s="245"/>
      <c r="N42" s="261"/>
      <c r="O42" s="12">
        <v>1500</v>
      </c>
      <c r="P42" s="12">
        <f t="shared" si="25"/>
        <v>0</v>
      </c>
      <c r="Q42" s="14" t="s">
        <v>22</v>
      </c>
      <c r="R42" s="14"/>
      <c r="S42">
        <v>2.44</v>
      </c>
      <c r="T42"/>
      <c r="U42" s="234"/>
      <c r="Y42" s="227"/>
    </row>
    <row r="43" spans="1:25" s="226" customFormat="1" ht="17.399999999999999" x14ac:dyDescent="0.35">
      <c r="L43" s="255"/>
      <c r="M43" s="245"/>
      <c r="N43" s="14"/>
      <c r="O43" s="12"/>
      <c r="P43" s="12">
        <f>SUM(P37:P42)</f>
        <v>91235</v>
      </c>
      <c r="Q43" s="36" t="s">
        <v>23</v>
      </c>
      <c r="R43" s="14"/>
      <c r="S43">
        <f>S41*S42</f>
        <v>3.7088000000000001</v>
      </c>
      <c r="T43"/>
      <c r="U43" s="234"/>
      <c r="Y43" s="227"/>
    </row>
    <row r="44" spans="1:25" s="226" customFormat="1" ht="17.399999999999999" x14ac:dyDescent="0.35">
      <c r="M44" s="245"/>
      <c r="N44" s="249" t="s">
        <v>33</v>
      </c>
      <c r="O44" s="12"/>
      <c r="P44" s="250">
        <f>P43*2.5</f>
        <v>228087.5</v>
      </c>
      <c r="Q44" s="14" t="s">
        <v>138</v>
      </c>
      <c r="R44" s="14"/>
      <c r="S44" s="37">
        <f>Q35/S43</f>
        <v>0.83719801553063</v>
      </c>
      <c r="T44"/>
      <c r="U44" s="252"/>
    </row>
    <row r="45" spans="1:25" s="226" customFormat="1" ht="17.399999999999999" x14ac:dyDescent="0.35">
      <c r="H45"/>
      <c r="I45" s="255"/>
      <c r="J45" s="255"/>
      <c r="K45" s="255"/>
      <c r="M45" s="245"/>
      <c r="N45" s="14"/>
      <c r="O45" s="12"/>
      <c r="P45" s="12">
        <f>P44/Q33</f>
        <v>88149.758454106268</v>
      </c>
      <c r="Q45" s="42" t="s">
        <v>24</v>
      </c>
      <c r="R45" s="14"/>
      <c r="S45" s="14"/>
      <c r="T45"/>
      <c r="U45" s="234"/>
      <c r="V45" s="56" t="s">
        <v>155</v>
      </c>
      <c r="W45" s="285">
        <v>43650</v>
      </c>
    </row>
    <row r="46" spans="1:25" s="226" customFormat="1" ht="17.399999999999999" x14ac:dyDescent="0.35">
      <c r="H46"/>
      <c r="M46" s="245"/>
      <c r="N46" s="13"/>
      <c r="O46" s="14"/>
      <c r="P46" s="17">
        <f>P44/P43</f>
        <v>2.5</v>
      </c>
      <c r="Q46" s="15"/>
      <c r="R46"/>
      <c r="S46"/>
      <c r="T46"/>
      <c r="U46" s="234"/>
      <c r="V46" s="56" t="s">
        <v>157</v>
      </c>
      <c r="W46" s="286" t="s">
        <v>156</v>
      </c>
      <c r="X46" s="56">
        <v>2.4</v>
      </c>
    </row>
    <row r="47" spans="1:25" s="226" customFormat="1" ht="17.399999999999999" x14ac:dyDescent="0.35">
      <c r="D47" s="279"/>
      <c r="E47" s="279"/>
      <c r="F47" s="279"/>
      <c r="G47" s="278"/>
      <c r="H47" s="317"/>
      <c r="I47" s="324"/>
      <c r="M47" s="12"/>
      <c r="U47" s="234"/>
      <c r="V47" s="56" t="s">
        <v>158</v>
      </c>
      <c r="W47" s="287">
        <v>395.37</v>
      </c>
    </row>
    <row r="48" spans="1:25" s="226" customFormat="1" ht="17.399999999999999" x14ac:dyDescent="0.35">
      <c r="B48"/>
      <c r="C48" s="325"/>
      <c r="D48" s="279"/>
      <c r="E48" s="279"/>
      <c r="F48" s="279"/>
      <c r="G48" s="278"/>
      <c r="H48" s="317"/>
      <c r="I48" s="324"/>
      <c r="M48" s="12"/>
      <c r="U48" s="234"/>
      <c r="V48" s="56" t="s">
        <v>153</v>
      </c>
      <c r="W48" s="56">
        <v>474.45</v>
      </c>
    </row>
    <row r="49" spans="4:23" ht="14.4" customHeight="1" x14ac:dyDescent="0.35">
      <c r="D49" s="279"/>
      <c r="E49" s="279"/>
      <c r="F49" s="279"/>
      <c r="G49" s="278"/>
      <c r="H49" s="317"/>
      <c r="I49" s="324"/>
      <c r="M49" s="12"/>
      <c r="V49" s="56"/>
      <c r="W49" s="56"/>
    </row>
    <row r="50" spans="4:23" ht="17.399999999999999" x14ac:dyDescent="0.35">
      <c r="D50" s="279"/>
      <c r="E50" s="279"/>
      <c r="F50" s="279"/>
      <c r="G50" s="278"/>
      <c r="H50" s="317"/>
      <c r="I50" s="324"/>
      <c r="M50" s="245"/>
    </row>
    <row r="51" spans="4:23" ht="17.399999999999999" x14ac:dyDescent="0.35">
      <c r="D51" s="279"/>
      <c r="E51" s="279"/>
      <c r="F51" s="279"/>
      <c r="G51" s="278"/>
      <c r="H51" s="317"/>
      <c r="I51" s="324"/>
      <c r="M51" s="245"/>
      <c r="U51" s="265"/>
    </row>
    <row r="52" spans="4:23" ht="17.399999999999999" x14ac:dyDescent="0.35">
      <c r="D52" s="279"/>
      <c r="E52" s="279"/>
      <c r="F52" s="279"/>
      <c r="G52" s="278"/>
      <c r="H52" s="317"/>
      <c r="I52" s="324"/>
      <c r="M52" s="245"/>
    </row>
    <row r="53" spans="4:23" ht="15" customHeight="1" x14ac:dyDescent="0.35">
      <c r="D53" s="279"/>
      <c r="E53" s="279"/>
      <c r="F53" s="279"/>
      <c r="G53" s="278"/>
      <c r="H53" s="317"/>
      <c r="I53" s="324"/>
    </row>
    <row r="54" spans="4:23" ht="17.399999999999999" x14ac:dyDescent="0.35">
      <c r="D54" s="279"/>
      <c r="E54" s="279"/>
      <c r="F54" s="279"/>
      <c r="G54" s="278"/>
      <c r="H54" s="317"/>
      <c r="I54" s="324"/>
    </row>
    <row r="55" spans="4:23" ht="17.399999999999999" x14ac:dyDescent="0.35">
      <c r="D55" s="279"/>
      <c r="E55" s="279"/>
      <c r="F55" s="279"/>
      <c r="G55" s="278"/>
      <c r="H55" s="317"/>
      <c r="I55" s="324"/>
      <c r="P55">
        <v>40935</v>
      </c>
      <c r="Q55" t="s">
        <v>16</v>
      </c>
      <c r="R55" t="s">
        <v>26</v>
      </c>
    </row>
    <row r="56" spans="4:23" ht="17.399999999999999" x14ac:dyDescent="0.35">
      <c r="D56" s="279"/>
      <c r="E56" s="279"/>
      <c r="F56" s="279"/>
      <c r="G56" s="278"/>
      <c r="H56" s="317"/>
      <c r="I56" s="324"/>
    </row>
    <row r="57" spans="4:23" ht="17.399999999999999" x14ac:dyDescent="0.35">
      <c r="D57" s="279"/>
      <c r="E57" s="279"/>
      <c r="F57" s="279"/>
      <c r="G57" s="278"/>
      <c r="H57" s="317"/>
      <c r="I57" s="324"/>
      <c r="P57" s="51"/>
      <c r="Q57" s="51"/>
    </row>
    <row r="58" spans="4:23" ht="17.399999999999999" x14ac:dyDescent="0.35">
      <c r="D58" s="279"/>
      <c r="E58" s="279"/>
      <c r="F58" s="279"/>
      <c r="G58" s="278"/>
      <c r="H58" s="317"/>
      <c r="I58" s="324"/>
      <c r="T58" s="18"/>
      <c r="U58" s="18"/>
    </row>
    <row r="59" spans="4:23" ht="17.399999999999999" x14ac:dyDescent="0.35">
      <c r="D59" s="279"/>
      <c r="E59" s="279"/>
      <c r="F59" s="279"/>
      <c r="G59" s="278"/>
      <c r="H59" s="317"/>
      <c r="I59" s="324"/>
      <c r="T59" s="18"/>
      <c r="U59" s="18"/>
    </row>
    <row r="60" spans="4:23" ht="17.399999999999999" x14ac:dyDescent="0.35">
      <c r="D60" s="279"/>
      <c r="E60" s="279"/>
      <c r="F60" s="279"/>
      <c r="G60" s="278"/>
      <c r="H60" s="317"/>
      <c r="I60" s="324"/>
      <c r="T60" s="18"/>
      <c r="U60" s="18"/>
    </row>
    <row r="61" spans="4:23" x14ac:dyDescent="0.3">
      <c r="T61" s="18"/>
      <c r="U61" s="18"/>
    </row>
    <row r="62" spans="4:23" x14ac:dyDescent="0.3">
      <c r="T62" s="18"/>
      <c r="U62" s="18"/>
    </row>
    <row r="63" spans="4:23" x14ac:dyDescent="0.3">
      <c r="T63" s="18"/>
      <c r="U63" s="18"/>
    </row>
    <row r="64" spans="4:23" x14ac:dyDescent="0.3">
      <c r="T64" s="18"/>
      <c r="U64" s="18"/>
    </row>
    <row r="65" spans="3:21" x14ac:dyDescent="0.3">
      <c r="T65" s="18"/>
      <c r="U65" s="18"/>
    </row>
    <row r="66" spans="3:21" x14ac:dyDescent="0.3">
      <c r="T66" s="18"/>
      <c r="U66" s="18"/>
    </row>
    <row r="69" spans="3:21" x14ac:dyDescent="0.3">
      <c r="P69" s="40"/>
    </row>
    <row r="70" spans="3:21" x14ac:dyDescent="0.3">
      <c r="P70" s="40"/>
    </row>
    <row r="71" spans="3:21" x14ac:dyDescent="0.3">
      <c r="P71" s="6"/>
    </row>
    <row r="72" spans="3:21" x14ac:dyDescent="0.3">
      <c r="P72" s="6"/>
    </row>
    <row r="80" spans="3:21" x14ac:dyDescent="0.3">
      <c r="C80" t="s">
        <v>145</v>
      </c>
    </row>
    <row r="81" spans="3:3" x14ac:dyDescent="0.3">
      <c r="C81" t="s">
        <v>144</v>
      </c>
    </row>
    <row r="84" spans="3:3" x14ac:dyDescent="0.3">
      <c r="C84" t="s">
        <v>144</v>
      </c>
    </row>
    <row r="161" spans="3:3" x14ac:dyDescent="0.3">
      <c r="C161" t="s">
        <v>144</v>
      </c>
    </row>
    <row r="162" spans="3:3" x14ac:dyDescent="0.3">
      <c r="C162" t="s">
        <v>146</v>
      </c>
    </row>
    <row r="163" spans="3:3" x14ac:dyDescent="0.3">
      <c r="C163" t="s">
        <v>147</v>
      </c>
    </row>
    <row r="588" spans="3:3" x14ac:dyDescent="0.3">
      <c r="C588" t="s">
        <v>144</v>
      </c>
    </row>
  </sheetData>
  <mergeCells count="2">
    <mergeCell ref="G17:I17"/>
    <mergeCell ref="B19:I19"/>
  </mergeCells>
  <phoneticPr fontId="34" type="noConversion"/>
  <hyperlinks>
    <hyperlink ref="G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'2229'!H10</f>
        <v>45869</v>
      </c>
    </row>
    <row r="6" spans="1:31" ht="16.2" thickBot="1" x14ac:dyDescent="0.35">
      <c r="B6" s="137" t="s">
        <v>2</v>
      </c>
      <c r="C6" s="136" t="str">
        <f>'2229'!C10</f>
        <v>MONTAJE Y CONSTRUCCION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-101615.29059323673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'2229'!I31</f>
        <v>748434</v>
      </c>
      <c r="E11" s="129">
        <f>D11*0.19</f>
        <v>142202.46</v>
      </c>
      <c r="F11" s="128">
        <f>E11+D11</f>
        <v>890636.46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4374.7094067632715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86713.910275362316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-13625.290593236728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661720.08972463768</v>
      </c>
      <c r="E13" s="218">
        <f>(D11/D12)-1</f>
        <v>7.6310719655396468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-22625.290593236728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-61625.290593236728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165103.28516428985</v>
      </c>
      <c r="C15" s="210" t="s">
        <v>121</v>
      </c>
      <c r="D15" s="211">
        <v>0.6</v>
      </c>
      <c r="E15" s="212">
        <f>(100%+D15)*D12</f>
        <v>138742.25644057972</v>
      </c>
      <c r="F15" s="213">
        <f>E15-D12</f>
        <v>52028.346165217401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-61625.290593236728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-21625.290593236728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'2229'!P39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'2229'!P38</f>
        <v>45000</v>
      </c>
      <c r="E19" s="120">
        <f>D19*0.19</f>
        <v>8550</v>
      </c>
      <c r="F19" s="117">
        <f>SUM(D19:E19)</f>
        <v>53550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'2229'!P37</f>
        <v>21735.000000000004</v>
      </c>
      <c r="E20" s="118">
        <f>D20*0.19</f>
        <v>4129.6500000000005</v>
      </c>
      <c r="F20" s="117">
        <f>SUM(D20:E20)</f>
        <v>25864.650000000005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66735</v>
      </c>
      <c r="E21" s="113">
        <f>SUM(E18:E20)</f>
        <v>12679.650000000001</v>
      </c>
      <c r="F21" s="112">
        <f>SUM(F18:F20)</f>
        <v>79414.650000000009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129522.81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748434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66735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661720.08972463768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661720.08972463768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2025-08-01T01:30:41Z</cp:lastPrinted>
  <dcterms:created xsi:type="dcterms:W3CDTF">2013-03-18T13:35:42Z</dcterms:created>
  <dcterms:modified xsi:type="dcterms:W3CDTF">2025-08-01T01:32:55Z</dcterms:modified>
</cp:coreProperties>
</file>