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1DE960D9-3216-4D97-83B3-AF007EA5B1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/>
  <c r="P22" i="1" s="1"/>
  <c r="S22" i="1"/>
  <c r="M24" i="1" l="1"/>
  <c r="M21" i="1"/>
  <c r="N21" i="1"/>
  <c r="O21" i="1" l="1"/>
  <c r="P21" i="1" s="1"/>
  <c r="P25" i="1" s="1"/>
  <c r="S21" i="1"/>
  <c r="T24" i="1"/>
  <c r="K39" i="1"/>
  <c r="S26" i="1" l="1"/>
  <c r="S27" i="1" s="1"/>
  <c r="S28" i="1" s="1"/>
  <c r="S29" i="1" s="1"/>
  <c r="V32" i="1"/>
  <c r="V33" i="1" s="1"/>
  <c r="O31" i="1" l="1"/>
  <c r="P26" i="1" l="1"/>
  <c r="N20" i="1"/>
  <c r="L20" i="1"/>
  <c r="P27" i="1" l="1"/>
  <c r="P28" i="1" s="1"/>
  <c r="O32" i="1"/>
  <c r="D18" i="3" s="1"/>
  <c r="R36" i="1"/>
  <c r="M30" i="1" l="1"/>
  <c r="R37" i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E18" i="3" l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Q22" i="1" s="1"/>
  <c r="R22" i="1" s="1"/>
  <c r="D21" i="3"/>
  <c r="M43" i="3" s="1"/>
  <c r="D12" i="3" s="1"/>
  <c r="F20" i="3"/>
  <c r="F21" i="3" s="1"/>
  <c r="G22" i="1" l="1"/>
  <c r="H22" i="1" s="1"/>
  <c r="Q21" i="1"/>
  <c r="O39" i="1"/>
  <c r="E15" i="3"/>
  <c r="R21" i="1" l="1"/>
  <c r="H21" i="1"/>
  <c r="F15" i="3"/>
  <c r="H24" i="1" l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<sst xmlns="http://schemas.openxmlformats.org/spreadsheetml/2006/main" count="232" uniqueCount="177">
  <si>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</si>
  <si>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</si>
  <si>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</si>
  <si>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</si>
  <si>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</si>
  <si>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</si>
  <si>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</si>
  <si>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</si>
  <si>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</si>
  <si>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</si>
  <si>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</si>
  <si>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</si>
  <si>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</si>
  <si>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</si>
  <si>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</si>
  <si>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</si>
  <si>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</si>
  <si>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</si>
  <si>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</si>
  <si>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</si>
  <si>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</si>
  <si>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</si>
  <si>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</si>
  <si>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</si>
  <si>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</si>
  <si>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</si>
  <si>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</si>
  <si>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</si>
  <si>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</si>
  <si>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</si>
  <si>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</si>
  <si>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</si>
  <si>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</si>
  <si>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</si>
  <si>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</si>
  <si>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</si>
  <si>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</si>
  <si>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</si>
  <si>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</si>
  <si>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</si>
  <si>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</si>
  <si>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</si>
  <si>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</si>
  <si>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</si>
  <si>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</si>
  <si>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</si>
  <si>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</si>
  <si>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</si>
  <si>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</si>
  <si>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</si>
  <si>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</si>
  <si>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</si>
  <si>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</si>
  <si>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</si>
  <si>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</si>
  <si>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</si>
  <si>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</si>
  <si>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</si>
  <si>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</si>
  <si>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</si>
  <si>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</si>
  <si>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</si>
  <si>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</si>
  <si>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</si>
  <si>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</si>
  <si>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</si>
  <si>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</si>
  <si>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</si>
  <si>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</si>
  <si>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</si>
  <si>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</si>
  <si>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</si>
  <si>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</si>
  <si>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</si>
  <si>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</si>
  <si>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</si>
  <si>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</si>
  <si>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</si>
  <si>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</si>
  <si>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</si>
  <si>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</si>
  <si>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</si>
  <si>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</si>
  <si>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</si>
  <si>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</si>
  <si>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</si>
  <si>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</si>
  <si>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</si>
  <si>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</si>
  <si>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</si>
  <si>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</si>
  <si>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</si>
  <si>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</si>
  <si>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</si>
  <si>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</si>
  <si>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</si>
  <si>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</si>
  <si>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</si>
  <si>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</si>
  <si>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</si>
  <si>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</si>
  <si>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</si>
  <si>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</si>
  <si>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</si>
  <si>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</si>
  <si>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</si>
  <si>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</si>
  <si>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</si>
  <si>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</si>
  <si>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</si>
  <si>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</si>
  <si>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</si>
  <si>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</si>
  <si>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</si>
  <si>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</si>
  <si>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</si>
  <si>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</si>
  <si>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</si>
  <si>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</si>
  <si>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</si>
  <si>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</si>
  <si>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</si>
  <si>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</si>
  <si>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</si>
  <si>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</si>
  <si>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</si>
  <si>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</si>
  <si>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</si>
  <si>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</si>
  <si>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</si>
  <si>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</si>
  <si>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</si>
  <si>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</si>
  <si>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</si>
  <si>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</si>
  <si>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</si>
  <si>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</si>
  <si>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</si>
  <si>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</si>
  <si>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</si>
  <si>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</si>
  <si>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</si>
  <si>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</si>
  <si>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</si>
  <si>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</si>
  <si>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</si>
  <si>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</si>
  <si>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</si>
  <si>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</si>
  <si>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</si>
  <si>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</si>
  <si>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</si>
  <si>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</si>
  <si>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</si>
  <si>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</si>
  <si>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</si>
  <si>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</si>
  <si>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</si>
  <si>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</si>
  <si>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</si>
  <si>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</si>
  <si>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</si>
  <si>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</si>
  <si>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</si>
  <si>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</si>
  <si>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</si>
  <si>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</si>
  <si>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 xml:space="preserve">ORDEN DE COMPRA </t>
  </si>
  <si>
    <t>3 DIAS HABILES</t>
  </si>
  <si>
    <t>GERARDO ROJAS ACEVEDO</t>
  </si>
  <si>
    <t>CUB MESA 2 LADOS 90°</t>
  </si>
  <si>
    <t>+56 9 9917 6675</t>
  </si>
  <si>
    <t>FLORENTINO AZUL BR 0512</t>
  </si>
  <si>
    <t>N° 11512 A</t>
  </si>
  <si>
    <t>P. UNIT</t>
  </si>
  <si>
    <t>FLORENTINO AZUL BR 0513</t>
  </si>
  <si>
    <t>CUB UN LADO SIN REGRUESO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</si>
</sst>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5430</xdr:colOff>
      <xdr:row>27</xdr:row>
      <xdr:rowOff>9525</xdr:rowOff>
    </xdr:from>
    <xdr:to>
      <xdr:col>5</xdr:col>
      <xdr:colOff>1769808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15107" y="5925267"/>
          <a:ext cx="6311798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/>
            <a:t>Importante:</a:t>
          </a:r>
          <a:r>
            <a:rPr lang="es-CL" sz="1400"/>
            <a:t> Verifique que toda la información esté correcta antes de aceptar. No nos hacemos responsables por diferencias posteriores si los datos no fueron revisados.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24582</xdr:colOff>
      <xdr:row>23</xdr:row>
      <xdr:rowOff>9525</xdr:rowOff>
    </xdr:from>
    <xdr:to>
      <xdr:col>5</xdr:col>
      <xdr:colOff>1753421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34259" y="5032170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200" b="1">
              <a:latin typeface="+mn-lt"/>
            </a:rPr>
            <a:t>Observaciones: </a:t>
          </a:r>
          <a:r>
            <a:rPr lang="es-CL" sz="1200">
              <a:latin typeface="+mn-lt"/>
            </a:rPr>
            <a:t>Las cubiertas se entregan </a:t>
          </a:r>
          <a:r>
            <a:rPr lang="es-CL" sz="1200" b="1">
              <a:latin typeface="+mn-lt"/>
            </a:rPr>
            <a:t>sobremedidas en el largo</a:t>
          </a:r>
          <a:r>
            <a:rPr lang="es-CL" sz="1200">
              <a:latin typeface="+mn-lt"/>
            </a:rPr>
            <a:t>, lo que permite al instalador realizar ajustes precisos en terreno. Esto asegura una mejor adaptación a muros que puedan estar descuadrados.</a:t>
          </a:r>
          <a:r>
            <a:rPr lang="es-CL" sz="1200" baseline="0">
              <a:latin typeface="+mn-lt"/>
            </a:rPr>
            <a:t> Se fabrican con material </a:t>
          </a:r>
          <a:r>
            <a:rPr lang="es-CL" sz="1200" b="1" baseline="0">
              <a:latin typeface="+mn-lt"/>
            </a:rPr>
            <a:t>MDF 18mm.</a:t>
          </a:r>
          <a:endParaRPr lang="es-CL" sz="1200" b="1">
            <a:latin typeface="+mn-lt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5" zoomScale="93" zoomScaleNormal="93" workbookViewId="0">
      <selection activeCell="J30" sqref="J30"/>
    </sheetView>
  </sheetViews>
  <sheetFormatPr baseColWidth="10" defaultRowHeight="14.4" x14ac:dyDescent="0.3"/>
  <cols>
    <col min="1" max="1" width="6" customWidth="1"/>
    <col min="2" max="2" width="10.5546875" customWidth="1"/>
    <col min="3" max="3" width="40.44140625" customWidth="1"/>
    <col min="4" max="4" width="12.4414062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45847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F13" t="s">
        <v>167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171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174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76732.190986166897</v>
      </c>
      <c r="R20" s="258">
        <v>2000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170</v>
      </c>
      <c r="D21" s="333">
        <v>3</v>
      </c>
      <c r="E21" s="333">
        <v>0.6</v>
      </c>
      <c r="F21" s="330" t="s">
        <v>172</v>
      </c>
      <c r="G21" s="331">
        <v>94076</v>
      </c>
      <c r="H21" s="331">
        <f t="shared" ref="H21" si="1">G21*B21</f>
        <v>94076</v>
      </c>
      <c r="I21" s="320"/>
      <c r="J21" s="265"/>
      <c r="K21" s="47"/>
      <c r="L21" s="332"/>
      <c r="M21" s="39">
        <f t="shared" ref="M21" si="2">D21+M$19</f>
        <v>3.08</v>
      </c>
      <c r="N21" s="39">
        <f t="shared" ref="N21" si="3">E21+$N$19</f>
        <v>0.6</v>
      </c>
      <c r="O21" s="261">
        <f t="shared" ref="O21" si="4">M21*N21</f>
        <v>1.8479999999999999</v>
      </c>
      <c r="P21" s="259">
        <f t="shared" ref="P21" si="5">O21*L21</f>
        <v>0</v>
      </c>
      <c r="Q21" s="252">
        <f t="shared" ref="Q21" si="6">Q$20*O21</f>
        <v>141801.08894243641</v>
      </c>
      <c r="R21" s="319">
        <f t="shared" ref="R21" si="7">Q21+R$20</f>
        <v>143801.08894243641</v>
      </c>
      <c r="S21" s="297">
        <f t="shared" ref="S21" si="8">M21*L21</f>
        <v>0</v>
      </c>
      <c r="T21" s="46"/>
      <c r="U21" s="9"/>
      <c r="X21" s="4"/>
    </row>
    <row r="22" spans="1:25" ht="17.399999999999999" x14ac:dyDescent="0.3">
      <c r="B22" s="330">
        <v>1</v>
      </c>
      <c r="C22" s="330" t="s">
        <v>176</v>
      </c>
      <c r="D22" s="333">
        <v>1</v>
      </c>
      <c r="E22" s="333">
        <v>0.83</v>
      </c>
      <c r="F22" s="330" t="s">
        <v>175</v>
      </c>
      <c r="G22" s="331">
        <f>Q22</f>
        <v>68782.736000000004</v>
      </c>
      <c r="H22" s="331">
        <f t="shared" ref="H22" si="9">G22*B22</f>
        <v>68782.736000000004</v>
      </c>
      <c r="I22" s="320"/>
      <c r="J22" s="265"/>
      <c r="K22" s="47"/>
      <c r="L22" s="332">
        <f t="shared" ref="L22" si="10">B22</f>
        <v>1</v>
      </c>
      <c r="M22" s="39">
        <f t="shared" ref="M22" si="11">D22+M$19</f>
        <v>1.08</v>
      </c>
      <c r="N22" s="39">
        <f t="shared" ref="N22" si="12">E22+$N$19</f>
        <v>0.83</v>
      </c>
      <c r="O22" s="261">
        <f t="shared" ref="O22" si="13">M22*N22</f>
        <v>0.89639999999999997</v>
      </c>
      <c r="P22" s="259">
        <f t="shared" ref="P22" si="14">O22*L22</f>
        <v>0.89639999999999997</v>
      </c>
      <c r="Q22" s="252">
        <f t="shared" ref="Q22" si="15">Q$20*O22</f>
        <v>68782.736000000004</v>
      </c>
      <c r="R22" s="319">
        <f t="shared" ref="R22" si="16">Q22+R$20</f>
        <v>70782.736000000004</v>
      </c>
      <c r="S22" s="297">
        <f t="shared" ref="S22" si="17">M22*L22</f>
        <v>1.08</v>
      </c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162858.736</v>
      </c>
      <c r="I24" s="322"/>
      <c r="J24" s="265"/>
      <c r="K24" s="47"/>
      <c r="L24" s="47"/>
      <c r="M24" s="39">
        <f>SUM(M21:M21)</f>
        <v>3.08</v>
      </c>
      <c r="N24" s="39"/>
      <c r="O24" s="261"/>
      <c r="P24" s="259"/>
      <c r="Q24" s="252"/>
      <c r="R24" s="258"/>
      <c r="S24" s="297"/>
      <c r="T24" s="46">
        <f>SUM(T21:T23)</f>
        <v>0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30943.15984</v>
      </c>
      <c r="I25" s="322"/>
      <c r="J25" s="265"/>
      <c r="K25" s="47"/>
      <c r="L25" s="47"/>
      <c r="N25" s="12"/>
      <c r="O25" s="12"/>
      <c r="P25" s="253">
        <f>SUM(P21:P23)</f>
        <v>0.89639999999999997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193801.89584000001</v>
      </c>
      <c r="I26" s="322"/>
      <c r="J26" s="265"/>
      <c r="K26" s="47"/>
      <c r="L26" s="47"/>
      <c r="M26" s="39"/>
      <c r="N26" s="12"/>
      <c r="O26" s="12"/>
      <c r="P26" s="253">
        <f>P25</f>
        <v>0.89639999999999997</v>
      </c>
      <c r="Q26" s="14"/>
      <c r="R26" s="12"/>
      <c r="S26" s="239">
        <f>SUM(S21:S25)</f>
        <v>1.08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0.17927999999999999</v>
      </c>
      <c r="Q27" s="39" t="s">
        <v>130</v>
      </c>
      <c r="R27" s="42"/>
      <c r="S27" s="240">
        <f>S26+T24</f>
        <v>1.08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1.07568</v>
      </c>
      <c r="Q28" s="14"/>
      <c r="R28" s="14"/>
      <c r="S28" s="238">
        <f>S27*20%</f>
        <v>0.21600000000000003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1.296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1.07568</v>
      </c>
      <c r="N30" s="12">
        <v>3500</v>
      </c>
      <c r="O30" s="12">
        <f t="shared" ref="O30:O35" si="18">M30*N30</f>
        <v>3764.88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0.3</v>
      </c>
      <c r="N31" s="12">
        <v>25000</v>
      </c>
      <c r="O31" s="12">
        <f t="shared" si="18"/>
        <v>7500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>
        <v>1</v>
      </c>
      <c r="N32" s="250">
        <v>20000</v>
      </c>
      <c r="O32" s="12">
        <f t="shared" si="18"/>
        <v>20000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/>
      <c r="N33" s="250">
        <v>23000</v>
      </c>
      <c r="O33" s="12">
        <f t="shared" si="18"/>
        <v>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18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/>
      <c r="N35" s="12">
        <v>1500</v>
      </c>
      <c r="O35" s="12">
        <f t="shared" si="18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31264.880000000001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68782.736000000004</v>
      </c>
      <c r="P37" s="14" t="s">
        <v>140</v>
      </c>
      <c r="Q37" s="14"/>
      <c r="R37" s="40">
        <f>P28/R36</f>
        <v>0.29003451251078516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77240</v>
      </c>
      <c r="L38" s="250"/>
      <c r="M38" s="14"/>
      <c r="N38" s="12"/>
      <c r="O38" s="12">
        <f>O37/P26</f>
        <v>76732.190986166897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64907.563025210089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D12" sqref="D12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45847</v>
      </c>
    </row>
    <row r="6" spans="2:31" ht="16.2" thickBot="1" x14ac:dyDescent="0.35">
      <c r="B6" s="140" t="s">
        <v>2</v>
      </c>
      <c r="C6" s="139" t="str">
        <f>'2229'!C10</f>
        <v>GERARDO ROJAS ACEVEDO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11512 A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-10340.905700120775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162858.736</v>
      </c>
      <c r="E11" s="132">
        <f>D11*0.19</f>
        <v>30943.15984</v>
      </c>
      <c r="F11" s="131">
        <f>E11+D11</f>
        <v>193801.89584000001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95649.094299879231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61098.970787439612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77649.094299879231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101759.76521256039</v>
      </c>
      <c r="E13" s="221">
        <f>(D11/D12)-1</f>
        <v>1.6654906604986479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68649.094299879231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29649.094299879223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100813.30179927536</v>
      </c>
      <c r="F15" s="216">
        <f>E15-D12</f>
        <v>39714.331011835748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29649.094299879223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69649.094299879231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20000</v>
      </c>
      <c r="E18" s="123">
        <f>D18*0.19</f>
        <v>3800</v>
      </c>
      <c r="F18" s="120">
        <f>SUM(D18:E18)</f>
        <v>23800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7500</v>
      </c>
      <c r="E19" s="123">
        <f>D19*0.19</f>
        <v>1425</v>
      </c>
      <c r="F19" s="120">
        <f>SUM(D19:E19)</f>
        <v>8925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3764.88</v>
      </c>
      <c r="E20" s="121">
        <f>D20*0.19</f>
        <v>715.32720000000006</v>
      </c>
      <c r="F20" s="120">
        <f>SUM(D20:E20)</f>
        <v>4480.2071999999998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31264.880000000001</v>
      </c>
      <c r="E21" s="116">
        <f>SUM(E18:E20)</f>
        <v>5940.3271999999997</v>
      </c>
      <c r="F21" s="115">
        <f>SUM(F18:F20)</f>
        <v>37205.207199999997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25002.832640000001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162858.736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31264.880000000001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101759.76521256039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101759.76521256039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2025-07-09T16:49:03Z</cp:lastPrinted>
  <dcterms:created xsi:type="dcterms:W3CDTF">2013-03-18T13:35:42Z</dcterms:created>
  <dcterms:modified xsi:type="dcterms:W3CDTF">2025-07-09T21:03:36Z</dcterms:modified>
</cp:coreProperties>
</file>