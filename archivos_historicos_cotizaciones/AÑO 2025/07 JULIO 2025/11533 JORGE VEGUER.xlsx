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BED4F94B-58E4-4755-A479-478855B8B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G22" i="1"/>
  <c r="G21" i="1"/>
  <c r="M26" i="1"/>
  <c r="L22" i="1"/>
  <c r="M22" i="1"/>
  <c r="N22" i="1"/>
  <c r="O22" i="1"/>
  <c r="P22" i="1" s="1"/>
  <c r="S22" i="1"/>
  <c r="M21" i="1"/>
  <c r="L21" i="1" l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l="1"/>
  <c r="O39" i="1" s="1"/>
  <c r="D20" i="3"/>
  <c r="E20" i="3" s="1"/>
  <c r="E21" i="3" s="1"/>
  <c r="Q20" i="1" l="1"/>
  <c r="Q22" i="1" s="1"/>
  <c r="R22" i="1" s="1"/>
  <c r="D21" i="3"/>
  <c r="M43" i="3" s="1"/>
  <c r="D12" i="3" s="1"/>
  <c r="E15" i="3" s="1"/>
  <c r="A15" i="3" s="1"/>
  <c r="F20" i="3"/>
  <c r="F21" i="3" s="1"/>
  <c r="O40" i="1" l="1"/>
  <c r="Q21" i="1" l="1"/>
  <c r="F15" i="3"/>
  <c r="R21" i="1" l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<sst xmlns="http://schemas.openxmlformats.org/spreadsheetml/2006/main" count="239" uniqueCount="182">
  <si>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</si>
  <si>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</si>
  <si>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</si>
  <si>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</si>
  <si>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</si>
  <si>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</si>
  <si>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</si>
  <si>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</si>
  <si>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</si>
  <si>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</si>
  <si>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</si>
  <si>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</si>
  <si>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</si>
  <si>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</si>
  <si>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</si>
  <si>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</si>
  <si>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</si>
  <si>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</si>
  <si>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</si>
  <si>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</si>
  <si>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</si>
  <si>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</si>
  <si>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</si>
  <si>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</si>
  <si>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</si>
  <si>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</si>
  <si>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</si>
  <si>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</si>
  <si>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</si>
  <si>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</si>
  <si>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</si>
  <si>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</si>
  <si>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</si>
  <si>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</si>
  <si>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</si>
  <si>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</si>
  <si>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</si>
  <si>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</si>
  <si>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</si>
  <si>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</si>
  <si>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</si>
  <si>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</si>
  <si>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</si>
  <si>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</si>
  <si>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</si>
  <si>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</si>
  <si>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</si>
  <si>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</si>
  <si>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</si>
  <si>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</si>
  <si>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</si>
  <si>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</si>
  <si>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</si>
  <si>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</si>
  <si>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</si>
  <si>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</si>
  <si>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</si>
  <si>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</si>
  <si>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</si>
  <si>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</si>
  <si>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</si>
  <si>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</si>
  <si>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</si>
  <si>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</si>
  <si>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</si>
  <si>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</si>
  <si>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</si>
  <si>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</si>
  <si>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</si>
  <si>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</si>
  <si>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</si>
  <si>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</si>
  <si>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</si>
  <si>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</si>
  <si>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</si>
  <si>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</si>
  <si>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</si>
  <si>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</si>
  <si>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</si>
  <si>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</si>
  <si>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</si>
  <si>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</si>
  <si>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</si>
  <si>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</si>
  <si>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</si>
  <si>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</si>
  <si>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</si>
  <si>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</si>
  <si>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</si>
  <si>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</si>
  <si>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</si>
  <si>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</si>
  <si>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</si>
  <si>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</si>
  <si>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</si>
  <si>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</si>
  <si>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</si>
  <si>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</si>
  <si>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</si>
  <si>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</si>
  <si>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</si>
  <si>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</si>
  <si>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</si>
  <si>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</si>
  <si>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</si>
  <si>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</si>
  <si>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</si>
  <si>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</si>
  <si>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</si>
  <si>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</si>
  <si>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</si>
  <si>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</si>
  <si>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</si>
  <si>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</si>
  <si>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</si>
  <si>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</si>
  <si>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</si>
  <si>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</si>
  <si>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</si>
  <si>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</si>
  <si>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</si>
  <si>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</si>
  <si>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</si>
  <si>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</si>
  <si>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</si>
  <si>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</si>
  <si>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</si>
  <si>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</si>
  <si>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</si>
  <si>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</si>
  <si>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</si>
  <si>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</si>
  <si>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</si>
  <si>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</si>
  <si>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</si>
  <si>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</si>
  <si>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</si>
  <si>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</si>
  <si>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</si>
  <si>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</si>
  <si>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</si>
  <si>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</si>
  <si>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</si>
  <si>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</si>
  <si>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</si>
  <si>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</si>
  <si>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</si>
  <si>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</si>
  <si>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</si>
  <si>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</si>
  <si>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</si>
  <si>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</si>
  <si>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</si>
  <si>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</si>
  <si>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</si>
  <si>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</si>
  <si>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</si>
  <si>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</si>
  <si>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</si>
  <si>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</si>
  <si>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</si>
  <si>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</si>
  <si>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</si>
  <si>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</si>
  <si>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</si>
  <si>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</si>
  <si>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</si>
  <si>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</si>
  <si>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</si>
  <si>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</si>
  <si>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</si>
  <si>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N° 11531</t>
  </si>
  <si>
    <t>+569 3177 5202</t>
  </si>
  <si>
    <t>BLANCO MT</t>
  </si>
  <si>
    <t>CORTE 45°</t>
  </si>
  <si>
    <t>CUB CON RESPALDO FRENTE 90°</t>
  </si>
  <si>
    <t>77.242.268-7</t>
  </si>
  <si>
    <t>VIDRIERA Y OBRAS MENORES</t>
  </si>
  <si>
    <t>JORGUE VEGUER</t>
  </si>
  <si>
    <t>JORGE ANTONIO VEGUER CADET VIDRIERIA Y OBRAS MENORES RENACIMIENTO E.I.R.L</t>
  </si>
  <si>
    <t>VIDRIERIA.RENACIMIENTO@GMAIL.COM</t>
  </si>
  <si>
    <t>COLO COLO 1361, CERRILLOS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</si>
</sst>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CUBIERTA DE 2,73 VA SOBRE</a:t>
          </a:r>
          <a:r>
            <a:rPr lang="es-CL" sz="1200" b="1" baseline="0"/>
            <a:t> MEDIDA EN EL LADO DER MIRANDOLA DESDE EL FRENTE. CUBIETA DE 2,76 VA CORTADA A LA MEDIDA Y ENCHAPADA EN EL LADO IZQ MIRANDOLA DESDE EL FRENTE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IDRIERIA.RENACIMIENTO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12" zoomScale="93" zoomScaleNormal="93" workbookViewId="0">
      <selection activeCell="E36" sqref="E36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179</v>
      </c>
      <c r="D10" s="239"/>
      <c r="E10" s="239"/>
      <c r="F10" s="240" t="s">
        <v>167</v>
      </c>
      <c r="G10" s="271">
        <v>45859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 t="s">
        <v>176</v>
      </c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 t="s">
        <v>177</v>
      </c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178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 t="s">
        <v>180</v>
      </c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 t="s">
        <v>172</v>
      </c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 t="s">
        <v>181</v>
      </c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29" t="s">
        <v>162</v>
      </c>
      <c r="G17" s="329"/>
      <c r="H17" s="330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1" t="s">
        <v>95</v>
      </c>
      <c r="C19" s="332"/>
      <c r="D19" s="332"/>
      <c r="E19" s="332"/>
      <c r="F19" s="332"/>
      <c r="G19" s="332"/>
      <c r="H19" s="333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51021.327433628328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44">
        <v>1</v>
      </c>
      <c r="C21" s="345" t="s">
        <v>175</v>
      </c>
      <c r="D21" s="346">
        <v>2.76</v>
      </c>
      <c r="E21" s="346">
        <v>0.6</v>
      </c>
      <c r="F21" s="345" t="s">
        <v>173</v>
      </c>
      <c r="G21" s="347">
        <f>Q21</f>
        <v>86940.34194690267</v>
      </c>
      <c r="H21" s="348">
        <f>G21*B21</f>
        <v>86940.34194690267</v>
      </c>
      <c r="I21" s="299"/>
      <c r="J21" s="260"/>
      <c r="K21" s="44"/>
      <c r="L21" s="44">
        <f>B21</f>
        <v>1</v>
      </c>
      <c r="M21" s="36">
        <f>D21+M$19</f>
        <v>2.84</v>
      </c>
      <c r="N21" s="36">
        <f>E21+$N$19</f>
        <v>0.6</v>
      </c>
      <c r="O21" s="256">
        <f t="shared" ref="O21" si="1">M21*N21</f>
        <v>1.704</v>
      </c>
      <c r="P21" s="254">
        <f t="shared" ref="P21" si="2">O21*L21</f>
        <v>1.704</v>
      </c>
      <c r="Q21" s="247">
        <f t="shared" ref="Q21" si="3">Q$20*O21</f>
        <v>86940.34194690267</v>
      </c>
      <c r="R21" s="298">
        <f t="shared" ref="R21" si="4">Q21+R$20</f>
        <v>89940.34194690267</v>
      </c>
      <c r="S21" s="286">
        <f>M21*L21</f>
        <v>2.84</v>
      </c>
      <c r="T21" s="43">
        <f>N21*2*L21*2</f>
        <v>2.4</v>
      </c>
      <c r="U21" s="9"/>
      <c r="X21" s="4"/>
    </row>
    <row r="22" spans="1:25" ht="17.399999999999999" x14ac:dyDescent="0.3">
      <c r="B22" s="349">
        <v>1</v>
      </c>
      <c r="C22" s="341" t="s">
        <v>175</v>
      </c>
      <c r="D22" s="342">
        <v>2.73</v>
      </c>
      <c r="E22" s="342">
        <v>0.6</v>
      </c>
      <c r="F22" s="341" t="s">
        <v>173</v>
      </c>
      <c r="G22" s="343">
        <f>Q22</f>
        <v>86021.958053097362</v>
      </c>
      <c r="H22" s="350">
        <f>G22*B22</f>
        <v>86021.958053097362</v>
      </c>
      <c r="I22" s="299"/>
      <c r="J22" s="260"/>
      <c r="K22" s="44"/>
      <c r="L22" s="44">
        <f>B22</f>
        <v>1</v>
      </c>
      <c r="M22" s="36">
        <f>D22+M$19</f>
        <v>2.81</v>
      </c>
      <c r="N22" s="36">
        <f>E22+$N$19</f>
        <v>0.6</v>
      </c>
      <c r="O22" s="256">
        <f t="shared" ref="O22" si="5">M22*N22</f>
        <v>1.6859999999999999</v>
      </c>
      <c r="P22" s="254">
        <f t="shared" ref="P22" si="6">O22*L22</f>
        <v>1.6859999999999999</v>
      </c>
      <c r="Q22" s="247">
        <f t="shared" ref="Q22" si="7">Q$20*O22</f>
        <v>86021.958053097362</v>
      </c>
      <c r="R22" s="298">
        <f t="shared" ref="R22" si="8">Q22+R$20</f>
        <v>89021.958053097362</v>
      </c>
      <c r="S22" s="286">
        <f>M22*L22</f>
        <v>2.81</v>
      </c>
      <c r="T22" s="43"/>
      <c r="U22" s="9"/>
      <c r="X22" s="4"/>
    </row>
    <row r="23" spans="1:25" ht="18" thickBot="1" x14ac:dyDescent="0.35">
      <c r="B23" s="351">
        <v>2</v>
      </c>
      <c r="C23" s="352" t="s">
        <v>174</v>
      </c>
      <c r="D23" s="353"/>
      <c r="E23" s="353"/>
      <c r="F23" s="352"/>
      <c r="G23" s="354">
        <v>7000</v>
      </c>
      <c r="H23" s="355">
        <f>G23*B23</f>
        <v>14000</v>
      </c>
      <c r="I23" s="299"/>
      <c r="J23" s="260"/>
      <c r="K23" s="44"/>
      <c r="L23" s="44"/>
      <c r="M23" s="36"/>
      <c r="N23" s="36"/>
      <c r="O23" s="256"/>
      <c r="P23" s="254"/>
      <c r="Q23" s="247"/>
      <c r="R23" s="298"/>
      <c r="S23" s="286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300"/>
      <c r="I24" s="302"/>
      <c r="J24" s="229"/>
      <c r="K24" s="44"/>
      <c r="L24" s="44"/>
      <c r="M24" s="36"/>
      <c r="N24" s="36"/>
      <c r="O24" s="256"/>
      <c r="P24" s="254"/>
      <c r="Q24" s="247"/>
      <c r="R24" s="253"/>
      <c r="S24" s="286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3" t="s">
        <v>28</v>
      </c>
      <c r="H25" s="304">
        <f>SUM(H21:H24)</f>
        <v>186962.30000000005</v>
      </c>
      <c r="I25" s="301"/>
      <c r="J25" s="260"/>
      <c r="K25" s="319"/>
      <c r="L25" s="44"/>
      <c r="M25" s="36"/>
      <c r="N25" s="36"/>
      <c r="O25" s="256"/>
      <c r="P25" s="254"/>
      <c r="Q25" s="247"/>
      <c r="R25" s="253"/>
      <c r="S25" s="286"/>
      <c r="T25" s="43">
        <f>SUM(T21:T24)</f>
        <v>2.4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5" t="s">
        <v>51</v>
      </c>
      <c r="H26" s="283">
        <f>H25*19%</f>
        <v>35522.837000000007</v>
      </c>
      <c r="I26" s="301"/>
      <c r="J26" s="260"/>
      <c r="K26" s="319"/>
      <c r="L26" s="44"/>
      <c r="M26" s="36">
        <f>SUM(M21:M22)</f>
        <v>5.65</v>
      </c>
      <c r="N26" s="12"/>
      <c r="O26" s="12"/>
      <c r="P26" s="248">
        <f>SUM(P21:P24)</f>
        <v>3.3899999999999997</v>
      </c>
      <c r="Q26" s="14"/>
      <c r="R26" s="12"/>
      <c r="S26" s="235">
        <f>SUM(S21:S25)</f>
        <v>5.65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284">
        <f>H25+H26</f>
        <v>222485.13700000005</v>
      </c>
      <c r="I27" s="301"/>
      <c r="J27" s="260"/>
      <c r="K27" s="319"/>
      <c r="L27" s="44"/>
      <c r="M27" s="36"/>
      <c r="N27" s="12"/>
      <c r="O27" s="12"/>
      <c r="P27" s="248">
        <f>P26</f>
        <v>3.3899999999999997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9"/>
      <c r="L28" s="44"/>
      <c r="M28" s="14"/>
      <c r="N28" s="12"/>
      <c r="O28" s="12"/>
      <c r="P28" s="36">
        <f>P27*20%</f>
        <v>0.67799999999999994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4.0679999999999996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90" t="s">
        <v>21</v>
      </c>
      <c r="V30" s="287" t="s">
        <v>149</v>
      </c>
      <c r="W30" s="291">
        <v>44971</v>
      </c>
      <c r="X30" s="292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4.0679999999999996</v>
      </c>
      <c r="N31" s="12">
        <v>3500</v>
      </c>
      <c r="O31" s="12">
        <f t="shared" ref="O31:O36" si="9">M31*N31</f>
        <v>14237.999999999998</v>
      </c>
      <c r="P31" s="14" t="s">
        <v>21</v>
      </c>
      <c r="Q31" s="14"/>
      <c r="R31" s="14"/>
      <c r="S31" s="237"/>
      <c r="T31" s="14"/>
      <c r="U31" s="290" t="s">
        <v>150</v>
      </c>
      <c r="V31" s="287">
        <v>3625</v>
      </c>
      <c r="W31" s="56" t="s">
        <v>151</v>
      </c>
      <c r="X31" s="292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1.1000000000000001</v>
      </c>
      <c r="N32" s="12">
        <v>23500</v>
      </c>
      <c r="O32" s="12">
        <f t="shared" si="9"/>
        <v>25850.000000000004</v>
      </c>
      <c r="P32" s="36" t="s">
        <v>170</v>
      </c>
      <c r="Q32" s="39"/>
      <c r="R32" s="14"/>
      <c r="S32" s="236"/>
      <c r="T32" s="14"/>
      <c r="U32" s="290"/>
      <c r="V32" s="56">
        <v>906.25</v>
      </c>
      <c r="W32" s="56" t="s">
        <v>152</v>
      </c>
      <c r="X32" s="292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9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2" t="s">
        <v>153</v>
      </c>
      <c r="X33" s="56"/>
    </row>
    <row r="34" spans="2:24" s="226" customFormat="1" ht="17.399999999999999" x14ac:dyDescent="0.35">
      <c r="B34" s="21" t="s">
        <v>164</v>
      </c>
      <c r="C34"/>
      <c r="D34"/>
      <c r="E34"/>
      <c r="F34"/>
      <c r="J34" s="257"/>
      <c r="K34" s="228"/>
      <c r="L34" s="245"/>
      <c r="M34" s="14">
        <v>2</v>
      </c>
      <c r="N34" s="245">
        <v>16900</v>
      </c>
      <c r="O34" s="12">
        <f t="shared" si="9"/>
        <v>33800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2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/>
      <c r="K35" s="255"/>
      <c r="L35" s="245"/>
      <c r="M35" s="244"/>
      <c r="N35" s="245">
        <v>900</v>
      </c>
      <c r="O35" s="12">
        <f t="shared" si="9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5.65</v>
      </c>
      <c r="N36" s="12">
        <v>1500</v>
      </c>
      <c r="O36" s="12">
        <f t="shared" si="9"/>
        <v>8475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82363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172962.30000000002</v>
      </c>
      <c r="P38" s="14" t="s">
        <v>138</v>
      </c>
      <c r="Q38" s="14"/>
      <c r="R38" s="37">
        <f>P29/R37</f>
        <v>1.0968507333908541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51021.327433628328</v>
      </c>
      <c r="P39" s="42" t="s">
        <v>24</v>
      </c>
      <c r="Q39" s="14"/>
      <c r="R39" s="14"/>
      <c r="S39"/>
      <c r="T39" s="234"/>
      <c r="U39" s="56" t="s">
        <v>155</v>
      </c>
      <c r="V39" s="287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8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20"/>
      <c r="H41" s="327"/>
      <c r="L41" s="12"/>
      <c r="T41" s="234"/>
      <c r="U41" s="56" t="s">
        <v>158</v>
      </c>
      <c r="V41" s="289">
        <v>395.37</v>
      </c>
    </row>
    <row r="42" spans="2:24" s="226" customFormat="1" ht="17.399999999999999" x14ac:dyDescent="0.35">
      <c r="B42"/>
      <c r="C42" s="328"/>
      <c r="D42" s="279"/>
      <c r="E42" s="279"/>
      <c r="F42" s="278"/>
      <c r="G42" s="320"/>
      <c r="H42" s="327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20"/>
      <c r="H43" s="327"/>
      <c r="L43" s="12"/>
      <c r="U43" s="56"/>
      <c r="V43" s="56"/>
    </row>
    <row r="44" spans="2:24" ht="17.399999999999999" x14ac:dyDescent="0.35">
      <c r="D44" s="279"/>
      <c r="E44" s="279"/>
      <c r="F44" s="278"/>
      <c r="G44" s="320"/>
      <c r="H44" s="327"/>
      <c r="L44" s="245"/>
    </row>
    <row r="45" spans="2:24" ht="17.399999999999999" x14ac:dyDescent="0.35">
      <c r="D45" s="279"/>
      <c r="E45" s="279"/>
      <c r="F45" s="278"/>
      <c r="G45" s="320"/>
      <c r="H45" s="327"/>
      <c r="L45" s="245"/>
      <c r="T45" s="265"/>
    </row>
    <row r="46" spans="2:24" ht="17.399999999999999" x14ac:dyDescent="0.35">
      <c r="D46" s="279"/>
      <c r="E46" s="279"/>
      <c r="F46" s="278"/>
      <c r="G46" s="320"/>
      <c r="H46" s="327"/>
      <c r="L46" s="245"/>
    </row>
    <row r="47" spans="2:24" ht="15" customHeight="1" x14ac:dyDescent="0.35">
      <c r="D47" s="279"/>
      <c r="E47" s="279"/>
      <c r="F47" s="278"/>
      <c r="G47" s="320"/>
      <c r="H47" s="327"/>
    </row>
    <row r="48" spans="2:24" ht="17.399999999999999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20"/>
      <c r="H50" s="327"/>
    </row>
    <row r="51" spans="4:20" ht="17.399999999999999" x14ac:dyDescent="0.35">
      <c r="D51" s="279"/>
      <c r="E51" s="279"/>
      <c r="F51" s="278"/>
      <c r="G51" s="320"/>
      <c r="H51" s="327"/>
      <c r="O51" s="51"/>
      <c r="P51" s="51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ht="17.399999999999999" x14ac:dyDescent="0.35">
      <c r="D53" s="279"/>
      <c r="E53" s="279"/>
      <c r="F53" s="278"/>
      <c r="G53" s="320"/>
      <c r="H53" s="327"/>
      <c r="S53" s="18"/>
      <c r="T53" s="18"/>
    </row>
    <row r="54" spans="4:20" ht="17.399999999999999" x14ac:dyDescent="0.35">
      <c r="D54" s="279"/>
      <c r="E54" s="279"/>
      <c r="F54" s="278"/>
      <c r="G54" s="320"/>
      <c r="H54" s="327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  <hyperlink ref="C14" r:id="rId2" xr:uid="{F7CBC88E-547C-436C-983B-7BBDFCD2EE82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45859</v>
      </c>
    </row>
    <row r="6" spans="1:31" ht="16.2" thickBot="1" x14ac:dyDescent="0.35">
      <c r="B6" s="137" t="s">
        <v>2</v>
      </c>
      <c r="C6" s="136" t="str">
        <f>'2229'!C10</f>
        <v>JORGE ANTONIO VEGUER CADET VIDRIERIA Y OBRAS MENORES RENACIMIENTO E.I.R.L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5" t="s">
        <v>98</v>
      </c>
      <c r="I7" s="336"/>
      <c r="J7" s="336"/>
      <c r="K7" s="337"/>
      <c r="N7" s="72"/>
      <c r="O7" s="33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11531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-15142.540593236723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186962.30000000005</v>
      </c>
      <c r="E11" s="129">
        <f>D11*0.19</f>
        <v>35522.837000000007</v>
      </c>
      <c r="F11" s="128">
        <f>E11+D11</f>
        <v>222485.13700000005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90847.459406763272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60066.910275362316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72847.459406763272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126895.38972463773</v>
      </c>
      <c r="E13" s="218">
        <f>(D11/D12)-1</f>
        <v>2.1125672877615362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63847.459406763279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24847.459406763279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114367.39716428984</v>
      </c>
      <c r="C15" s="210" t="s">
        <v>121</v>
      </c>
      <c r="D15" s="211">
        <v>0.6</v>
      </c>
      <c r="E15" s="212">
        <f>(100%+D15)*D12</f>
        <v>96107.056440579705</v>
      </c>
      <c r="F15" s="213">
        <f>E15-D12</f>
        <v>36040.146165217389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24847.459406763279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64847.459406763279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25850.000000000004</v>
      </c>
      <c r="E19" s="120">
        <f>D19*0.19</f>
        <v>4911.5000000000009</v>
      </c>
      <c r="F19" s="117">
        <f>SUM(D19:E19)</f>
        <v>30761.500000000004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14237.999999999998</v>
      </c>
      <c r="E20" s="118">
        <f>D20*0.19</f>
        <v>2705.22</v>
      </c>
      <c r="F20" s="117">
        <f>SUM(D20:E20)</f>
        <v>16943.219999999998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40088</v>
      </c>
      <c r="E21" s="113">
        <f>SUM(E18:E20)</f>
        <v>7616.7200000000012</v>
      </c>
      <c r="F21" s="112">
        <f>SUM(F18:F20)</f>
        <v>47704.72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27906.117000000006</v>
      </c>
    </row>
    <row r="41" spans="2:16" ht="15" thickBot="1" x14ac:dyDescent="0.35">
      <c r="H41" s="338" t="s">
        <v>60</v>
      </c>
      <c r="I41" s="339"/>
      <c r="J41" s="339"/>
      <c r="K41" s="339"/>
      <c r="L41" s="339"/>
      <c r="M41" s="34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186962.30000000005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40088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126895.38972463773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126895.38972463773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2025-07-21T19:37:54Z</cp:lastPrinted>
  <dcterms:created xsi:type="dcterms:W3CDTF">2013-03-18T13:35:42Z</dcterms:created>
  <dcterms:modified xsi:type="dcterms:W3CDTF">2025-07-22T12:50:44Z</dcterms:modified>
</cp:coreProperties>
</file>