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76A43369-1246-48EC-9176-9D008DF1A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L21" i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<sst xmlns="http://schemas.openxmlformats.org/spreadsheetml/2006/main" count="231" uniqueCount="175">
  <si>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</si>
  <si>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</si>
  <si>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</si>
  <si>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</si>
  <si>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</si>
  <si>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</si>
  <si>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</si>
  <si>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</si>
  <si>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</si>
  <si>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</si>
  <si>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</si>
  <si>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</si>
  <si>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</si>
  <si>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</si>
  <si>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</si>
  <si>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</si>
  <si>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</si>
  <si>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</si>
  <si>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</si>
  <si>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</si>
  <si>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</si>
  <si>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</si>
  <si>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</si>
  <si>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</si>
  <si>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</si>
  <si>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</si>
  <si>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</si>
  <si>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</si>
  <si>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</si>
  <si>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</si>
  <si>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</si>
  <si>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</si>
  <si>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</si>
  <si>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</si>
  <si>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</si>
  <si>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</si>
  <si>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</si>
  <si>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</si>
  <si>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</si>
  <si>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</si>
  <si>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</si>
  <si>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</si>
  <si>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</si>
  <si>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</si>
  <si>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</si>
  <si>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</si>
  <si>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</si>
  <si>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</si>
  <si>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</si>
  <si>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</si>
  <si>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</si>
  <si>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</si>
  <si>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</si>
  <si>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</si>
  <si>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</si>
  <si>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</si>
  <si>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</si>
  <si>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</si>
  <si>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</si>
  <si>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</si>
  <si>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</si>
  <si>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</si>
  <si>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</si>
  <si>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</si>
  <si>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</si>
  <si>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</si>
  <si>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</si>
  <si>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</si>
  <si>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</si>
  <si>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</si>
  <si>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</si>
  <si>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</si>
  <si>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</si>
  <si>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</si>
  <si>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</si>
  <si>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</si>
  <si>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</si>
  <si>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</si>
  <si>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</si>
  <si>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</si>
  <si>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</si>
  <si>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</si>
  <si>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</si>
  <si>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</si>
  <si>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</si>
  <si>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</si>
  <si>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</si>
  <si>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</si>
  <si>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</si>
  <si>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</si>
  <si>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</si>
  <si>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</si>
  <si>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</si>
  <si>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</si>
  <si>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</si>
  <si>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</si>
  <si>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</si>
  <si>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</si>
  <si>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</si>
  <si>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</si>
  <si>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</si>
  <si>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</si>
  <si>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</si>
  <si>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</si>
  <si>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</si>
  <si>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</si>
  <si>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</si>
  <si>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</si>
  <si>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</si>
  <si>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</si>
  <si>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</si>
  <si>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</si>
  <si>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</si>
  <si>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</si>
  <si>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</si>
  <si>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</si>
  <si>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</si>
  <si>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</si>
  <si>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</si>
  <si>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</si>
  <si>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</si>
  <si>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</si>
  <si>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</si>
  <si>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</si>
  <si>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</si>
  <si>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</si>
  <si>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</si>
  <si>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</si>
  <si>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</si>
  <si>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</si>
  <si>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</si>
  <si>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</si>
  <si>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</si>
  <si>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</si>
  <si>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</si>
  <si>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</si>
  <si>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</si>
  <si>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</si>
  <si>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</si>
  <si>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</si>
  <si>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</si>
  <si>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</si>
  <si>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</si>
  <si>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</si>
  <si>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</si>
  <si>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</si>
  <si>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</si>
  <si>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</si>
  <si>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</si>
  <si>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</si>
  <si>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</si>
  <si>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</si>
  <si>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</si>
  <si>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</si>
  <si>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</si>
  <si>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</si>
  <si>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</si>
  <si>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</si>
  <si>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</si>
  <si>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</si>
  <si>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</si>
  <si>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</si>
  <si>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</si>
  <si>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</si>
  <si>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</si>
  <si>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</si>
  <si>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</si>
  <si>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</si>
  <si>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</si>
  <si>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N° 11500</t>
  </si>
  <si>
    <t>JORGE VARGAS</t>
  </si>
  <si>
    <t>569 98930910</t>
  </si>
  <si>
    <t>5 DIAS HABILES</t>
  </si>
  <si>
    <t>CUB C/R FRENTE 90°</t>
  </si>
  <si>
    <t>ROJO IMPERIO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</si>
</sst>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170</v>
      </c>
      <c r="D10" s="243"/>
      <c r="E10" s="243"/>
      <c r="F10" s="244" t="s">
        <v>167</v>
      </c>
      <c r="G10" s="275">
        <v>45841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172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171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O37</f>
        <v>98898.486842105267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173</v>
      </c>
      <c r="D21" s="316">
        <v>1.44</v>
      </c>
      <c r="E21" s="316">
        <v>0.6</v>
      </c>
      <c r="F21" s="315" t="s">
        <v>174</v>
      </c>
      <c r="G21" s="317">
        <v>90195</v>
      </c>
      <c r="H21" s="317">
        <f>G21*B21</f>
        <v>90195</v>
      </c>
      <c r="I21" s="305"/>
      <c r="J21" s="264"/>
      <c r="K21" s="47"/>
      <c r="L21" s="47">
        <f>B21</f>
        <v>1</v>
      </c>
      <c r="M21" s="39">
        <f>D21+M$19</f>
        <v>1.52</v>
      </c>
      <c r="N21" s="39">
        <f>E21+$N$19</f>
        <v>0.6</v>
      </c>
      <c r="O21" s="260">
        <f t="shared" ref="O21" si="1">M21*N21</f>
        <v>0.91199999999999992</v>
      </c>
      <c r="P21" s="258">
        <f t="shared" ref="P21" si="2">O21*L21</f>
        <v>0.91199999999999992</v>
      </c>
      <c r="Q21" s="251">
        <f t="shared" ref="Q21" si="3">Q$20*O21</f>
        <v>90195.42</v>
      </c>
      <c r="R21" s="304">
        <f t="shared" ref="R21" si="4">Q21+R$20</f>
        <v>93195.42</v>
      </c>
      <c r="S21" s="292">
        <f>M21*L21</f>
        <v>1.52</v>
      </c>
      <c r="T21" s="46">
        <f>N21*2*L21*2</f>
        <v>2.4</v>
      </c>
      <c r="U21" s="9"/>
      <c r="X21" s="4"/>
    </row>
    <row r="22" spans="1:25" ht="18" thickBot="1" x14ac:dyDescent="0.35">
      <c r="B22" s="282"/>
      <c r="C22" s="282"/>
      <c r="D22" s="283"/>
      <c r="E22" s="283"/>
      <c r="F22" s="282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2"/>
      <c r="T22" s="14"/>
      <c r="U22" s="9"/>
      <c r="X22" s="4"/>
    </row>
    <row r="23" spans="1:25" ht="17.399999999999999" x14ac:dyDescent="0.3">
      <c r="B23" s="282"/>
      <c r="C23" s="282"/>
      <c r="D23" s="283"/>
      <c r="E23" s="283"/>
      <c r="F23" s="282"/>
      <c r="G23" s="309" t="s">
        <v>28</v>
      </c>
      <c r="H23" s="310">
        <f>SUM(H21:H22)</f>
        <v>90195</v>
      </c>
      <c r="I23" s="307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2"/>
      <c r="T23" s="46">
        <f>SUM(T21:T22)</f>
        <v>2.4</v>
      </c>
      <c r="U23" s="9"/>
      <c r="X23" s="4"/>
    </row>
    <row r="24" spans="1:25" ht="17.399999999999999" x14ac:dyDescent="0.3">
      <c r="B24" s="276"/>
      <c r="C24" s="279"/>
      <c r="D24" s="280"/>
      <c r="E24" s="280"/>
      <c r="F24" s="281"/>
      <c r="G24" s="291" t="s">
        <v>51</v>
      </c>
      <c r="H24" s="289"/>
      <c r="I24" s="307"/>
      <c r="J24" s="264"/>
      <c r="K24" s="47"/>
      <c r="L24" s="47"/>
      <c r="M24" s="39">
        <f>SUM(M21:M21)</f>
        <v>1.52</v>
      </c>
      <c r="N24" s="12"/>
      <c r="O24" s="12"/>
      <c r="P24" s="252">
        <f>SUM(P21:P22)</f>
        <v>0.91199999999999992</v>
      </c>
      <c r="Q24" s="14"/>
      <c r="R24" s="12"/>
      <c r="S24" s="239">
        <f>SUM(S21:S23)</f>
        <v>1.52</v>
      </c>
      <c r="T24" s="46"/>
      <c r="U24" s="9"/>
      <c r="X24" s="4"/>
    </row>
    <row r="25" spans="1:25" ht="18" thickBot="1" x14ac:dyDescent="0.35">
      <c r="B25" s="274"/>
      <c r="C25" s="278"/>
      <c r="D25" s="271"/>
      <c r="E25" s="271"/>
      <c r="F25" s="272"/>
      <c r="G25" s="277" t="s">
        <v>6</v>
      </c>
      <c r="H25" s="290">
        <f>H23+H24</f>
        <v>90195</v>
      </c>
      <c r="I25" s="307"/>
      <c r="J25" s="264"/>
      <c r="K25" s="47"/>
      <c r="L25" s="47"/>
      <c r="M25" s="39"/>
      <c r="N25" s="12"/>
      <c r="O25" s="12"/>
      <c r="P25" s="252">
        <f>P24</f>
        <v>0.91199999999999992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0.18240000000000001</v>
      </c>
      <c r="Q26" s="39" t="s">
        <v>129</v>
      </c>
      <c r="R26" s="42"/>
      <c r="S26" s="240"/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1.0943999999999998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296" t="s">
        <v>21</v>
      </c>
      <c r="V28" s="293" t="s">
        <v>149</v>
      </c>
      <c r="W28" s="297">
        <v>44971</v>
      </c>
      <c r="X28" s="298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1.0943999999999998</v>
      </c>
      <c r="N29" s="12">
        <v>3500</v>
      </c>
      <c r="O29" s="12">
        <f t="shared" ref="O29:O34" si="5">M29*N29</f>
        <v>3830.3999999999992</v>
      </c>
      <c r="P29" s="14" t="s">
        <v>21</v>
      </c>
      <c r="Q29" s="14"/>
      <c r="R29" s="14"/>
      <c r="S29" s="241"/>
      <c r="T29" s="14"/>
      <c r="U29" s="296" t="s">
        <v>150</v>
      </c>
      <c r="V29" s="293">
        <v>3625</v>
      </c>
      <c r="W29" s="59" t="s">
        <v>151</v>
      </c>
      <c r="X29" s="298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0.3</v>
      </c>
      <c r="N30" s="12">
        <v>25000</v>
      </c>
      <c r="O30" s="12">
        <f t="shared" si="5"/>
        <v>7500</v>
      </c>
      <c r="P30" s="39" t="s">
        <v>31</v>
      </c>
      <c r="Q30" s="42"/>
      <c r="R30" s="14"/>
      <c r="S30" s="240"/>
      <c r="T30" s="14"/>
      <c r="U30" s="296"/>
      <c r="V30" s="59">
        <v>906.25</v>
      </c>
      <c r="W30" s="59" t="s">
        <v>152</v>
      </c>
      <c r="X30" s="298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37000</v>
      </c>
      <c r="O31" s="12">
        <f t="shared" si="5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8" t="s">
        <v>153</v>
      </c>
      <c r="X31" s="59"/>
    </row>
    <row r="32" spans="1:25" s="230" customFormat="1" ht="17.399999999999999" x14ac:dyDescent="0.35">
      <c r="B32" s="24" t="s">
        <v>164</v>
      </c>
      <c r="C32"/>
      <c r="D32"/>
      <c r="E32"/>
      <c r="F32"/>
      <c r="J32" s="261"/>
      <c r="K32" s="232"/>
      <c r="L32" s="249"/>
      <c r="M32" s="14">
        <v>1</v>
      </c>
      <c r="N32" s="249">
        <v>25605</v>
      </c>
      <c r="O32" s="12">
        <f t="shared" si="5"/>
        <v>25605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8" t="s">
        <v>154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1">
        <v>30470</v>
      </c>
      <c r="K33" s="259"/>
      <c r="L33" s="249"/>
      <c r="M33" s="248"/>
      <c r="N33" s="249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88">
        <f>J33/1.19</f>
        <v>25605.042016806725</v>
      </c>
      <c r="K34" s="259"/>
      <c r="L34" s="249"/>
      <c r="M34" s="265">
        <v>1.52</v>
      </c>
      <c r="N34" s="12">
        <v>1500</v>
      </c>
      <c r="O34" s="12">
        <f t="shared" si="5"/>
        <v>2280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59"/>
      <c r="L35" s="249"/>
      <c r="M35" s="14"/>
      <c r="N35" s="12"/>
      <c r="O35" s="12">
        <f>SUM(O29:O34)</f>
        <v>39215.4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49"/>
      <c r="M36" s="253" t="s">
        <v>33</v>
      </c>
      <c r="N36" s="12"/>
      <c r="O36" s="254">
        <f>O35*2.3</f>
        <v>90195.42</v>
      </c>
      <c r="P36" s="14" t="s">
        <v>138</v>
      </c>
      <c r="Q36" s="14"/>
      <c r="R36" s="40">
        <f>P27/R35</f>
        <v>0.29508196721311469</v>
      </c>
      <c r="S36"/>
      <c r="T36" s="256"/>
    </row>
    <row r="37" spans="2:24" s="230" customFormat="1" ht="17.399999999999999" x14ac:dyDescent="0.35">
      <c r="G37"/>
      <c r="H37" s="259"/>
      <c r="I37" s="259"/>
      <c r="J37" s="259"/>
      <c r="L37" s="249"/>
      <c r="M37" s="14"/>
      <c r="N37" s="12"/>
      <c r="O37" s="12">
        <f>O36/P25</f>
        <v>98898.486842105267</v>
      </c>
      <c r="P37" s="45" t="s">
        <v>24</v>
      </c>
      <c r="Q37" s="14"/>
      <c r="R37" s="14"/>
      <c r="S37"/>
      <c r="T37" s="238"/>
      <c r="U37" s="59" t="s">
        <v>155</v>
      </c>
      <c r="V37" s="293">
        <v>43650</v>
      </c>
    </row>
    <row r="38" spans="2:24" s="230" customFormat="1" ht="17.399999999999999" x14ac:dyDescent="0.35">
      <c r="G38"/>
      <c r="L38" s="249"/>
      <c r="M38" s="13"/>
      <c r="N38" s="14"/>
      <c r="O38" s="17">
        <f>O36/O35</f>
        <v>2.2999999999999998</v>
      </c>
      <c r="P38" s="15"/>
      <c r="Q38"/>
      <c r="R38"/>
      <c r="S38"/>
      <c r="T38" s="238"/>
      <c r="U38" s="59" t="s">
        <v>157</v>
      </c>
      <c r="V38" s="294" t="s">
        <v>156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158</v>
      </c>
      <c r="V39" s="295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49"/>
    </row>
    <row r="43" spans="2:24" x14ac:dyDescent="0.3">
      <c r="L43" s="249"/>
      <c r="T43" s="269"/>
    </row>
    <row r="44" spans="2:24" x14ac:dyDescent="0.3">
      <c r="L44" s="249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45841</v>
      </c>
    </row>
    <row r="6" spans="2:31" ht="16.2" thickBot="1" x14ac:dyDescent="0.35">
      <c r="B6" s="140" t="s">
        <v>2</v>
      </c>
      <c r="C6" s="139" t="str">
        <f>'2229'!C10</f>
        <v>JORGE VARGAS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-3712.2650334541054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90195</v>
      </c>
      <c r="E11" s="132">
        <f>D11*0.19</f>
        <v>17137.05</v>
      </c>
      <c r="F11" s="131">
        <f>E11+D11</f>
        <v>107332.05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102277.73496654589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41164.490787439616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84277.73496654589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49030.509212560384</v>
      </c>
      <c r="E13" s="221">
        <f>(D11/D12)-1</f>
        <v>1.1910874706488754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75277.73496654589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36277.734966545897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67921.409799275367</v>
      </c>
      <c r="F15" s="216">
        <f>E15-D12</f>
        <v>26756.919011835751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36277.734966545897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76277.73496654589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3830.3999999999992</v>
      </c>
      <c r="E20" s="121">
        <f>D20*0.19</f>
        <v>727.77599999999984</v>
      </c>
      <c r="F20" s="120">
        <f>SUM(D20:E20)</f>
        <v>4558.1759999999995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11330.4</v>
      </c>
      <c r="E21" s="116">
        <f>SUM(E18:E20)</f>
        <v>2152.7759999999998</v>
      </c>
      <c r="F21" s="115">
        <f>SUM(F18:F20)</f>
        <v>13483.175999999999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14984.273999999999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90195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11330.4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49030.509212560384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49030.509212560384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2025-07-03T17:05:27Z</cp:lastPrinted>
  <dcterms:created xsi:type="dcterms:W3CDTF">2013-03-18T13:35:42Z</dcterms:created>
  <dcterms:modified xsi:type="dcterms:W3CDTF">2025-07-03T19:48:15Z</dcterms:modified>
</cp:coreProperties>
</file>