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B23CBB50-BE36-46F7-8E82-07DD5D6753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P28" i="1"/>
  <c r="M27" i="1"/>
  <c r="L23" i="1"/>
  <c r="M23" i="1"/>
  <c r="N23" i="1"/>
  <c r="O23" i="1"/>
  <c r="P23" i="1" s="1"/>
  <c r="S23" i="1"/>
  <c r="L24" i="1"/>
  <c r="M24" i="1"/>
  <c r="N24" i="1"/>
  <c r="O24" i="1"/>
  <c r="P24" i="1" s="1"/>
  <c r="S24" i="1"/>
  <c r="L22" i="1"/>
  <c r="M22" i="1"/>
  <c r="S22" i="1" s="1"/>
  <c r="N22" i="1"/>
  <c r="L21" i="1"/>
  <c r="M21" i="1"/>
  <c r="N21" i="1"/>
  <c r="O22" i="1" l="1"/>
  <c r="P22" i="1" s="1"/>
  <c r="O21" i="1"/>
  <c r="P21" i="1" s="1"/>
  <c r="S21" i="1"/>
  <c r="T27" i="1"/>
  <c r="K42" i="1"/>
  <c r="S29" i="1" l="1"/>
  <c r="S30" i="1" s="1"/>
  <c r="S31" i="1" s="1"/>
  <c r="S32" i="1" s="1"/>
  <c r="V35" i="1"/>
  <c r="V36" i="1" s="1"/>
  <c r="O34" i="1" l="1"/>
  <c r="P29" i="1" l="1"/>
  <c r="N20" i="1"/>
  <c r="L20" i="1"/>
  <c r="P30" i="1" l="1"/>
  <c r="P31" i="1" s="1"/>
  <c r="O35" i="1"/>
  <c r="D18" i="3" s="1"/>
  <c r="R39" i="1"/>
  <c r="M33" i="1" l="1"/>
  <c r="R40" i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E18" i="3" l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3" i="1" l="1"/>
  <c r="R23" i="1" s="1"/>
  <c r="Q24" i="1"/>
  <c r="R24" i="1" s="1"/>
  <c r="Q22" i="1"/>
  <c r="Q21" i="1"/>
  <c r="O42" i="1"/>
  <c r="E15" i="3"/>
  <c r="H22" i="1" l="1"/>
  <c r="R22" i="1"/>
  <c r="R21" i="1"/>
  <c r="H21" i="1"/>
  <c r="F15" i="3"/>
  <c r="H27" i="1" l="1"/>
  <c r="H28" i="1" s="1"/>
  <c r="H2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<sst xmlns="http://schemas.openxmlformats.org/spreadsheetml/2006/main" count="236" uniqueCount="175">
  <si>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</si>
  <si>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</si>
  <si>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</si>
  <si>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</si>
  <si>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</si>
  <si>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</si>
  <si>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</si>
  <si>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</si>
  <si>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</si>
  <si>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</si>
  <si>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</si>
  <si>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</si>
  <si>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</si>
  <si>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</si>
  <si>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</si>
  <si>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</si>
  <si>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</si>
  <si>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</si>
  <si>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</si>
  <si>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</si>
  <si>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</si>
  <si>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</si>
  <si>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</si>
  <si>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</si>
  <si>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</si>
  <si>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</si>
  <si>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</si>
  <si>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</si>
  <si>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</si>
  <si>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</si>
  <si>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</si>
  <si>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</si>
  <si>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</si>
  <si>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</si>
  <si>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</si>
  <si>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</si>
  <si>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</si>
  <si>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</si>
  <si>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</si>
  <si>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</si>
  <si>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</si>
  <si>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</si>
  <si>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</si>
  <si>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</si>
  <si>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</si>
  <si>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</si>
  <si>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</si>
  <si>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</si>
  <si>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</si>
  <si>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</si>
  <si>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</si>
  <si>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</si>
  <si>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</si>
  <si>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</si>
  <si>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</si>
  <si>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</si>
  <si>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</si>
  <si>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</si>
  <si>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</si>
  <si>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</si>
  <si>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</si>
  <si>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</si>
  <si>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</si>
  <si>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</si>
  <si>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</si>
  <si>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</si>
  <si>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</si>
  <si>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</si>
  <si>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</si>
  <si>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</si>
  <si>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</si>
  <si>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</si>
  <si>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</si>
  <si>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</si>
  <si>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</si>
  <si>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</si>
  <si>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</si>
  <si>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</si>
  <si>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</si>
  <si>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</si>
  <si>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</si>
  <si>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</si>
  <si>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</si>
  <si>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</si>
  <si>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</si>
  <si>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</si>
  <si>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</si>
  <si>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</si>
  <si>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</si>
  <si>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</si>
  <si>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</si>
  <si>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</si>
  <si>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</si>
  <si>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</si>
  <si>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</si>
  <si>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</si>
  <si>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</si>
  <si>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</si>
  <si>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</si>
  <si>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</si>
  <si>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</si>
  <si>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</si>
  <si>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</si>
  <si>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</si>
  <si>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</si>
  <si>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</si>
  <si>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</si>
  <si>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</si>
  <si>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</si>
  <si>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</si>
  <si>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</si>
  <si>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</si>
  <si>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</si>
  <si>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</si>
  <si>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</si>
  <si>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</si>
  <si>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</si>
  <si>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</si>
  <si>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</si>
  <si>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</si>
  <si>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</si>
  <si>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</si>
  <si>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</si>
  <si>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</si>
  <si>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</si>
  <si>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</si>
  <si>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</si>
  <si>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</si>
  <si>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</si>
  <si>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</si>
  <si>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</si>
  <si>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</si>
  <si>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</si>
  <si>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</si>
  <si>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</si>
  <si>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</si>
  <si>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</si>
  <si>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</si>
  <si>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</si>
  <si>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</si>
  <si>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</si>
  <si>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</si>
  <si>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</si>
  <si>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</si>
  <si>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</si>
  <si>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</si>
  <si>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</si>
  <si>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</si>
  <si>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</si>
  <si>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</si>
  <si>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</si>
  <si>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</si>
  <si>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</si>
  <si>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</si>
  <si>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</si>
  <si>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</si>
  <si>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</si>
  <si>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</si>
  <si>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</si>
  <si>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</si>
  <si>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</si>
  <si>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</si>
  <si>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</si>
  <si>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</si>
  <si>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</si>
  <si>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</si>
  <si>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</si>
  <si>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 xml:space="preserve">ORDEN DE COMPRA </t>
  </si>
  <si>
    <t>3 DIAS HABILES</t>
  </si>
  <si>
    <t>N° 11511</t>
  </si>
  <si>
    <t>JUAN CARLOS PONCE</t>
  </si>
  <si>
    <t>+56 9 9435 5391</t>
  </si>
  <si>
    <t>CUB CON RESPALDO FRENTE R6</t>
  </si>
  <si>
    <t>CUB MESA 2 LADOS R6</t>
  </si>
  <si>
    <t>GRANITINO NEGRO 3014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</si>
</sst>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5430</xdr:colOff>
      <xdr:row>30</xdr:row>
      <xdr:rowOff>9525</xdr:rowOff>
    </xdr:from>
    <xdr:to>
      <xdr:col>5</xdr:col>
      <xdr:colOff>1769808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5107" y="5925267"/>
          <a:ext cx="6311798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/>
            <a:t>Importante:</a:t>
          </a:r>
          <a:r>
            <a:rPr lang="es-CL" sz="1400"/>
            <a:t> Verifique que toda la información esté correcta antes de aceptar. No nos hacemos responsables por diferencias posteriores si los datos no fueron revisados.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24582</xdr:colOff>
      <xdr:row>26</xdr:row>
      <xdr:rowOff>9525</xdr:rowOff>
    </xdr:from>
    <xdr:to>
      <xdr:col>5</xdr:col>
      <xdr:colOff>1753421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9" y="5032170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200" b="1">
              <a:latin typeface="+mn-lt"/>
            </a:rPr>
            <a:t>Observaciones: </a:t>
          </a:r>
          <a:r>
            <a:rPr lang="es-CL" sz="1200">
              <a:latin typeface="+mn-lt"/>
            </a:rPr>
            <a:t>Las cubiertas se entregan </a:t>
          </a:r>
          <a:r>
            <a:rPr lang="es-CL" sz="1200" b="1">
              <a:latin typeface="+mn-lt"/>
            </a:rPr>
            <a:t>sobremedidas en el largo</a:t>
          </a:r>
          <a:r>
            <a:rPr lang="es-CL" sz="1200">
              <a:latin typeface="+mn-lt"/>
            </a:rPr>
            <a:t>, lo que permite al instalador realizar ajustes precisos en terreno. Esto asegura una mejor adaptación a muros que puedan estar descuadrados.</a:t>
          </a:r>
          <a:r>
            <a:rPr lang="es-CL" sz="1200" baseline="0">
              <a:latin typeface="+mn-lt"/>
            </a:rPr>
            <a:t> Se fabrican con material </a:t>
          </a:r>
          <a:r>
            <a:rPr lang="es-CL" sz="1200" b="1" baseline="0">
              <a:latin typeface="+mn-lt"/>
            </a:rPr>
            <a:t>MDF 18mm.</a:t>
          </a:r>
          <a:endParaRPr lang="es-CL" sz="1200" b="1">
            <a:latin typeface="+mn-lt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40.4414062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45847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F13" t="s">
        <v>167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74240.76361526009</v>
      </c>
      <c r="R20" s="258">
        <v>2000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172</v>
      </c>
      <c r="D21" s="333">
        <v>1.42</v>
      </c>
      <c r="E21" s="333">
        <v>0.61</v>
      </c>
      <c r="F21" s="330" t="s">
        <v>174</v>
      </c>
      <c r="G21" s="331">
        <v>69930</v>
      </c>
      <c r="H21" s="331">
        <f t="shared" ref="H21:H24" si="1">G21*B21</f>
        <v>69930</v>
      </c>
      <c r="I21" s="320"/>
      <c r="J21" s="265"/>
      <c r="K21" s="47"/>
      <c r="L21" s="332">
        <f t="shared" ref="L21" si="2">B21</f>
        <v>1</v>
      </c>
      <c r="M21" s="39">
        <f t="shared" ref="M21" si="3">D21+M$19</f>
        <v>1.5</v>
      </c>
      <c r="N21" s="39">
        <f t="shared" ref="N21" si="4">E21+$N$19</f>
        <v>0.61</v>
      </c>
      <c r="O21" s="261">
        <f t="shared" ref="O21" si="5">M21*N21</f>
        <v>0.91500000000000004</v>
      </c>
      <c r="P21" s="259">
        <f t="shared" ref="P21" si="6">O21*L21</f>
        <v>0.91500000000000004</v>
      </c>
      <c r="Q21" s="252">
        <f t="shared" ref="Q21" si="7">Q$20*O21</f>
        <v>67930.298707962982</v>
      </c>
      <c r="R21" s="319">
        <f t="shared" ref="R21" si="8">Q21+R$20</f>
        <v>69930.298707962982</v>
      </c>
      <c r="S21" s="297">
        <f t="shared" ref="S21" si="9">M21*L21</f>
        <v>1.5</v>
      </c>
      <c r="T21" s="46"/>
      <c r="U21" s="9"/>
      <c r="X21" s="4"/>
    </row>
    <row r="22" spans="2:25" ht="17.399999999999999" x14ac:dyDescent="0.3">
      <c r="B22" s="330">
        <v>1</v>
      </c>
      <c r="C22" s="330" t="s">
        <v>172</v>
      </c>
      <c r="D22" s="333">
        <v>1.24</v>
      </c>
      <c r="E22" s="333">
        <v>0.61</v>
      </c>
      <c r="F22" s="330" t="s">
        <v>174</v>
      </c>
      <c r="G22" s="331">
        <v>61779</v>
      </c>
      <c r="H22" s="331">
        <f t="shared" si="1"/>
        <v>61779</v>
      </c>
      <c r="I22" s="320"/>
      <c r="J22" s="265"/>
      <c r="K22" s="47"/>
      <c r="L22" s="332">
        <f t="shared" ref="L22" si="10">B22</f>
        <v>1</v>
      </c>
      <c r="M22" s="39">
        <f t="shared" ref="M22" si="11">D22+M$19</f>
        <v>1.32</v>
      </c>
      <c r="N22" s="39">
        <f t="shared" ref="N22" si="12">E22+$N$19</f>
        <v>0.61</v>
      </c>
      <c r="O22" s="261">
        <f t="shared" ref="O22" si="13">M22*N22</f>
        <v>0.80520000000000003</v>
      </c>
      <c r="P22" s="259">
        <f t="shared" ref="P22" si="14">O22*L22</f>
        <v>0.80520000000000003</v>
      </c>
      <c r="Q22" s="252">
        <f t="shared" ref="Q22" si="15">Q$20*O22</f>
        <v>59778.662863007426</v>
      </c>
      <c r="R22" s="319">
        <f t="shared" ref="R22" si="16">Q22+R$20</f>
        <v>61778.662863007426</v>
      </c>
      <c r="S22" s="297">
        <f t="shared" ref="S22" si="17">M22*L22</f>
        <v>1.32</v>
      </c>
      <c r="T22" s="46"/>
      <c r="U22" s="9"/>
      <c r="X22" s="4"/>
    </row>
    <row r="23" spans="2:25" ht="17.399999999999999" x14ac:dyDescent="0.3">
      <c r="B23" s="330">
        <v>1</v>
      </c>
      <c r="C23" s="330" t="s">
        <v>173</v>
      </c>
      <c r="D23" s="333">
        <v>1.54</v>
      </c>
      <c r="E23" s="333">
        <v>0.38</v>
      </c>
      <c r="F23" s="330" t="s">
        <v>174</v>
      </c>
      <c r="G23" s="331">
        <v>47703</v>
      </c>
      <c r="H23" s="331">
        <f t="shared" si="1"/>
        <v>47703</v>
      </c>
      <c r="I23" s="320"/>
      <c r="J23" s="265"/>
      <c r="K23" s="47"/>
      <c r="L23" s="332">
        <f t="shared" ref="L23:L24" si="18">B23</f>
        <v>1</v>
      </c>
      <c r="M23" s="39">
        <f t="shared" ref="M23:M24" si="19">D23+M$19</f>
        <v>1.62</v>
      </c>
      <c r="N23" s="39">
        <f t="shared" ref="N23:N24" si="20">E23+$N$19</f>
        <v>0.38</v>
      </c>
      <c r="O23" s="261">
        <f t="shared" ref="O23:O24" si="21">M23*N23</f>
        <v>0.61560000000000004</v>
      </c>
      <c r="P23" s="259">
        <f t="shared" ref="P23:P24" si="22">O23*L23</f>
        <v>0.61560000000000004</v>
      </c>
      <c r="Q23" s="252">
        <f t="shared" ref="Q23:Q24" si="23">Q$20*O23</f>
        <v>45702.614081554115</v>
      </c>
      <c r="R23" s="319">
        <f t="shared" ref="R23:R24" si="24">Q23+R$20</f>
        <v>47702.614081554115</v>
      </c>
      <c r="S23" s="297">
        <f t="shared" ref="S23:S24" si="25">M23*L23</f>
        <v>1.62</v>
      </c>
      <c r="T23" s="46"/>
      <c r="U23" s="9"/>
      <c r="X23" s="4"/>
    </row>
    <row r="24" spans="2:25" ht="17.399999999999999" x14ac:dyDescent="0.3">
      <c r="B24" s="330">
        <v>1</v>
      </c>
      <c r="C24" s="330" t="s">
        <v>173</v>
      </c>
      <c r="D24" s="333">
        <v>1.69</v>
      </c>
      <c r="E24" s="333">
        <v>0.53</v>
      </c>
      <c r="F24" s="330" t="s">
        <v>174</v>
      </c>
      <c r="G24" s="331">
        <v>71645</v>
      </c>
      <c r="H24" s="331">
        <f t="shared" si="1"/>
        <v>71645</v>
      </c>
      <c r="I24" s="320"/>
      <c r="J24" s="265"/>
      <c r="K24" s="47"/>
      <c r="L24" s="332">
        <f t="shared" si="18"/>
        <v>1</v>
      </c>
      <c r="M24" s="39">
        <f t="shared" si="19"/>
        <v>1.77</v>
      </c>
      <c r="N24" s="39">
        <f t="shared" si="20"/>
        <v>0.53</v>
      </c>
      <c r="O24" s="261">
        <f t="shared" si="21"/>
        <v>0.93810000000000004</v>
      </c>
      <c r="P24" s="259">
        <f t="shared" si="22"/>
        <v>0.93810000000000004</v>
      </c>
      <c r="Q24" s="252">
        <f t="shared" si="23"/>
        <v>69645.260347475487</v>
      </c>
      <c r="R24" s="319">
        <f t="shared" si="24"/>
        <v>71645.260347475487</v>
      </c>
      <c r="S24" s="297">
        <f t="shared" si="25"/>
        <v>1.77</v>
      </c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20"/>
      <c r="H25" s="320"/>
      <c r="I25" s="320"/>
      <c r="J25" s="265"/>
      <c r="K25" s="47"/>
      <c r="L25" s="332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1"/>
      <c r="I26" s="323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4" t="s">
        <v>28</v>
      </c>
      <c r="H27" s="325">
        <f>SUM(H21:H26)</f>
        <v>251057</v>
      </c>
      <c r="I27" s="322"/>
      <c r="J27" s="265"/>
      <c r="K27" s="47"/>
      <c r="L27" s="47"/>
      <c r="M27" s="39">
        <f>SUM(M21:M22)</f>
        <v>2.8200000000000003</v>
      </c>
      <c r="N27" s="39"/>
      <c r="O27" s="261"/>
      <c r="P27" s="259"/>
      <c r="Q27" s="252"/>
      <c r="R27" s="258"/>
      <c r="S27" s="297"/>
      <c r="T27" s="46">
        <f>SUM(T21:T26)</f>
        <v>0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47700.83</v>
      </c>
      <c r="I28" s="322"/>
      <c r="J28" s="265"/>
      <c r="K28" s="47"/>
      <c r="L28" s="47"/>
      <c r="N28" s="12"/>
      <c r="O28" s="12"/>
      <c r="P28" s="253">
        <f>SUM(P21:P26)</f>
        <v>3.2739000000000003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298757.83</v>
      </c>
      <c r="I29" s="322"/>
      <c r="J29" s="265"/>
      <c r="K29" s="47"/>
      <c r="L29" s="47"/>
      <c r="M29" s="39"/>
      <c r="N29" s="12"/>
      <c r="O29" s="12"/>
      <c r="P29" s="253">
        <f>P28</f>
        <v>3.2739000000000003</v>
      </c>
      <c r="Q29" s="14"/>
      <c r="R29" s="12"/>
      <c r="S29" s="239">
        <f>SUM(S21:S28)</f>
        <v>6.2100000000000009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0.65478000000000014</v>
      </c>
      <c r="Q30" s="39" t="s">
        <v>130</v>
      </c>
      <c r="R30" s="42"/>
      <c r="S30" s="240">
        <f>S29+T27</f>
        <v>6.2100000000000009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3.9286800000000004</v>
      </c>
      <c r="Q31" s="14"/>
      <c r="R31" s="14"/>
      <c r="S31" s="238">
        <f>S30*20%</f>
        <v>1.2420000000000002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7.4520000000000008</v>
      </c>
      <c r="T32" s="14"/>
      <c r="U32" s="302" t="s">
        <v>21</v>
      </c>
      <c r="V32" s="299" t="s">
        <v>152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3.9286800000000004</v>
      </c>
      <c r="N33" s="12">
        <v>3500</v>
      </c>
      <c r="O33" s="12">
        <f t="shared" ref="O33:O38" si="26">M33*N33</f>
        <v>13750.380000000001</v>
      </c>
      <c r="P33" s="14" t="s">
        <v>21</v>
      </c>
      <c r="Q33" s="14"/>
      <c r="R33" s="14"/>
      <c r="S33" s="241"/>
      <c r="T33" s="14"/>
      <c r="U33" s="302" t="s">
        <v>153</v>
      </c>
      <c r="V33" s="299">
        <v>3625</v>
      </c>
      <c r="W33" s="59" t="s">
        <v>154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1.1000000000000001</v>
      </c>
      <c r="N34" s="12">
        <v>25000</v>
      </c>
      <c r="O34" s="12">
        <f t="shared" si="26"/>
        <v>27500.000000000004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155</v>
      </c>
      <c r="X34" s="304"/>
    </row>
    <row r="35" spans="1:24" s="230" customFormat="1" ht="17.399999999999999" x14ac:dyDescent="0.35">
      <c r="B35" s="24" t="s">
        <v>151</v>
      </c>
      <c r="J35" s="262"/>
      <c r="K35" s="232"/>
      <c r="L35" s="250"/>
      <c r="M35" s="14">
        <v>1</v>
      </c>
      <c r="N35" s="250">
        <v>65000</v>
      </c>
      <c r="O35" s="12">
        <f t="shared" si="26"/>
        <v>65000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156</v>
      </c>
      <c r="X35" s="59"/>
    </row>
    <row r="36" spans="1:24" s="230" customFormat="1" ht="17.399999999999999" x14ac:dyDescent="0.35">
      <c r="B36" s="24" t="s">
        <v>144</v>
      </c>
      <c r="C36"/>
      <c r="D36"/>
      <c r="E36"/>
      <c r="F36"/>
      <c r="J36" s="262"/>
      <c r="K36" s="232"/>
      <c r="L36" s="250"/>
      <c r="M36" s="14"/>
      <c r="N36" s="250">
        <v>23000</v>
      </c>
      <c r="O36" s="12">
        <f t="shared" si="26"/>
        <v>0</v>
      </c>
      <c r="P36" s="14" t="s">
        <v>141</v>
      </c>
      <c r="Q36" s="17"/>
      <c r="S36" s="238"/>
      <c r="T36" s="256"/>
      <c r="U36" s="59"/>
      <c r="V36" s="59">
        <f>V34+V35</f>
        <v>1087.5</v>
      </c>
      <c r="W36" s="304" t="s">
        <v>157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 t="shared" si="26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3"/>
      <c r="K38" s="260"/>
      <c r="L38" s="250"/>
      <c r="M38" s="266">
        <v>2.82</v>
      </c>
      <c r="N38" s="12">
        <v>1500</v>
      </c>
      <c r="O38" s="12">
        <f t="shared" si="26"/>
        <v>4230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110480.38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O39*2.2</f>
        <v>243056.83600000004</v>
      </c>
      <c r="P40" s="14" t="s">
        <v>140</v>
      </c>
      <c r="Q40" s="14"/>
      <c r="R40" s="40">
        <f>P31/R39</f>
        <v>1.0592860224331322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K41" s="230">
        <v>77240</v>
      </c>
      <c r="L41" s="250"/>
      <c r="M41" s="14"/>
      <c r="N41" s="12"/>
      <c r="O41" s="12">
        <f>O40/P29</f>
        <v>74240.76361526009</v>
      </c>
      <c r="P41" s="45" t="s">
        <v>24</v>
      </c>
      <c r="Q41" s="14"/>
      <c r="R41" s="14"/>
      <c r="S41"/>
      <c r="T41" s="238"/>
      <c r="U41" s="59" t="s">
        <v>158</v>
      </c>
      <c r="V41" s="299">
        <v>43650</v>
      </c>
    </row>
    <row r="42" spans="1:24" s="230" customFormat="1" ht="17.399999999999999" x14ac:dyDescent="0.35">
      <c r="G42"/>
      <c r="K42" s="230">
        <f>K41/1.19</f>
        <v>64907.563025210089</v>
      </c>
      <c r="L42" s="250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160</v>
      </c>
      <c r="V42" s="300" t="s">
        <v>159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161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156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148</v>
      </c>
    </row>
    <row r="77" spans="3:15" x14ac:dyDescent="0.3">
      <c r="C77" t="s">
        <v>147</v>
      </c>
    </row>
    <row r="80" spans="3:15" x14ac:dyDescent="0.3">
      <c r="C80" t="s">
        <v>147</v>
      </c>
    </row>
    <row r="157" spans="3:3" x14ac:dyDescent="0.3">
      <c r="C157" t="s">
        <v>147</v>
      </c>
    </row>
    <row r="158" spans="3:3" x14ac:dyDescent="0.3">
      <c r="C158" t="s">
        <v>149</v>
      </c>
    </row>
    <row r="159" spans="3:3" x14ac:dyDescent="0.3">
      <c r="C159" t="s">
        <v>150</v>
      </c>
    </row>
    <row r="584" spans="3:3" x14ac:dyDescent="0.3">
      <c r="C584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D12" sqref="D12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45847</v>
      </c>
    </row>
    <row r="6" spans="2:31" ht="16.2" thickBot="1" x14ac:dyDescent="0.35">
      <c r="B6" s="140" t="s">
        <v>2</v>
      </c>
      <c r="C6" s="139" t="str">
        <f>'2229'!C10</f>
        <v>JUAN CARLOS PONCE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11511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-4419.6038667874427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251057</v>
      </c>
      <c r="E11" s="132">
        <f>D11*0.19</f>
        <v>47700.83</v>
      </c>
      <c r="F11" s="131">
        <f>E11+D11</f>
        <v>298757.83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101570.39613321256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136084.47078743961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83570.396133212562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114972.52921256039</v>
      </c>
      <c r="E13" s="221">
        <f>(D11/D12)-1</f>
        <v>0.84486149335984462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74570.396133212562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35570.396133212555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224539.37679927534</v>
      </c>
      <c r="F15" s="216">
        <f>E15-D12</f>
        <v>88454.90601183573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35570.396133212555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75570.396133212562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65000</v>
      </c>
      <c r="E18" s="123">
        <f>D18*0.19</f>
        <v>12350</v>
      </c>
      <c r="F18" s="120">
        <f>SUM(D18:E18)</f>
        <v>77350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27500.000000000004</v>
      </c>
      <c r="E19" s="123">
        <f>D19*0.19</f>
        <v>5225.0000000000009</v>
      </c>
      <c r="F19" s="120">
        <f>SUM(D19:E19)</f>
        <v>32725.000000000004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13750.380000000001</v>
      </c>
      <c r="E20" s="121">
        <f>D20*0.19</f>
        <v>2612.5722000000001</v>
      </c>
      <c r="F20" s="120">
        <f>SUM(D20:E20)</f>
        <v>16362.952200000002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106250.38</v>
      </c>
      <c r="E21" s="116">
        <f>SUM(E18:E20)</f>
        <v>20187.572199999999</v>
      </c>
      <c r="F21" s="115">
        <f>SUM(F18:F20)</f>
        <v>126437.9522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27513.257800000003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251057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106250.38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114972.52921256039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114972.52921256039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2025-07-08T18:53:50Z</cp:lastPrinted>
  <dcterms:created xsi:type="dcterms:W3CDTF">2013-03-18T13:35:42Z</dcterms:created>
  <dcterms:modified xsi:type="dcterms:W3CDTF">2025-07-09T15:09:37Z</dcterms:modified>
</cp:coreProperties>
</file>