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5EF206C3-322D-4EC7-955D-E27206EB5D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4" i="1" s="1"/>
  <c r="L21" i="1" l="1"/>
  <c r="N21" i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<sst xmlns="http://schemas.openxmlformats.org/spreadsheetml/2006/main" count="229" uniqueCount="174">
  <si>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</si>
  <si>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</si>
  <si>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</si>
  <si>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</si>
  <si>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</si>
  <si>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</si>
  <si>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</si>
  <si>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</si>
  <si>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</si>
  <si>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</si>
  <si>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</si>
  <si>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</si>
  <si>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</si>
  <si>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</si>
  <si>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</si>
  <si>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</si>
  <si>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</si>
  <si>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</si>
  <si>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</si>
  <si>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</si>
  <si>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</si>
  <si>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</si>
  <si>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</si>
  <si>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</si>
  <si>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</si>
  <si>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</si>
  <si>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</si>
  <si>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</si>
  <si>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</si>
  <si>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</si>
  <si>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</si>
  <si>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</si>
  <si>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</si>
  <si>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</si>
  <si>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</si>
  <si>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</si>
  <si>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</si>
  <si>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</si>
  <si>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</si>
  <si>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</si>
  <si>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</si>
  <si>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</si>
  <si>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</si>
  <si>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</si>
  <si>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</si>
  <si>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</si>
  <si>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</si>
  <si>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</si>
  <si>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</si>
  <si>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</si>
  <si>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</si>
  <si>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</si>
  <si>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</si>
  <si>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</si>
  <si>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</si>
  <si>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</si>
  <si>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</si>
  <si>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</si>
  <si>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</si>
  <si>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</si>
  <si>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</si>
  <si>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</si>
  <si>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</si>
  <si>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</si>
  <si>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</si>
  <si>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</si>
  <si>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</si>
  <si>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</si>
  <si>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</si>
  <si>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</si>
  <si>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</si>
  <si>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</si>
  <si>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</si>
  <si>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</si>
  <si>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</si>
  <si>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</si>
  <si>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</si>
  <si>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</si>
  <si>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</si>
  <si>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</si>
  <si>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</si>
  <si>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</si>
  <si>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</si>
  <si>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</si>
  <si>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</si>
  <si>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</si>
  <si>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</si>
  <si>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</si>
  <si>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</si>
  <si>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</si>
  <si>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</si>
  <si>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</si>
  <si>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</si>
  <si>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</si>
  <si>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</si>
  <si>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</si>
  <si>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</si>
  <si>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</si>
  <si>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</si>
  <si>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</si>
  <si>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</si>
  <si>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</si>
  <si>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</si>
  <si>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</si>
  <si>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</si>
  <si>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</si>
  <si>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</si>
  <si>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</si>
  <si>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</si>
  <si>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</si>
  <si>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</si>
  <si>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</si>
  <si>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</si>
  <si>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</si>
  <si>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</si>
  <si>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</si>
  <si>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</si>
  <si>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</si>
  <si>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</si>
  <si>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</si>
  <si>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</si>
  <si>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</si>
  <si>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</si>
  <si>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</si>
  <si>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</si>
  <si>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</si>
  <si>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</si>
  <si>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</si>
  <si>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</si>
  <si>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</si>
  <si>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</si>
  <si>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</si>
  <si>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</si>
  <si>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</si>
  <si>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</si>
  <si>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</si>
  <si>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</si>
  <si>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</si>
  <si>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</si>
  <si>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</si>
  <si>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</si>
  <si>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</si>
  <si>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</si>
  <si>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</si>
  <si>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</si>
  <si>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</si>
  <si>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</si>
  <si>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</si>
  <si>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</si>
  <si>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</si>
  <si>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</si>
  <si>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</si>
  <si>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</si>
  <si>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</si>
  <si>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</si>
  <si>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</si>
  <si>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</si>
  <si>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</si>
  <si>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</si>
  <si>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</si>
  <si>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</si>
  <si>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</si>
  <si>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</si>
  <si>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</si>
  <si>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</si>
  <si>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</si>
  <si>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</si>
  <si>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</si>
  <si>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</si>
  <si>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</si>
  <si>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</si>
  <si>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CUB CON RESPALDO FRENTE 90°</t>
  </si>
  <si>
    <t>NEGRO MT</t>
  </si>
  <si>
    <t>N° 11539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</si>
</sst>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/>
      <c r="D10" s="239"/>
      <c r="E10" s="239"/>
      <c r="F10" s="240" t="s">
        <v>167</v>
      </c>
      <c r="G10" s="271">
        <v>45862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/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52973.164556962023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1.5</v>
      </c>
      <c r="E21" s="331">
        <v>0.5</v>
      </c>
      <c r="F21" s="330" t="s">
        <v>172</v>
      </c>
      <c r="G21" s="332">
        <f>Q21</f>
        <v>41848.800000000003</v>
      </c>
      <c r="H21" s="333">
        <f>G21*B21</f>
        <v>41848.800000000003</v>
      </c>
      <c r="I21" s="299"/>
      <c r="J21" s="260"/>
      <c r="K21" s="44"/>
      <c r="L21" s="44">
        <f>B21</f>
        <v>1</v>
      </c>
      <c r="M21" s="36">
        <f>D21+M$19</f>
        <v>1.58</v>
      </c>
      <c r="N21" s="36">
        <f>E21+$N$19</f>
        <v>0.5</v>
      </c>
      <c r="O21" s="256">
        <f t="shared" ref="O21" si="1">M21*N21</f>
        <v>0.79</v>
      </c>
      <c r="P21" s="254">
        <f t="shared" ref="P21" si="2">O21*L21</f>
        <v>0.79</v>
      </c>
      <c r="Q21" s="247">
        <f t="shared" ref="Q21" si="3">Q$20*O21</f>
        <v>41848.800000000003</v>
      </c>
      <c r="R21" s="298">
        <f t="shared" ref="R21" si="4">Q21+R$20</f>
        <v>44848.800000000003</v>
      </c>
      <c r="S21" s="286">
        <f>M21*L21</f>
        <v>1.58</v>
      </c>
      <c r="T21" s="43">
        <f>N21*2*L21*2</f>
        <v>2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41848.800000000003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7951.2720000000008</v>
      </c>
      <c r="I24" s="301"/>
      <c r="J24" s="260"/>
      <c r="K24" s="319"/>
      <c r="L24" s="44"/>
      <c r="M24" s="36">
        <f>SUM(M21:M21)</f>
        <v>1.58</v>
      </c>
      <c r="N24" s="12"/>
      <c r="O24" s="12"/>
      <c r="P24" s="248">
        <f>SUM(P21:P22)</f>
        <v>0.79</v>
      </c>
      <c r="Q24" s="14"/>
      <c r="R24" s="12"/>
      <c r="S24" s="235">
        <f>SUM(S21:S23)</f>
        <v>1.58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49800.072</v>
      </c>
      <c r="I25" s="301"/>
      <c r="J25" s="260"/>
      <c r="K25" s="319"/>
      <c r="L25" s="44"/>
      <c r="M25" s="36"/>
      <c r="N25" s="12"/>
      <c r="O25" s="12"/>
      <c r="P25" s="248">
        <f>P24</f>
        <v>0.79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0.15800000000000003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334"/>
      <c r="K27" s="44"/>
      <c r="L27" s="44"/>
      <c r="M27" s="14"/>
      <c r="N27" s="12"/>
      <c r="O27" s="12"/>
      <c r="P27" s="43">
        <f>P25+P26</f>
        <v>0.94800000000000006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0.94800000000000006</v>
      </c>
      <c r="N29" s="12">
        <v>3500</v>
      </c>
      <c r="O29" s="12">
        <f t="shared" ref="O29:O34" si="5">M29*N29</f>
        <v>3318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0.26</v>
      </c>
      <c r="N30" s="12">
        <v>23500</v>
      </c>
      <c r="O30" s="12">
        <f t="shared" si="5"/>
        <v>6110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0.44500000000000001</v>
      </c>
      <c r="N32" s="245">
        <v>20000</v>
      </c>
      <c r="O32" s="12">
        <f t="shared" si="5"/>
        <v>8900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1.6</v>
      </c>
      <c r="N34" s="12">
        <v>1000</v>
      </c>
      <c r="O34" s="12">
        <f t="shared" si="5"/>
        <v>1600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19928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41848.800000000003</v>
      </c>
      <c r="P36" s="14" t="s">
        <v>138</v>
      </c>
      <c r="Q36" s="14"/>
      <c r="R36" s="37">
        <f>P27/R35</f>
        <v>0.25560828300258848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52973.164556962023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45862</v>
      </c>
    </row>
    <row r="6" spans="1:31" ht="16.2" thickBot="1" x14ac:dyDescent="0.35">
      <c r="B6" s="137" t="s">
        <v>2</v>
      </c>
      <c r="C6" s="136">
        <f>'2229'!C10</f>
        <v>0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867.04274009661822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41848.800000000003</v>
      </c>
      <c r="E11" s="129">
        <f>D11*0.19</f>
        <v>7951.2720000000008</v>
      </c>
      <c r="F11" s="128">
        <f>E11+D11</f>
        <v>49800.072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106857.04274009661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29406.910275362319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88857.042740096615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12441.889724637684</v>
      </c>
      <c r="E13" s="218">
        <f>(D11/D12)-1</f>
        <v>0.42309408258581116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79857.042740096615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40857.042740096615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55990.757164289855</v>
      </c>
      <c r="C15" s="210" t="s">
        <v>121</v>
      </c>
      <c r="D15" s="211">
        <v>0.6</v>
      </c>
      <c r="E15" s="212">
        <f>(100%+D15)*D12</f>
        <v>47051.056440579712</v>
      </c>
      <c r="F15" s="213">
        <f>E15-D12</f>
        <v>17644.146165217393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40857.042740096615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80857.042740096615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6110</v>
      </c>
      <c r="E19" s="120">
        <f>D19*0.19</f>
        <v>1160.9000000000001</v>
      </c>
      <c r="F19" s="117">
        <f>SUM(D19:E19)</f>
        <v>7270.9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3318</v>
      </c>
      <c r="E20" s="118">
        <f>D20*0.19</f>
        <v>630.41999999999996</v>
      </c>
      <c r="F20" s="117">
        <f>SUM(D20:E20)</f>
        <v>3948.42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9428</v>
      </c>
      <c r="E21" s="113">
        <f>SUM(E18:E20)</f>
        <v>1791.3200000000002</v>
      </c>
      <c r="F21" s="112">
        <f>SUM(F18:F20)</f>
        <v>11219.32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6159.9520000000011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41848.800000000003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9428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12441.889724637684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12441.889724637684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2025-07-24T14:47:02Z</cp:lastPrinted>
  <dcterms:created xsi:type="dcterms:W3CDTF">2013-03-18T13:35:42Z</dcterms:created>
  <dcterms:modified xsi:type="dcterms:W3CDTF">2025-07-24T19:59:50Z</dcterms:modified>
</cp:coreProperties>
</file>