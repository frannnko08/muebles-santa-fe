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E58026E4-FECE-44F1-8861-849254254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M30" i="1"/>
  <c r="L22" i="1"/>
  <c r="M22" i="1"/>
  <c r="S22" i="1" s="1"/>
  <c r="N22" i="1"/>
  <c r="O22" i="1" l="1"/>
  <c r="P22" i="1" s="1"/>
  <c r="L21" i="1"/>
  <c r="M21" i="1"/>
  <c r="M24" i="1" s="1"/>
  <c r="N21" i="1"/>
  <c r="O21" i="1" l="1"/>
  <c r="P21" i="1" s="1"/>
  <c r="S21" i="1"/>
  <c r="T24" i="1"/>
  <c r="K39" i="1"/>
  <c r="P25" i="1" l="1"/>
  <c r="S26" i="1"/>
  <c r="S27" i="1" s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D18" i="3" s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Q21" i="1"/>
  <c r="O39" i="1"/>
  <c r="E15" i="3"/>
  <c r="H21" i="1" l="1"/>
  <c r="R22" i="1"/>
  <c r="H22" i="1"/>
  <c r="R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<sst xmlns="http://schemas.openxmlformats.org/spreadsheetml/2006/main" count="232" uniqueCount="174">
  <si>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</si>
  <si>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</si>
  <si>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</si>
  <si>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</si>
  <si>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</si>
  <si>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</si>
  <si>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</si>
  <si>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</si>
  <si>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</si>
  <si>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</si>
  <si>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</si>
  <si>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</si>
  <si>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</si>
  <si>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</si>
  <si>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</si>
  <si>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</si>
  <si>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</si>
  <si>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</si>
  <si>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</si>
  <si>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</si>
  <si>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</si>
  <si>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</si>
  <si>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</si>
  <si>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</si>
  <si>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</si>
  <si>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</si>
  <si>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</si>
  <si>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</si>
  <si>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</si>
  <si>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</si>
  <si>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</si>
  <si>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</si>
  <si>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</si>
  <si>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</si>
  <si>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</si>
  <si>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</si>
  <si>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</si>
  <si>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</si>
  <si>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</si>
  <si>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</si>
  <si>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</si>
  <si>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</si>
  <si>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</si>
  <si>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</si>
  <si>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</si>
  <si>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</si>
  <si>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</si>
  <si>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</si>
  <si>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</si>
  <si>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</si>
  <si>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</si>
  <si>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</si>
  <si>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</si>
  <si>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</si>
  <si>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</si>
  <si>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</si>
  <si>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</si>
  <si>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</si>
  <si>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</si>
  <si>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</si>
  <si>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</si>
  <si>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</si>
  <si>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</si>
  <si>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</si>
  <si>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</si>
  <si>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</si>
  <si>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</si>
  <si>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</si>
  <si>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</si>
  <si>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</si>
  <si>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</si>
  <si>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</si>
  <si>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</si>
  <si>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</si>
  <si>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</si>
  <si>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</si>
  <si>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</si>
  <si>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</si>
  <si>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</si>
  <si>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</si>
  <si>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</si>
  <si>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</si>
  <si>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</si>
  <si>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</si>
  <si>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</si>
  <si>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</si>
  <si>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</si>
  <si>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</si>
  <si>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</si>
  <si>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</si>
  <si>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</si>
  <si>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</si>
  <si>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</si>
  <si>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</si>
  <si>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</si>
  <si>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</si>
  <si>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</si>
  <si>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</si>
  <si>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</si>
  <si>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</si>
  <si>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</si>
  <si>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</si>
  <si>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</si>
  <si>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</si>
  <si>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</si>
  <si>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</si>
  <si>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</si>
  <si>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</si>
  <si>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</si>
  <si>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</si>
  <si>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</si>
  <si>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</si>
  <si>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</si>
  <si>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</si>
  <si>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</si>
  <si>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</si>
  <si>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</si>
  <si>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</si>
  <si>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</si>
  <si>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</si>
  <si>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</si>
  <si>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</si>
  <si>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</si>
  <si>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</si>
  <si>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</si>
  <si>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</si>
  <si>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</si>
  <si>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</si>
  <si>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</si>
  <si>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</si>
  <si>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</si>
  <si>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</si>
  <si>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</si>
  <si>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</si>
  <si>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</si>
  <si>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</si>
  <si>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</si>
  <si>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</si>
  <si>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</si>
  <si>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</si>
  <si>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</si>
  <si>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</si>
  <si>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</si>
  <si>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</si>
  <si>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</si>
  <si>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</si>
  <si>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</si>
  <si>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</si>
  <si>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</si>
  <si>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</si>
  <si>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</si>
  <si>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</si>
  <si>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</si>
  <si>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</si>
  <si>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</si>
  <si>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</si>
  <si>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</si>
  <si>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</si>
  <si>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</si>
  <si>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</si>
  <si>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</si>
  <si>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</si>
  <si>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</si>
  <si>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</si>
  <si>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</si>
  <si>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</si>
  <si>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</si>
  <si>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</si>
  <si>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+56 9 5717 1269</t>
  </si>
  <si>
    <t>3 DIAS HABILES</t>
  </si>
  <si>
    <t>PAULA CAMPOS</t>
  </si>
  <si>
    <t>N° 11517</t>
  </si>
  <si>
    <t>CUB CON RESPALDO 90° R6</t>
  </si>
  <si>
    <t>MOUSE 2193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</si>
</sst>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0" fillId="20" borderId="0" xfId="0" applyNumberFormat="1" applyFill="1"/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27</xdr:row>
      <xdr:rowOff>9525</xdr:rowOff>
    </xdr:from>
    <xdr:to>
      <xdr:col>5</xdr:col>
      <xdr:colOff>1769808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23</xdr:row>
      <xdr:rowOff>9525</xdr:rowOff>
    </xdr:from>
    <xdr:to>
      <xdr:col>5</xdr:col>
      <xdr:colOff>1753421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8" zoomScale="93" zoomScaleNormal="93" workbookViewId="0">
      <selection activeCell="H10" sqref="H10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126</v>
      </c>
      <c r="C8" s="329"/>
      <c r="D8" s="330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170</v>
      </c>
      <c r="D10" s="243"/>
      <c r="E10" s="243"/>
      <c r="F10" s="244" t="s">
        <v>0</v>
      </c>
      <c r="G10" s="276">
        <v>45849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40" t="s">
        <v>165</v>
      </c>
      <c r="G17" s="340"/>
      <c r="H17" s="341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42" t="s">
        <v>95</v>
      </c>
      <c r="C19" s="343"/>
      <c r="D19" s="343"/>
      <c r="E19" s="343"/>
      <c r="F19" s="343"/>
      <c r="G19" s="343"/>
      <c r="H19" s="344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94626.430678466088</v>
      </c>
      <c r="R20" s="258">
        <v>2000</v>
      </c>
      <c r="S20" s="38"/>
      <c r="T20" s="14" t="s">
        <v>128</v>
      </c>
      <c r="U20" s="9"/>
      <c r="X20" s="4"/>
    </row>
    <row r="21" spans="1:25" ht="18" thickBot="1" x14ac:dyDescent="0.35">
      <c r="B21" s="331">
        <v>1</v>
      </c>
      <c r="C21" s="332" t="s">
        <v>172</v>
      </c>
      <c r="D21" s="333">
        <v>1.35</v>
      </c>
      <c r="E21" s="333">
        <v>0.6</v>
      </c>
      <c r="F21" s="332" t="s">
        <v>173</v>
      </c>
      <c r="G21" s="334">
        <v>83189</v>
      </c>
      <c r="H21" s="335">
        <f>G21*B21</f>
        <v>83189</v>
      </c>
      <c r="I21" s="318"/>
      <c r="J21" s="265"/>
      <c r="K21" s="47"/>
      <c r="L21" s="324">
        <f>B21</f>
        <v>1</v>
      </c>
      <c r="M21" s="39">
        <f t="shared" ref="M21" si="1">D21+M$19</f>
        <v>1.4300000000000002</v>
      </c>
      <c r="N21" s="39">
        <f t="shared" ref="N21" si="2">E21+$N$19</f>
        <v>0.6</v>
      </c>
      <c r="O21" s="261">
        <f t="shared" ref="O21" si="3">M21*N21</f>
        <v>0.8580000000000001</v>
      </c>
      <c r="P21" s="259">
        <f t="shared" ref="P21" si="4">O21*L21</f>
        <v>0.8580000000000001</v>
      </c>
      <c r="Q21" s="252">
        <f t="shared" ref="Q21" si="5">Q$20*O21</f>
        <v>81189.477522123911</v>
      </c>
      <c r="R21" s="317">
        <f t="shared" ref="R21" si="6">Q21+R$20</f>
        <v>83189.477522123911</v>
      </c>
      <c r="S21" s="295">
        <f t="shared" ref="S21" si="7">M21*L21</f>
        <v>1.4300000000000002</v>
      </c>
      <c r="T21" s="46"/>
      <c r="U21" s="9"/>
      <c r="X21" s="4"/>
    </row>
    <row r="22" spans="1:25" ht="18" thickBot="1" x14ac:dyDescent="0.35">
      <c r="B22" s="336">
        <v>1</v>
      </c>
      <c r="C22" s="332" t="s">
        <v>172</v>
      </c>
      <c r="D22" s="337">
        <v>1.24</v>
      </c>
      <c r="E22" s="337">
        <v>0.48</v>
      </c>
      <c r="F22" s="332" t="s">
        <v>173</v>
      </c>
      <c r="G22" s="338">
        <v>61955</v>
      </c>
      <c r="H22" s="339">
        <f>G22*B22</f>
        <v>61955</v>
      </c>
      <c r="I22" s="318"/>
      <c r="J22" s="265"/>
      <c r="K22" s="47"/>
      <c r="L22" s="324">
        <f t="shared" ref="L22" si="8">B22</f>
        <v>1</v>
      </c>
      <c r="M22" s="39">
        <f t="shared" ref="M22" si="9">D22+M$19</f>
        <v>1.32</v>
      </c>
      <c r="N22" s="39">
        <f t="shared" ref="N22" si="10">E22+$N$19</f>
        <v>0.48</v>
      </c>
      <c r="O22" s="261">
        <f t="shared" ref="O22" si="11">M22*N22</f>
        <v>0.63360000000000005</v>
      </c>
      <c r="P22" s="259">
        <f t="shared" ref="P22" si="12">O22*L22</f>
        <v>0.63360000000000005</v>
      </c>
      <c r="Q22" s="252">
        <f t="shared" ref="Q22" si="13">Q$20*O22</f>
        <v>59955.306477876118</v>
      </c>
      <c r="R22" s="317">
        <f t="shared" ref="R22" si="14">Q22+R$20</f>
        <v>61955.306477876118</v>
      </c>
      <c r="S22" s="295">
        <f t="shared" ref="S22" si="15">M22*L22</f>
        <v>1.32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19"/>
      <c r="I23" s="321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2" t="s">
        <v>28</v>
      </c>
      <c r="H24" s="323">
        <f>SUM(H21:H23)</f>
        <v>145144</v>
      </c>
      <c r="I24" s="320"/>
      <c r="J24" s="265"/>
      <c r="K24" s="47"/>
      <c r="L24" s="47"/>
      <c r="M24" s="39">
        <f>SUM(M21:M22)</f>
        <v>2.75</v>
      </c>
      <c r="N24" s="39"/>
      <c r="O24" s="261"/>
      <c r="P24" s="259"/>
      <c r="Q24" s="252"/>
      <c r="R24" s="258"/>
      <c r="S24" s="295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4" t="s">
        <v>51</v>
      </c>
      <c r="H25" s="292">
        <f>H24*19%</f>
        <v>27577.360000000001</v>
      </c>
      <c r="I25" s="320"/>
      <c r="J25" s="265"/>
      <c r="K25" s="47"/>
      <c r="L25" s="47"/>
      <c r="N25" s="12"/>
      <c r="O25" s="12"/>
      <c r="P25" s="253">
        <f>SUM(P21:P23)</f>
        <v>1.4916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3">
        <f>H24+H25</f>
        <v>172721.36</v>
      </c>
      <c r="I26" s="320"/>
      <c r="J26" s="265"/>
      <c r="K26" s="47"/>
      <c r="L26" s="47"/>
      <c r="M26" s="39"/>
      <c r="N26" s="12"/>
      <c r="O26" s="12"/>
      <c r="P26" s="253">
        <f>P25</f>
        <v>1.4916</v>
      </c>
      <c r="Q26" s="14"/>
      <c r="R26" s="12"/>
      <c r="S26" s="239">
        <f>SUM(S21:S25)</f>
        <v>2.75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0.29832000000000003</v>
      </c>
      <c r="Q27" s="39" t="s">
        <v>130</v>
      </c>
      <c r="R27" s="42"/>
      <c r="S27" s="240">
        <f>S26+T24</f>
        <v>2.75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1.78992</v>
      </c>
      <c r="Q28" s="14"/>
      <c r="R28" s="14"/>
      <c r="S28" s="238">
        <f>S27*20%</f>
        <v>0.55000000000000004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3.3</v>
      </c>
      <c r="T29" s="14"/>
      <c r="U29" s="300" t="s">
        <v>21</v>
      </c>
      <c r="V29" s="297" t="s">
        <v>152</v>
      </c>
      <c r="W29" s="301">
        <v>44971</v>
      </c>
      <c r="X29" s="302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1.78992</v>
      </c>
      <c r="N30" s="12">
        <v>3500</v>
      </c>
      <c r="O30" s="12">
        <f t="shared" ref="O30:O35" si="16">M30*N30</f>
        <v>6264.72</v>
      </c>
      <c r="P30" s="14" t="s">
        <v>21</v>
      </c>
      <c r="Q30" s="14"/>
      <c r="R30" s="14"/>
      <c r="S30" s="241"/>
      <c r="T30" s="14"/>
      <c r="U30" s="300" t="s">
        <v>153</v>
      </c>
      <c r="V30" s="297">
        <v>3625</v>
      </c>
      <c r="W30" s="59" t="s">
        <v>154</v>
      </c>
      <c r="X30" s="302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0.5</v>
      </c>
      <c r="N31" s="12">
        <v>23500</v>
      </c>
      <c r="O31" s="12">
        <f t="shared" si="16"/>
        <v>11750</v>
      </c>
      <c r="P31" s="39" t="s">
        <v>31</v>
      </c>
      <c r="Q31" s="42"/>
      <c r="R31" s="14"/>
      <c r="S31" s="240"/>
      <c r="T31" s="14"/>
      <c r="U31" s="300"/>
      <c r="V31" s="59">
        <v>906.25</v>
      </c>
      <c r="W31" s="59" t="s">
        <v>155</v>
      </c>
      <c r="X31" s="302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65000</v>
      </c>
      <c r="O32" s="12">
        <f t="shared" si="16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2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</v>
      </c>
      <c r="N33" s="250">
        <v>42017</v>
      </c>
      <c r="O33" s="12">
        <f t="shared" si="16"/>
        <v>42017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2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6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1"/>
      <c r="K35" s="260"/>
      <c r="L35" s="250"/>
      <c r="M35" s="266">
        <v>2.75</v>
      </c>
      <c r="N35" s="12">
        <v>1500</v>
      </c>
      <c r="O35" s="12">
        <f t="shared" si="16"/>
        <v>4125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64156.72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141144.78400000001</v>
      </c>
      <c r="P37" s="14" t="s">
        <v>140</v>
      </c>
      <c r="Q37" s="14"/>
      <c r="R37" s="40">
        <f>P28/R36</f>
        <v>0.48261432269197579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50000</v>
      </c>
      <c r="L38" s="250"/>
      <c r="M38" s="14"/>
      <c r="N38" s="12"/>
      <c r="O38" s="12">
        <f>O37/P26</f>
        <v>94626.430678466088</v>
      </c>
      <c r="P38" s="45" t="s">
        <v>24</v>
      </c>
      <c r="Q38" s="14"/>
      <c r="R38" s="14"/>
      <c r="S38"/>
      <c r="T38" s="238"/>
      <c r="U38" s="59" t="s">
        <v>158</v>
      </c>
      <c r="V38" s="297">
        <v>43650</v>
      </c>
    </row>
    <row r="39" spans="2:24" s="230" customFormat="1" ht="17.399999999999999" x14ac:dyDescent="0.35">
      <c r="G39"/>
      <c r="K39" s="230">
        <f>K38/1.19</f>
        <v>42016.806722689078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298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299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PAULA CAMPOS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6" t="s">
        <v>98</v>
      </c>
      <c r="I7" s="347"/>
      <c r="J7" s="347"/>
      <c r="K7" s="348"/>
      <c r="N7" s="75"/>
      <c r="O7" s="345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5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-11032.243700120773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145144</v>
      </c>
      <c r="E11" s="132">
        <f>D11*0.19</f>
        <v>27577.360000000001</v>
      </c>
      <c r="F11" s="131">
        <f>E11+D11</f>
        <v>172721.36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94957.756299879227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47848.810787439616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76957.756299879227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97295.189212560392</v>
      </c>
      <c r="E13" s="221">
        <f>(D11/D12)-1</f>
        <v>2.0333878232580971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67957.756299879227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28957.756299879227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78950.537799275364</v>
      </c>
      <c r="F15" s="216">
        <f>E15-D12</f>
        <v>31101.727011835748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28957.756299879227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68957.756299879227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6264.72</v>
      </c>
      <c r="E20" s="121">
        <f>D20*0.19</f>
        <v>1190.2968000000001</v>
      </c>
      <c r="F20" s="120">
        <f>SUM(D20:E20)</f>
        <v>7455.0168000000003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18014.72</v>
      </c>
      <c r="E21" s="116">
        <f>SUM(E18:E20)</f>
        <v>3422.7968000000001</v>
      </c>
      <c r="F21" s="115">
        <f>SUM(F18:F20)</f>
        <v>21437.516800000001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24154.563200000001</v>
      </c>
    </row>
    <row r="41" spans="2:16" ht="15" thickBot="1" x14ac:dyDescent="0.35">
      <c r="H41" s="349" t="s">
        <v>60</v>
      </c>
      <c r="I41" s="350"/>
      <c r="J41" s="350"/>
      <c r="K41" s="350"/>
      <c r="L41" s="350"/>
      <c r="M41" s="351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145144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18014.72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97295.189212560392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97295.189212560392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2025-07-10T21:53:37Z</cp:lastPrinted>
  <dcterms:created xsi:type="dcterms:W3CDTF">2013-03-18T13:35:42Z</dcterms:created>
  <dcterms:modified xsi:type="dcterms:W3CDTF">2025-07-11T13:47:21Z</dcterms:modified>
</cp:coreProperties>
</file>