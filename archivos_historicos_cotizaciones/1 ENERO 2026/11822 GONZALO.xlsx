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86E2DABF-90AE-4EA9-AFAC-A9C7E8732C5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6" l="1"/>
  <c r="E27" i="6"/>
  <c r="F27" i="6"/>
  <c r="C27" i="6"/>
  <c r="D49" i="6"/>
  <c r="E49" i="6"/>
  <c r="F49" i="6"/>
  <c r="C49" i="6"/>
  <c r="D42" i="6"/>
  <c r="L21" i="1"/>
  <c r="K30" i="1"/>
  <c r="K26" i="1"/>
  <c r="K32" i="1" s="1"/>
  <c r="N5" i="6" l="1"/>
  <c r="A2" i="7"/>
  <c r="C7" i="6" l="1"/>
  <c r="D4" i="6"/>
  <c r="B49" i="6"/>
  <c r="C42" i="6"/>
  <c r="D40" i="6"/>
  <c r="D39" i="6"/>
  <c r="J14" i="6"/>
  <c r="F21" i="6"/>
  <c r="B27" i="6"/>
  <c r="I21" i="6" s="1"/>
  <c r="K21" i="6"/>
  <c r="J21" i="6"/>
  <c r="K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l="1"/>
  <c r="O37" i="1" s="1"/>
  <c r="Q20" i="1" s="1"/>
  <c r="Q21" i="1" s="1"/>
  <c r="G21" i="1" s="1"/>
  <c r="D20" i="3"/>
  <c r="E20" i="3" s="1"/>
  <c r="E21" i="3" s="1"/>
  <c r="D21" i="3" l="1"/>
  <c r="M43" i="3" s="1"/>
  <c r="D12" i="3" s="1"/>
  <c r="F20" i="3"/>
  <c r="F21" i="3" s="1"/>
  <c r="O38" i="1" l="1"/>
  <c r="E15" i="3"/>
  <c r="F15" i="3" l="1"/>
  <c r="R21" i="1" l="1"/>
  <c r="H21" i="1" l="1"/>
  <c r="H23" i="1" s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<sst xmlns="http://schemas.openxmlformats.org/spreadsheetml/2006/main" count="486" uniqueCount="294">
  <si>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</si>
  <si>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</si>
  <si>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</si>
  <si>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</si>
  <si>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</si>
  <si>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</si>
  <si>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</si>
  <si>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</si>
  <si>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</si>
  <si>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</si>
  <si>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</si>
  <si>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</si>
  <si>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</si>
  <si>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</si>
  <si>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</si>
  <si>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</si>
  <si>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</si>
  <si>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</si>
  <si>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</si>
  <si>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</si>
  <si>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</si>
  <si>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</si>
  <si>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</si>
  <si>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</si>
  <si>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</si>
  <si>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</si>
  <si>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</si>
  <si>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</si>
  <si>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</si>
  <si>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</si>
  <si>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</si>
  <si>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</si>
  <si>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</si>
  <si>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</si>
  <si>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</si>
  <si>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</si>
  <si>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</si>
  <si>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</si>
  <si>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</si>
  <si>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</si>
  <si>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</si>
  <si>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</si>
  <si>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</si>
  <si>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</si>
  <si>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</si>
  <si>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</si>
  <si>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</si>
  <si>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</si>
  <si>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</si>
  <si>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</si>
  <si>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</si>
  <si>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</si>
  <si>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</si>
  <si>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</si>
  <si>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</si>
  <si>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</si>
  <si>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</si>
  <si>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</si>
  <si>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</si>
  <si>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</si>
  <si>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</si>
  <si>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</si>
  <si>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</si>
  <si>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</si>
  <si>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</si>
  <si>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</si>
  <si>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</si>
  <si>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</si>
  <si>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</si>
  <si>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</si>
  <si>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</si>
  <si>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</si>
  <si>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</si>
  <si>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</si>
  <si>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</si>
  <si>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</si>
  <si>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</si>
  <si>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</si>
  <si>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</si>
  <si>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</si>
  <si>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</si>
  <si>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</si>
  <si>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</si>
  <si>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</si>
  <si>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</si>
  <si>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</si>
  <si>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</si>
  <si>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</si>
  <si>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</si>
  <si>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</si>
  <si>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</si>
  <si>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</si>
  <si>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</si>
  <si>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</si>
  <si>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</si>
  <si>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</si>
  <si>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</si>
  <si>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</si>
  <si>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</si>
  <si>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</si>
  <si>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</si>
  <si>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</si>
  <si>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</si>
  <si>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</si>
  <si>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</si>
  <si>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</si>
  <si>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</si>
  <si>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</si>
  <si>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</si>
  <si>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</si>
  <si>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</si>
  <si>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</si>
  <si>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</si>
  <si>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</si>
  <si>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</si>
  <si>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</si>
  <si>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</si>
  <si>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</si>
  <si>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</si>
  <si>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</si>
  <si>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</si>
  <si>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</si>
  <si>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</si>
  <si>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</si>
  <si>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</si>
  <si>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</si>
  <si>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</si>
  <si>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</si>
  <si>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</si>
  <si>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</si>
  <si>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</si>
  <si>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</si>
  <si>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</si>
  <si>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</si>
  <si>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</si>
  <si>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</si>
  <si>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</si>
  <si>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</si>
  <si>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</si>
  <si>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</si>
  <si>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</si>
  <si>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</si>
  <si>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</si>
  <si>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</si>
  <si>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</si>
  <si>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</si>
  <si>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</si>
  <si>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</si>
  <si>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</si>
  <si>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</si>
  <si>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</si>
  <si>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</si>
  <si>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</si>
  <si>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</si>
  <si>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</si>
  <si>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</si>
  <si>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</si>
  <si>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</si>
  <si>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</si>
  <si>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</si>
  <si>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</si>
  <si>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</si>
  <si>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</si>
  <si>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</si>
  <si>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</si>
  <si>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</si>
  <si>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</si>
  <si>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</si>
  <si>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</si>
  <si>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</si>
  <si>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</si>
  <si>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</si>
  <si>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</si>
  <si>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</si>
  <si>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</si>
  <si>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</si>
  <si>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</si>
  <si>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</si>
  <si>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</si>
  <si>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</si>
  <si>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</si>
  <si>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</si>
  <si>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</si>
  <si>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</si>
  <si>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</si>
  <si>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</si>
  <si>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</si>
  <si>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</si>
  <si>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</si>
  <si>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</si>
  <si>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</si>
  <si>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</si>
  <si>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</si>
  <si>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</si>
  <si>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</si>
  <si>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</si>
  <si>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</si>
  <si>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</si>
  <si>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</si>
  <si>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</si>
  <si>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</si>
  <si>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</si>
  <si>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</si>
  <si>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</si>
  <si>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</si>
  <si>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</si>
  <si>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</si>
  <si>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</si>
  <si>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</si>
  <si>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</si>
  <si>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</si>
  <si>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</si>
  <si>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</si>
  <si>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</si>
  <si>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</si>
  <si>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</si>
  <si>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</si>
  <si>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</si>
  <si>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</si>
  <si>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</si>
  <si>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</si>
  <si>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</si>
  <si>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</si>
  <si>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</si>
  <si>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</si>
  <si>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</si>
  <si>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</si>
  <si>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</si>
  <si>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</si>
  <si>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</si>
  <si>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</si>
  <si>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</si>
  <si>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</si>
  <si>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</si>
  <si>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</si>
  <si>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</si>
  <si>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</si>
  <si>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</si>
  <si>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</si>
  <si>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</si>
  <si>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</si>
  <si>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</si>
  <si>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</si>
  <si>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</si>
  <si>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</si>
  <si>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</si>
  <si>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</si>
  <si>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</si>
  <si>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</si>
  <si>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</si>
  <si>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</si>
  <si>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</si>
  <si>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</si>
  <si>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</si>
  <si>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</si>
  <si>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</si>
  <si>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</si>
  <si>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</si>
  <si>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</si>
  <si>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</si>
  <si>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</si>
  <si>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</si>
  <si>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</si>
  <si>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</si>
  <si>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</si>
  <si>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</si>
  <si>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</si>
  <si>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</si>
  <si>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</si>
  <si>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</si>
  <si>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</si>
  <si>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</si>
  <si>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</si>
  <si>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</si>
  <si>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</si>
  <si>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</si>
  <si>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</si>
  <si>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</si>
  <si>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</si>
  <si>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</si>
  <si>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</si>
  <si>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</si>
  <si>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</si>
  <si>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</si>
  <si>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</si>
  <si>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</si>
  <si>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</si>
  <si>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</si>
  <si>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</si>
  <si>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S/R 90°</t>
  </si>
  <si>
    <t>BLANCO MT</t>
  </si>
  <si>
    <t>GONZALO</t>
  </si>
  <si>
    <t>+569 8410 5068</t>
  </si>
  <si>
    <t>N° 11822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</si>
</sst>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" fillId="5" borderId="0" xfId="4" applyNumberFormat="1" applyFont="1" applyFill="1" applyBorder="1" applyAlignment="1">
      <alignment horizontal="righ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989871"/>
          <a:ext cx="6317227" cy="663678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zoomScale="93" zoomScaleNormal="93" workbookViewId="0">
      <selection activeCell="C1" sqref="C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291</v>
      </c>
      <c r="D10" s="243"/>
      <c r="E10" s="243"/>
      <c r="F10" s="417" t="s">
        <v>277</v>
      </c>
      <c r="G10" s="275">
        <v>46028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292</v>
      </c>
      <c r="D15" s="424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52439.102416570779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29">
        <v>1</v>
      </c>
      <c r="C21" s="433" t="s">
        <v>289</v>
      </c>
      <c r="D21" s="430">
        <v>1.5</v>
      </c>
      <c r="E21" s="430">
        <v>0.55000000000000004</v>
      </c>
      <c r="F21" s="429" t="s">
        <v>290</v>
      </c>
      <c r="G21" s="431">
        <f>Q21</f>
        <v>45569.580000000009</v>
      </c>
      <c r="H21" s="431">
        <f>G21*B21</f>
        <v>45569.580000000009</v>
      </c>
      <c r="I21" s="306"/>
      <c r="J21" s="264"/>
      <c r="K21" s="47"/>
      <c r="L21" s="47">
        <f>B21</f>
        <v>1</v>
      </c>
      <c r="M21" s="39">
        <f>D21+M$19</f>
        <v>1.58</v>
      </c>
      <c r="N21" s="39">
        <f>E21+$N$19</f>
        <v>0.55000000000000004</v>
      </c>
      <c r="O21" s="260">
        <f t="shared" ref="O21" si="0">M21*N21</f>
        <v>0.86900000000000011</v>
      </c>
      <c r="P21" s="258">
        <f t="shared" ref="P21" si="1">O21*L21</f>
        <v>0.86900000000000011</v>
      </c>
      <c r="Q21" s="434">
        <f>Q$20*O21</f>
        <v>45569.580000000009</v>
      </c>
      <c r="R21" s="305">
        <f t="shared" ref="R21" si="2">Q21+R$20</f>
        <v>48569.580000000009</v>
      </c>
      <c r="S21" s="290">
        <f>M21*L21</f>
        <v>1.58</v>
      </c>
      <c r="T21" s="46">
        <f>N21*2*L21*2</f>
        <v>2.2000000000000002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45569.580000000009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2.2000000000000002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8658.2202000000016</v>
      </c>
      <c r="I24" s="308"/>
      <c r="J24" s="264"/>
      <c r="K24" s="47">
        <v>450</v>
      </c>
      <c r="L24" s="47"/>
      <c r="M24" s="39">
        <f>SUM(M21:M23)</f>
        <v>1.58</v>
      </c>
      <c r="N24" s="12"/>
      <c r="O24" s="12"/>
      <c r="P24" s="252">
        <f>SUM(P21:P21)</f>
        <v>0.86900000000000011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54227.800200000012</v>
      </c>
      <c r="I25" s="308"/>
      <c r="J25" s="264"/>
      <c r="K25" s="47">
        <v>60</v>
      </c>
      <c r="L25" s="47"/>
      <c r="M25" s="39"/>
      <c r="N25" s="12"/>
      <c r="O25" s="12"/>
      <c r="P25" s="252">
        <f>P24</f>
        <v>0.86900000000000011</v>
      </c>
      <c r="Q25" s="14"/>
      <c r="R25" s="12"/>
      <c r="S25" s="239">
        <f>SUM(S21:S24)</f>
        <v>1.58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>
        <f>SUM(K24:K25)</f>
        <v>510</v>
      </c>
      <c r="L26" s="47"/>
      <c r="M26" s="14"/>
      <c r="N26" s="12"/>
      <c r="O26" s="12"/>
      <c r="P26" s="39">
        <f>P25*20%</f>
        <v>0.17380000000000004</v>
      </c>
      <c r="Q26" s="39" t="s">
        <v>129</v>
      </c>
      <c r="R26" s="42"/>
      <c r="S26" s="240">
        <f>S25+T23</f>
        <v>3.7800000000000002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1.0428000000000002</v>
      </c>
      <c r="Q27" s="14"/>
      <c r="R27" s="14"/>
      <c r="S27" s="238">
        <f>S26*20%</f>
        <v>0.75600000000000012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>
        <v>600</v>
      </c>
      <c r="L28" s="47"/>
      <c r="M28" s="14"/>
      <c r="N28" s="14"/>
      <c r="O28" s="14"/>
      <c r="P28" s="14"/>
      <c r="Q28" s="14"/>
      <c r="R28" s="14"/>
      <c r="S28" s="240">
        <f>S26+S27</f>
        <v>4.5360000000000005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>
        <v>60</v>
      </c>
      <c r="L29" s="47"/>
      <c r="M29" s="39">
        <f>P27</f>
        <v>1.0428000000000002</v>
      </c>
      <c r="N29" s="12">
        <v>3500</v>
      </c>
      <c r="O29" s="12">
        <f t="shared" ref="O29:O34" si="3">M29*N29</f>
        <v>3649.8000000000006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>
        <f>SUM(K28:K29)</f>
        <v>660</v>
      </c>
      <c r="L30" s="47"/>
      <c r="M30" s="248">
        <v>0.3</v>
      </c>
      <c r="N30" s="12">
        <v>23500</v>
      </c>
      <c r="O30" s="12">
        <f t="shared" si="3"/>
        <v>7050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3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>
        <f>K26+K30</f>
        <v>1170</v>
      </c>
      <c r="L32" s="249"/>
      <c r="M32" s="14">
        <v>0.5</v>
      </c>
      <c r="N32" s="249">
        <v>22000</v>
      </c>
      <c r="O32" s="12">
        <f t="shared" si="3"/>
        <v>11000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3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3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21699.800000000003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O35*2.1</f>
        <v>45569.580000000009</v>
      </c>
      <c r="P36" s="14" t="s">
        <v>138</v>
      </c>
      <c r="Q36" s="14"/>
      <c r="R36" s="40">
        <f>P27/R35</f>
        <v>0.28116911130284733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52439.102416570779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46028</v>
      </c>
    </row>
    <row r="6" spans="2:31" ht="16.2" thickBot="1" x14ac:dyDescent="0.35">
      <c r="B6" s="140" t="s">
        <v>2</v>
      </c>
      <c r="C6" s="139" t="str">
        <f>'2229'!C10</f>
        <v>GONZALO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11822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3551.8899665458921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45569.580000000009</v>
      </c>
      <c r="E11" s="132">
        <f>D11*0.19</f>
        <v>8658.2202000000016</v>
      </c>
      <c r="F11" s="131">
        <f>E11+D11</f>
        <v>54227.800200000012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109541.88996654589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40533.890787439617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91541.889966545888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5035.6892125603918</v>
      </c>
      <c r="E13" s="221">
        <f>(D11/D12)-1</f>
        <v>0.12423404501106572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82541.889966545888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43541.889966545888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66880.919799275362</v>
      </c>
      <c r="F15" s="216">
        <f>E15-D12</f>
        <v>26347.029011835744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43541.889966545888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83541.889966545888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3649.8000000000006</v>
      </c>
      <c r="E20" s="121">
        <f>D20*0.19</f>
        <v>693.4620000000001</v>
      </c>
      <c r="F20" s="120">
        <f>SUM(D20:E20)</f>
        <v>4343.2620000000006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10699.800000000001</v>
      </c>
      <c r="E21" s="116">
        <f>SUM(E18:E20)</f>
        <v>2032.962</v>
      </c>
      <c r="F21" s="115">
        <f>SUM(F18:F20)</f>
        <v>12732.762000000001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6625.258200000002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45569.580000000009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10699.800000000001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5035.6892125603918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5035.6892125603918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59"/>
  <sheetViews>
    <sheetView tabSelected="1" topLeftCell="A4" workbookViewId="0">
      <selection activeCell="D12" sqref="D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11822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GONZALO</v>
      </c>
      <c r="D10" s="350"/>
      <c r="E10" s="350"/>
      <c r="F10" s="351" t="s">
        <v>167</v>
      </c>
      <c r="G10" s="352">
        <f>'2229'!G10</f>
        <v>46028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46035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+569 8410 5068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S/R 90°</v>
      </c>
      <c r="D22" s="321">
        <f>'2229'!D21*1000</f>
        <v>1500</v>
      </c>
      <c r="E22" s="321">
        <f>'2229'!E21*1000</f>
        <v>550</v>
      </c>
      <c r="F22" s="322" t="str">
        <f>'2229'!F21</f>
        <v>BLANCO MT</v>
      </c>
      <c r="G22" s="314">
        <f>'2229'!G21</f>
        <v>45569.580000000009</v>
      </c>
      <c r="H22" s="323">
        <f>G22*B22</f>
        <v>45569.580000000009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45569.580000000009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8658.2202000000016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54227.800200000012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0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173"/>
  <sheetViews>
    <sheetView topLeftCell="A3" workbookViewId="0">
      <selection activeCell="A30" sqref="A3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GONZALO</v>
      </c>
      <c r="E5" s="320"/>
      <c r="F5" s="320"/>
      <c r="G5" s="138"/>
      <c r="K5">
        <f>LOOKUP(F14,REGLAS!$I$4:$I$37,REGLAS!$G$4:$G$37)+J14</f>
        <v>1550</v>
      </c>
      <c r="L5">
        <f>LOOKUP(F14,REGLAS!$I$4:$I$37,REGLAS!$H$4:$H$37)+K14</f>
        <v>550</v>
      </c>
      <c r="M5">
        <f>LOOKUP(F14,REGLAS!$D$4:$D$37,REGLAS!$B$4:$B$37)+J21</f>
        <v>1540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46028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46035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50</v>
      </c>
      <c r="E13" s="378"/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1550</v>
      </c>
      <c r="E14" s="382">
        <f>LOOKUP(F14,REGLAS!$I$4:$I$37,REGLAS!$H$4:$H$37)+K14</f>
        <v>550</v>
      </c>
      <c r="F14" s="383" t="str">
        <f>C27</f>
        <v>CUB S/R 90°</v>
      </c>
      <c r="G14" s="138"/>
      <c r="I14" s="384">
        <f>I21</f>
        <v>1</v>
      </c>
      <c r="J14" s="150">
        <f t="shared" ref="J14:K14" si="1">D27</f>
        <v>1500</v>
      </c>
      <c r="K14" s="150">
        <f t="shared" si="1"/>
        <v>550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60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1540</v>
      </c>
      <c r="E21" s="389">
        <f>LOOKUP(F14,REGLAS!$D$4:$D$37,REGLAS!$C$4:$C$37)+K21</f>
        <v>610</v>
      </c>
      <c r="F21" s="390" t="str">
        <f>C27</f>
        <v>CUB S/R 90°</v>
      </c>
      <c r="G21" s="138"/>
      <c r="I21" s="384">
        <f>B27</f>
        <v>1</v>
      </c>
      <c r="J21" s="150">
        <f>D27</f>
        <v>1500</v>
      </c>
      <c r="K21" s="150">
        <f>E27</f>
        <v>550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S/R 90°</v>
      </c>
      <c r="D27" s="383">
        <f t="shared" ref="D27:F27" si="3">D49</f>
        <v>1500</v>
      </c>
      <c r="E27" s="383">
        <f t="shared" si="3"/>
        <v>550</v>
      </c>
      <c r="F27" s="383" t="str">
        <f t="shared" si="3"/>
        <v>BLANCO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'NOTA DE VENTA'!G11</f>
        <v>46035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VENTA'!C22</f>
        <v>CUB S/R 90°</v>
      </c>
      <c r="D49" s="401">
        <f>'NOTA DE VENTA'!D22</f>
        <v>1500</v>
      </c>
      <c r="E49" s="401">
        <f>'NOTA DE VENTA'!E22</f>
        <v>550</v>
      </c>
      <c r="F49" s="401" t="str">
        <f>'NOTA DE VENTA'!F22</f>
        <v>BLANCO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11822</v>
      </c>
      <c r="C2" s="1">
        <f>'NOTA DE VENTA'!$G$10</f>
        <v>46028</v>
      </c>
      <c r="D2" s="1">
        <f>'NOTA DE VENTA'!$G$11</f>
        <v>46035</v>
      </c>
      <c r="E2" t="str">
        <f>'NOTA DE VENTA'!$C$10</f>
        <v>GONZALO</v>
      </c>
      <c r="F2" t="str">
        <f>'NOTA DE VENTA'!$C$22</f>
        <v>CUB S/R 90°</v>
      </c>
      <c r="G2" t="str">
        <f>'NOTA DE VENTA'!$F$22</f>
        <v>BLANCO MT</v>
      </c>
      <c r="H2" s="415">
        <f>'NOTA DE VENTA'!$H$25</f>
        <v>45569.580000000009</v>
      </c>
      <c r="I2" s="415">
        <f>H2*0.19</f>
        <v>8658.2202000000016</v>
      </c>
      <c r="J2" s="415">
        <f>I2+H2</f>
        <v>54227.800200000012</v>
      </c>
      <c r="L2" s="61">
        <f>J2-K2</f>
        <v>54227.800200000012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2026-01-12T14:04:58Z</cp:lastPrinted>
  <dcterms:created xsi:type="dcterms:W3CDTF">2013-03-18T13:35:42Z</dcterms:created>
  <dcterms:modified xsi:type="dcterms:W3CDTF">2026-01-22T15:56:48Z</dcterms:modified>
</cp:coreProperties>
</file>