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2AA3C78D-3046-41EA-A2FB-CC5318287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32" i="1"/>
  <c r="K38" i="1" s="1"/>
  <c r="M22" i="1" l="1"/>
  <c r="N22" i="1"/>
  <c r="S22" i="1"/>
  <c r="M23" i="1"/>
  <c r="O23" i="1" s="1"/>
  <c r="P23" i="1" s="1"/>
  <c r="N23" i="1"/>
  <c r="M24" i="1"/>
  <c r="O24" i="1" s="1"/>
  <c r="P24" i="1" s="1"/>
  <c r="N24" i="1"/>
  <c r="S24" i="1"/>
  <c r="H22" i="1"/>
  <c r="H23" i="1"/>
  <c r="H24" i="1"/>
  <c r="N5" i="6"/>
  <c r="A2" i="7"/>
  <c r="O22" i="1" l="1"/>
  <c r="P22" i="1" s="1"/>
  <c r="S23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30" i="1" l="1"/>
  <c r="S21" i="1"/>
  <c r="S31" i="1" s="1"/>
  <c r="T21" i="1"/>
  <c r="T29" i="1" s="1"/>
  <c r="O21" i="1"/>
  <c r="P21" i="1" s="1"/>
  <c r="P30" i="1" s="1"/>
  <c r="K44" i="1"/>
  <c r="S32" i="1" l="1"/>
  <c r="S33" i="1" s="1"/>
  <c r="S34" i="1" s="1"/>
  <c r="V37" i="1"/>
  <c r="V38" i="1" s="1"/>
  <c r="P31" i="1" l="1"/>
  <c r="N20" i="1"/>
  <c r="L20" i="1"/>
  <c r="P32" i="1" l="1"/>
  <c r="P33" i="1" s="1"/>
  <c r="M35" i="1" s="1"/>
  <c r="O37" i="1"/>
  <c r="R41" i="1"/>
  <c r="R42" i="1" l="1"/>
  <c r="O36" i="1" s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4" i="1" l="1"/>
  <c r="R24" i="1" s="1"/>
  <c r="Q23" i="1"/>
  <c r="R23" i="1" s="1"/>
  <c r="Q22" i="1"/>
  <c r="R22" i="1" s="1"/>
  <c r="O44" i="1"/>
  <c r="E15" i="3"/>
  <c r="Q21" i="1" l="1"/>
  <c r="F15" i="3"/>
  <c r="R21" i="1" l="1"/>
  <c r="H21" i="1" l="1"/>
  <c r="H29" i="1" s="1"/>
  <c r="H30" i="1" l="1"/>
  <c r="H31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<sst xmlns="http://schemas.openxmlformats.org/spreadsheetml/2006/main" count="495" uniqueCount="300">
  <si>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</si>
  <si>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</si>
  <si>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</si>
  <si>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</si>
  <si>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</si>
  <si>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</si>
  <si>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</si>
  <si>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</si>
  <si>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</si>
  <si>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</si>
  <si>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</si>
  <si>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</si>
  <si>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</si>
  <si>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</si>
  <si>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</si>
  <si>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</si>
  <si>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</si>
  <si>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</si>
  <si>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</si>
  <si>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</si>
  <si>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</si>
  <si>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</si>
  <si>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</si>
  <si>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</si>
  <si>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</si>
  <si>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</si>
  <si>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</si>
  <si>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</si>
  <si>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</si>
  <si>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</si>
  <si>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</si>
  <si>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</si>
  <si>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</si>
  <si>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</si>
  <si>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</si>
  <si>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</si>
  <si>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</si>
  <si>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</si>
  <si>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</si>
  <si>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</si>
  <si>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</si>
  <si>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</si>
  <si>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</si>
  <si>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</si>
  <si>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</si>
  <si>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</si>
  <si>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</si>
  <si>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</si>
  <si>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</si>
  <si>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</si>
  <si>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</si>
  <si>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</si>
  <si>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</si>
  <si>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</si>
  <si>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</si>
  <si>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</si>
  <si>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</si>
  <si>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</si>
  <si>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</si>
  <si>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</si>
  <si>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</si>
  <si>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</si>
  <si>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</si>
  <si>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</si>
  <si>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</si>
  <si>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</si>
  <si>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</si>
  <si>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</si>
  <si>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</si>
  <si>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</si>
  <si>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</si>
  <si>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</si>
  <si>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</si>
  <si>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</si>
  <si>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</si>
  <si>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</si>
  <si>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</si>
  <si>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</si>
  <si>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</si>
  <si>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</si>
  <si>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</si>
  <si>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</si>
  <si>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</si>
  <si>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</si>
  <si>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</si>
  <si>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</si>
  <si>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</si>
  <si>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</si>
  <si>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</si>
  <si>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</si>
  <si>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</si>
  <si>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</si>
  <si>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</si>
  <si>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</si>
  <si>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</si>
  <si>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</si>
  <si>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</si>
  <si>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</si>
  <si>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</si>
  <si>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</si>
  <si>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</si>
  <si>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</si>
  <si>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</si>
  <si>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</si>
  <si>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</si>
  <si>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</si>
  <si>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</si>
  <si>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</si>
  <si>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</si>
  <si>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</si>
  <si>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</si>
  <si>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</si>
  <si>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</si>
  <si>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</si>
  <si>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</si>
  <si>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</si>
  <si>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</si>
  <si>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</si>
  <si>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</si>
  <si>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</si>
  <si>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</si>
  <si>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</si>
  <si>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</si>
  <si>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</si>
  <si>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</si>
  <si>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</si>
  <si>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</si>
  <si>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</si>
  <si>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</si>
  <si>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</si>
  <si>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</si>
  <si>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</si>
  <si>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</si>
  <si>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</si>
  <si>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</si>
  <si>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</si>
  <si>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</si>
  <si>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</si>
  <si>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</si>
  <si>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</si>
  <si>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</si>
  <si>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</si>
  <si>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</si>
  <si>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</si>
  <si>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</si>
  <si>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</si>
  <si>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</si>
  <si>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</si>
  <si>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</si>
  <si>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</si>
  <si>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</si>
  <si>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</si>
  <si>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</si>
  <si>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</si>
  <si>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</si>
  <si>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</si>
  <si>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</si>
  <si>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</si>
  <si>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</si>
  <si>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</si>
  <si>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</si>
  <si>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</si>
  <si>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</si>
  <si>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</si>
  <si>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</si>
  <si>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</si>
  <si>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</si>
  <si>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</si>
  <si>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</si>
  <si>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</si>
  <si>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</si>
  <si>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</si>
  <si>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</si>
  <si>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</si>
  <si>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</si>
  <si>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</si>
  <si>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</si>
  <si>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</si>
  <si>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</si>
  <si>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</si>
  <si>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</si>
  <si>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</si>
  <si>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</si>
  <si>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</si>
  <si>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</si>
  <si>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</si>
  <si>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</si>
  <si>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</si>
  <si>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</si>
  <si>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</si>
  <si>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</si>
  <si>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</si>
  <si>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</si>
  <si>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</si>
  <si>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</si>
  <si>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</si>
  <si>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</si>
  <si>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</si>
  <si>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</si>
  <si>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</si>
  <si>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</si>
  <si>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</si>
  <si>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</si>
  <si>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</si>
  <si>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</si>
  <si>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</si>
  <si>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</si>
  <si>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</si>
  <si>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</si>
  <si>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</si>
  <si>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</si>
  <si>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</si>
  <si>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</si>
  <si>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</si>
  <si>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</si>
  <si>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</si>
  <si>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</si>
  <si>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</si>
  <si>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</si>
  <si>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</si>
  <si>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</si>
  <si>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</si>
  <si>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</si>
  <si>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</si>
  <si>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</si>
  <si>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</si>
  <si>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</si>
  <si>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</si>
  <si>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</si>
  <si>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</si>
  <si>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</si>
  <si>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</si>
  <si>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</si>
  <si>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</si>
  <si>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</si>
  <si>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</si>
  <si>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</si>
  <si>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</si>
  <si>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</si>
  <si>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</si>
  <si>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</si>
  <si>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</si>
  <si>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</si>
  <si>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</si>
  <si>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</si>
  <si>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</si>
  <si>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</si>
  <si>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</si>
  <si>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</si>
  <si>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</si>
  <si>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</si>
  <si>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</si>
  <si>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</si>
  <si>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</si>
  <si>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</si>
  <si>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</si>
  <si>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</si>
  <si>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</si>
  <si>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</si>
  <si>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</si>
  <si>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</si>
  <si>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</si>
  <si>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</si>
  <si>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</si>
  <si>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</si>
  <si>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</si>
  <si>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</si>
  <si>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</si>
  <si>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</si>
  <si>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</si>
  <si>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</si>
  <si>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</si>
  <si>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</si>
  <si>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</si>
  <si>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</si>
  <si>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</si>
  <si>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</si>
  <si>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</si>
  <si>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</si>
  <si>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</si>
  <si>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</si>
  <si>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</si>
  <si>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</si>
  <si>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</si>
  <si>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</si>
  <si>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</si>
  <si>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</si>
  <si>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</si>
  <si>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</si>
  <si>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</si>
  <si>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</si>
  <si>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</si>
  <si>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</si>
  <si>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</si>
  <si>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</si>
  <si>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5 DIAS HABILES</t>
  </si>
  <si>
    <t>NIEBLA 2191 MT</t>
  </si>
  <si>
    <t>N° 11839</t>
  </si>
  <si>
    <t>SERVICIO CORTE TIPO 45°</t>
  </si>
  <si>
    <t>WHITE OAK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</si>
</sst>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30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46043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O43</f>
        <v>85443.096926713944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4" t="s">
        <v>213</v>
      </c>
      <c r="D21" s="431">
        <v>2.74</v>
      </c>
      <c r="E21" s="431">
        <v>0.6</v>
      </c>
      <c r="F21" s="430" t="s">
        <v>296</v>
      </c>
      <c r="G21" s="432">
        <v>147570</v>
      </c>
      <c r="H21" s="432">
        <f>G21*B21</f>
        <v>147570</v>
      </c>
      <c r="I21" s="306"/>
      <c r="J21" s="264"/>
      <c r="K21" s="47"/>
      <c r="L21" s="47">
        <v>1</v>
      </c>
      <c r="M21" s="39">
        <f>D21+M$19</f>
        <v>2.8200000000000003</v>
      </c>
      <c r="N21" s="39">
        <f>E21+$N$19</f>
        <v>0.6</v>
      </c>
      <c r="O21" s="260">
        <f t="shared" ref="O21" si="0">M21*N21</f>
        <v>1.6920000000000002</v>
      </c>
      <c r="P21" s="258">
        <f t="shared" ref="P21" si="1">O21*L21</f>
        <v>1.6920000000000002</v>
      </c>
      <c r="Q21" s="251">
        <f t="shared" ref="Q21" si="2">Q$20*O21</f>
        <v>144569.72</v>
      </c>
      <c r="R21" s="305">
        <f t="shared" ref="R21" si="3">Q21+R$20</f>
        <v>147569.72</v>
      </c>
      <c r="S21" s="290">
        <f>M21*L21</f>
        <v>2.8200000000000003</v>
      </c>
      <c r="T21" s="46">
        <f>N21*2*L21*2</f>
        <v>2.4</v>
      </c>
      <c r="U21" s="9"/>
      <c r="X21" s="4"/>
    </row>
    <row r="22" spans="2:25" ht="17.399999999999999" x14ac:dyDescent="0.3">
      <c r="B22" s="430">
        <v>2</v>
      </c>
      <c r="C22" s="434" t="s">
        <v>294</v>
      </c>
      <c r="D22" s="431">
        <v>1.67</v>
      </c>
      <c r="E22" s="431">
        <v>0.4</v>
      </c>
      <c r="F22" s="430" t="s">
        <v>299</v>
      </c>
      <c r="G22" s="432">
        <v>79715</v>
      </c>
      <c r="H22" s="432">
        <f t="shared" ref="H22:H24" si="4">G22*B22</f>
        <v>159430</v>
      </c>
      <c r="I22" s="306"/>
      <c r="J22" s="264"/>
      <c r="K22" s="47"/>
      <c r="L22" s="47"/>
      <c r="M22" s="39">
        <f t="shared" ref="M22:M24" si="5">D22+M$19</f>
        <v>1.75</v>
      </c>
      <c r="N22" s="39">
        <f t="shared" ref="N22:N24" si="6">E22+$N$19</f>
        <v>0.4</v>
      </c>
      <c r="O22" s="260">
        <f t="shared" ref="O22:O24" si="7">M22*N22</f>
        <v>0.70000000000000007</v>
      </c>
      <c r="P22" s="258">
        <f t="shared" ref="P22:P24" si="8">O22*L22</f>
        <v>0</v>
      </c>
      <c r="Q22" s="251">
        <f t="shared" ref="Q22:Q24" si="9">Q$20*O22</f>
        <v>59810.16784869977</v>
      </c>
      <c r="R22" s="305">
        <f t="shared" ref="R22:R24" si="10">Q22+R$20</f>
        <v>62810.16784869977</v>
      </c>
      <c r="S22" s="290">
        <f t="shared" ref="S22:S24" si="11">M22*L22</f>
        <v>0</v>
      </c>
      <c r="T22" s="46"/>
      <c r="U22" s="9"/>
      <c r="X22" s="4"/>
    </row>
    <row r="23" spans="2:25" ht="17.399999999999999" x14ac:dyDescent="0.3">
      <c r="B23" s="430">
        <v>2</v>
      </c>
      <c r="C23" s="434" t="s">
        <v>294</v>
      </c>
      <c r="D23" s="431">
        <v>1.2</v>
      </c>
      <c r="E23" s="431">
        <v>0.6</v>
      </c>
      <c r="F23" s="430" t="s">
        <v>299</v>
      </c>
      <c r="G23" s="432">
        <v>87167</v>
      </c>
      <c r="H23" s="432">
        <f t="shared" si="4"/>
        <v>174334</v>
      </c>
      <c r="I23" s="306"/>
      <c r="J23" s="264"/>
      <c r="K23" s="47"/>
      <c r="L23" s="47"/>
      <c r="M23" s="39">
        <f t="shared" si="5"/>
        <v>1.28</v>
      </c>
      <c r="N23" s="39">
        <f t="shared" si="6"/>
        <v>0.6</v>
      </c>
      <c r="O23" s="260">
        <f t="shared" si="7"/>
        <v>0.76800000000000002</v>
      </c>
      <c r="P23" s="258">
        <f t="shared" si="8"/>
        <v>0</v>
      </c>
      <c r="Q23" s="251">
        <f t="shared" si="9"/>
        <v>65620.298439716309</v>
      </c>
      <c r="R23" s="305">
        <f t="shared" si="10"/>
        <v>68620.298439716309</v>
      </c>
      <c r="S23" s="290">
        <f t="shared" si="11"/>
        <v>0</v>
      </c>
      <c r="T23" s="46"/>
      <c r="U23" s="9"/>
      <c r="X23" s="4"/>
    </row>
    <row r="24" spans="2:25" ht="17.399999999999999" x14ac:dyDescent="0.3">
      <c r="B24" s="430">
        <v>4</v>
      </c>
      <c r="C24" s="434" t="s">
        <v>298</v>
      </c>
      <c r="D24" s="431"/>
      <c r="E24" s="431"/>
      <c r="F24" s="430"/>
      <c r="G24" s="432">
        <v>20000</v>
      </c>
      <c r="H24" s="432">
        <f t="shared" si="4"/>
        <v>80000</v>
      </c>
      <c r="I24" s="306"/>
      <c r="J24" s="264"/>
      <c r="K24" s="47"/>
      <c r="L24" s="47"/>
      <c r="M24" s="39">
        <f t="shared" si="5"/>
        <v>0.08</v>
      </c>
      <c r="N24" s="39">
        <f t="shared" si="6"/>
        <v>0</v>
      </c>
      <c r="O24" s="260">
        <f t="shared" si="7"/>
        <v>0</v>
      </c>
      <c r="P24" s="258">
        <f t="shared" si="8"/>
        <v>0</v>
      </c>
      <c r="Q24" s="251">
        <f t="shared" si="9"/>
        <v>0</v>
      </c>
      <c r="R24" s="305">
        <f t="shared" si="10"/>
        <v>3000</v>
      </c>
      <c r="S24" s="290">
        <f t="shared" si="11"/>
        <v>0</v>
      </c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8" thickBot="1" x14ac:dyDescent="0.35">
      <c r="B28" s="283"/>
      <c r="C28" s="325"/>
      <c r="D28" s="284"/>
      <c r="E28" s="284"/>
      <c r="F28" s="283"/>
      <c r="G28" s="264"/>
      <c r="H28" s="307"/>
      <c r="I28" s="309"/>
      <c r="J28" s="233"/>
      <c r="K28" s="47"/>
      <c r="L28" s="47"/>
      <c r="M28" s="39"/>
      <c r="N28" s="39"/>
      <c r="O28" s="260"/>
      <c r="P28" s="258"/>
      <c r="Q28" s="251"/>
      <c r="R28" s="257"/>
      <c r="S28" s="290"/>
      <c r="T28" s="14"/>
      <c r="U28" s="9"/>
      <c r="X28" s="4"/>
    </row>
    <row r="29" spans="2:25" ht="17.399999999999999" x14ac:dyDescent="0.3">
      <c r="B29" s="283"/>
      <c r="C29" s="283"/>
      <c r="D29" s="284"/>
      <c r="E29" s="284"/>
      <c r="F29" s="283"/>
      <c r="G29" s="310" t="s">
        <v>28</v>
      </c>
      <c r="H29" s="311">
        <f>SUM(H21:H26)</f>
        <v>561334</v>
      </c>
      <c r="I29" s="308"/>
      <c r="J29" s="264"/>
      <c r="K29" s="47"/>
      <c r="L29" s="47"/>
      <c r="M29" s="39"/>
      <c r="N29" s="39"/>
      <c r="O29" s="260"/>
      <c r="P29" s="258"/>
      <c r="Q29" s="251"/>
      <c r="R29" s="257"/>
      <c r="S29" s="290"/>
      <c r="T29" s="46">
        <f>SUM(T21:T26)</f>
        <v>2.4</v>
      </c>
      <c r="U29" s="9"/>
      <c r="X29" s="4"/>
    </row>
    <row r="30" spans="2:25" ht="17.399999999999999" x14ac:dyDescent="0.3">
      <c r="B30" s="277"/>
      <c r="C30" s="280"/>
      <c r="D30" s="281"/>
      <c r="E30" s="281"/>
      <c r="F30" s="282"/>
      <c r="G30" s="289" t="s">
        <v>51</v>
      </c>
      <c r="H30" s="287">
        <f>H29*19%</f>
        <v>106653.46</v>
      </c>
      <c r="I30" s="308"/>
      <c r="J30" s="264"/>
      <c r="K30" s="47">
        <v>450</v>
      </c>
      <c r="L30" s="47"/>
      <c r="M30" s="39">
        <f>SUM(M21:M29)</f>
        <v>5.9300000000000006</v>
      </c>
      <c r="N30" s="12"/>
      <c r="O30" s="12"/>
      <c r="P30" s="252">
        <f>SUM(P21:P24)</f>
        <v>1.6920000000000002</v>
      </c>
      <c r="Q30" s="14"/>
      <c r="R30" s="12"/>
      <c r="S30" s="239"/>
      <c r="T30" s="46"/>
      <c r="U30" s="9"/>
      <c r="X30" s="4"/>
    </row>
    <row r="31" spans="2:25" ht="18" thickBot="1" x14ac:dyDescent="0.35">
      <c r="B31" s="274"/>
      <c r="C31" s="279"/>
      <c r="D31" s="271"/>
      <c r="E31" s="271"/>
      <c r="F31" s="272"/>
      <c r="G31" s="278" t="s">
        <v>6</v>
      </c>
      <c r="H31" s="288">
        <f>H29+H30</f>
        <v>667987.46</v>
      </c>
      <c r="I31" s="308"/>
      <c r="J31" s="264"/>
      <c r="K31" s="47">
        <v>60</v>
      </c>
      <c r="L31" s="47"/>
      <c r="M31" s="39"/>
      <c r="N31" s="12"/>
      <c r="O31" s="12"/>
      <c r="P31" s="252">
        <f>P30</f>
        <v>1.6920000000000002</v>
      </c>
      <c r="Q31" s="14"/>
      <c r="R31" s="12"/>
      <c r="S31" s="239">
        <f>SUM(S21:S30)</f>
        <v>2.8200000000000003</v>
      </c>
      <c r="T31" s="46"/>
      <c r="U31" s="9"/>
      <c r="X31" s="4"/>
    </row>
    <row r="32" spans="2:25" ht="17.399999999999999" x14ac:dyDescent="0.3">
      <c r="B32" s="274"/>
      <c r="C32" s="270"/>
      <c r="D32" s="271"/>
      <c r="E32" s="271"/>
      <c r="F32" s="272"/>
      <c r="J32" s="264"/>
      <c r="K32" s="47">
        <f>SUM(K30:K31)</f>
        <v>510</v>
      </c>
      <c r="L32" s="47"/>
      <c r="M32" s="14"/>
      <c r="N32" s="12"/>
      <c r="O32" s="12"/>
      <c r="P32" s="39">
        <f>P31*20%</f>
        <v>0.33840000000000003</v>
      </c>
      <c r="Q32" s="39" t="s">
        <v>129</v>
      </c>
      <c r="R32" s="42"/>
      <c r="S32" s="240">
        <f>S31+T29</f>
        <v>5.2200000000000006</v>
      </c>
      <c r="T32" s="14"/>
      <c r="U32" s="9"/>
      <c r="X32" s="4"/>
    </row>
    <row r="33" spans="1:24" ht="17.399999999999999" x14ac:dyDescent="0.35">
      <c r="B33" s="268"/>
      <c r="C33" s="230"/>
      <c r="D33" s="230"/>
      <c r="E33" s="233"/>
      <c r="F33" s="234"/>
      <c r="G33" s="230"/>
      <c r="H33" s="273"/>
      <c r="I33" s="273"/>
      <c r="J33" s="264"/>
      <c r="K33" s="47"/>
      <c r="L33" s="47"/>
      <c r="M33" s="14"/>
      <c r="N33" s="12"/>
      <c r="O33" s="12"/>
      <c r="P33" s="46">
        <f>P31+P32</f>
        <v>2.0304000000000002</v>
      </c>
      <c r="Q33" s="14"/>
      <c r="R33" s="14"/>
      <c r="S33" s="238">
        <f>S32*20%</f>
        <v>1.0440000000000003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3"/>
      <c r="J34" s="264"/>
      <c r="K34" s="47">
        <v>600</v>
      </c>
      <c r="L34" s="47"/>
      <c r="M34" s="14"/>
      <c r="N34" s="14"/>
      <c r="O34" s="14"/>
      <c r="P34" s="14"/>
      <c r="Q34" s="14"/>
      <c r="R34" s="14"/>
      <c r="S34" s="240">
        <f>S32+S33</f>
        <v>6.2640000000000011</v>
      </c>
      <c r="T34" s="14"/>
      <c r="U34" s="294" t="s">
        <v>21</v>
      </c>
      <c r="V34" s="291" t="s">
        <v>149</v>
      </c>
      <c r="W34" s="295">
        <v>44971</v>
      </c>
      <c r="X34" s="296"/>
    </row>
    <row r="35" spans="1:24" ht="17.399999999999999" x14ac:dyDescent="0.35">
      <c r="B35" s="230"/>
      <c r="C35" s="230"/>
      <c r="D35" s="230"/>
      <c r="E35" s="230"/>
      <c r="F35" s="230"/>
      <c r="G35" s="230"/>
      <c r="J35" s="264"/>
      <c r="K35" s="47">
        <v>60</v>
      </c>
      <c r="L35" s="47"/>
      <c r="M35" s="39">
        <f>P33</f>
        <v>2.0304000000000002</v>
      </c>
      <c r="N35" s="12">
        <v>3500</v>
      </c>
      <c r="O35" s="12">
        <f t="shared" ref="O35:O40" si="12">M35*N35</f>
        <v>7106.4000000000005</v>
      </c>
      <c r="P35" s="14" t="s">
        <v>21</v>
      </c>
      <c r="Q35" s="14"/>
      <c r="R35" s="14"/>
      <c r="S35" s="241"/>
      <c r="T35" s="14"/>
      <c r="U35" s="294" t="s">
        <v>150</v>
      </c>
      <c r="V35" s="291">
        <v>3625</v>
      </c>
      <c r="W35" s="59" t="s">
        <v>151</v>
      </c>
      <c r="X35" s="296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4"/>
      <c r="K36" s="47">
        <f>SUM(K34:K35)</f>
        <v>660</v>
      </c>
      <c r="L36" s="47"/>
      <c r="M36" s="248">
        <v>0.6</v>
      </c>
      <c r="N36" s="12">
        <v>23500</v>
      </c>
      <c r="O36" s="12">
        <f t="shared" si="12"/>
        <v>14100</v>
      </c>
      <c r="P36" s="39" t="s">
        <v>31</v>
      </c>
      <c r="Q36" s="42"/>
      <c r="R36" s="14"/>
      <c r="S36" s="240"/>
      <c r="T36" s="14"/>
      <c r="U36" s="294"/>
      <c r="V36" s="59">
        <v>906.25</v>
      </c>
      <c r="W36" s="59" t="s">
        <v>152</v>
      </c>
      <c r="X36" s="296"/>
    </row>
    <row r="37" spans="1:24" s="230" customFormat="1" ht="17.399999999999999" x14ac:dyDescent="0.35">
      <c r="B37" s="24" t="s">
        <v>148</v>
      </c>
      <c r="J37" s="261"/>
      <c r="K37" s="232"/>
      <c r="L37" s="249"/>
      <c r="M37" s="14"/>
      <c r="N37" s="249">
        <v>58860</v>
      </c>
      <c r="O37" s="12">
        <f t="shared" si="12"/>
        <v>0</v>
      </c>
      <c r="P37" s="39" t="s">
        <v>30</v>
      </c>
      <c r="Q37" s="42"/>
      <c r="S37" s="240"/>
      <c r="T37" s="255"/>
      <c r="U37" s="59"/>
      <c r="V37" s="59">
        <f>V36*20%</f>
        <v>181.25</v>
      </c>
      <c r="W37" s="296" t="s">
        <v>153</v>
      </c>
      <c r="X37" s="59"/>
    </row>
    <row r="38" spans="1:24" s="230" customFormat="1" ht="17.399999999999999" x14ac:dyDescent="0.35">
      <c r="B38" s="24" t="s">
        <v>162</v>
      </c>
      <c r="C38"/>
      <c r="D38"/>
      <c r="E38"/>
      <c r="F38"/>
      <c r="J38" s="261"/>
      <c r="K38" s="232">
        <f>K32+K36</f>
        <v>1170</v>
      </c>
      <c r="L38" s="249"/>
      <c r="M38" s="14">
        <v>1</v>
      </c>
      <c r="N38" s="249">
        <v>41650</v>
      </c>
      <c r="O38" s="12">
        <f t="shared" si="12"/>
        <v>41650</v>
      </c>
      <c r="P38" s="14" t="s">
        <v>139</v>
      </c>
      <c r="Q38" s="17"/>
      <c r="S38" s="238"/>
      <c r="T38" s="255"/>
      <c r="U38" s="59"/>
      <c r="V38" s="59">
        <f>V36+V37</f>
        <v>1087.5</v>
      </c>
      <c r="W38" s="296" t="s">
        <v>154</v>
      </c>
      <c r="X38" s="59"/>
    </row>
    <row r="39" spans="1:24" s="230" customFormat="1" ht="17.399999999999999" x14ac:dyDescent="0.35">
      <c r="A39" s="230" t="s">
        <v>283</v>
      </c>
      <c r="B39" s="29" t="s">
        <v>124</v>
      </c>
      <c r="C39"/>
      <c r="D39"/>
      <c r="E39"/>
      <c r="F39" s="229" t="s">
        <v>15</v>
      </c>
      <c r="J39" s="261"/>
      <c r="K39" s="259"/>
      <c r="L39" s="249"/>
      <c r="M39" s="248"/>
      <c r="N39" s="249">
        <v>900</v>
      </c>
      <c r="O39" s="12">
        <f t="shared" si="12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86"/>
      <c r="K40" s="259"/>
      <c r="L40" s="249"/>
      <c r="M40" s="265"/>
      <c r="N40" s="12">
        <v>1500</v>
      </c>
      <c r="O40" s="12">
        <f t="shared" si="12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59"/>
      <c r="L41" s="249"/>
      <c r="M41" s="14"/>
      <c r="N41" s="12"/>
      <c r="O41" s="12">
        <f>SUM(O35:O40)</f>
        <v>62856.4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49"/>
      <c r="M42" s="253" t="s">
        <v>33</v>
      </c>
      <c r="N42" s="12"/>
      <c r="O42" s="254">
        <f>O41*2.3</f>
        <v>144569.72</v>
      </c>
      <c r="P42" s="14" t="s">
        <v>138</v>
      </c>
      <c r="Q42" s="14"/>
      <c r="R42" s="40">
        <f>P33/R41</f>
        <v>0.54745470232959448</v>
      </c>
      <c r="S42"/>
      <c r="T42" s="256"/>
    </row>
    <row r="43" spans="1:24" s="230" customFormat="1" ht="17.399999999999999" x14ac:dyDescent="0.35">
      <c r="G43"/>
      <c r="H43" s="259"/>
      <c r="I43" s="259"/>
      <c r="J43" s="259"/>
      <c r="K43" s="230">
        <v>49560</v>
      </c>
      <c r="L43" s="249"/>
      <c r="M43" s="14"/>
      <c r="N43" s="12"/>
      <c r="O43" s="12">
        <f>O42/P31</f>
        <v>85443.096926713944</v>
      </c>
      <c r="P43" s="45" t="s">
        <v>24</v>
      </c>
      <c r="Q43" s="14"/>
      <c r="R43" s="14"/>
      <c r="S43"/>
      <c r="T43" s="238"/>
      <c r="U43" s="59" t="s">
        <v>155</v>
      </c>
      <c r="V43" s="291">
        <v>43650</v>
      </c>
    </row>
    <row r="44" spans="1:24" s="230" customFormat="1" ht="17.399999999999999" x14ac:dyDescent="0.35">
      <c r="G44"/>
      <c r="K44" s="230">
        <f>K43/1.19</f>
        <v>41647.058823529413</v>
      </c>
      <c r="L44" s="249"/>
      <c r="M44" s="13"/>
      <c r="N44" s="14"/>
      <c r="O44" s="17">
        <f>O42/O41</f>
        <v>2.2999999999999998</v>
      </c>
      <c r="P44" s="15"/>
      <c r="Q44"/>
      <c r="R44"/>
      <c r="S44"/>
      <c r="T44" s="238"/>
      <c r="U44" s="59" t="s">
        <v>157</v>
      </c>
      <c r="V44" s="292" t="s">
        <v>156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158</v>
      </c>
      <c r="V45" s="293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153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49"/>
    </row>
    <row r="49" spans="12:20" x14ac:dyDescent="0.3">
      <c r="L49" s="249"/>
      <c r="T49" s="269"/>
    </row>
    <row r="50" spans="12:20" x14ac:dyDescent="0.3">
      <c r="L50" s="249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1">
    <mergeCell ref="B19:H19"/>
  </mergeCells>
  <phoneticPr fontId="32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46043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-79519.531700120773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561334</v>
      </c>
      <c r="E11" s="132">
        <f>D11*0.19</f>
        <v>106653.46</v>
      </c>
      <c r="F11" s="131">
        <f>E11+D11</f>
        <v>667987.46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26470.468299879227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51040.490787439616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8470.4682998792268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510293.50921256037</v>
      </c>
      <c r="E13" s="221">
        <f>(D11/D12)-1</f>
        <v>9.997817445323955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-529.53170012077317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-39529.531700120773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84216.809799275361</v>
      </c>
      <c r="F15" s="216">
        <f>E15-D12</f>
        <v>33176.319011835745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-39529.531700120773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470.46829987922683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7106.4000000000005</v>
      </c>
      <c r="E20" s="121">
        <f>D20*0.19</f>
        <v>1350.2160000000001</v>
      </c>
      <c r="F20" s="120">
        <f>SUM(D20:E20)</f>
        <v>8456.616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21206.400000000001</v>
      </c>
      <c r="E21" s="116">
        <f>SUM(E18:E20)</f>
        <v>4029.2160000000003</v>
      </c>
      <c r="F21" s="115">
        <f>SUM(F18:F20)</f>
        <v>25235.616000000002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102624.24400000001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561334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21206.400000000001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510293.50921256037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510293.50921256037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11839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FCA. DE MUEBLES ALVEAR Y ALVEAR LTDA</v>
      </c>
      <c r="D10" s="350"/>
      <c r="E10" s="350"/>
      <c r="F10" s="351" t="s">
        <v>167</v>
      </c>
      <c r="G10" s="352">
        <f>'2229'!G10</f>
        <v>46043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76.143.978-2</v>
      </c>
      <c r="D11" s="345"/>
      <c r="E11" s="345"/>
      <c r="F11" s="345" t="s">
        <v>168</v>
      </c>
      <c r="G11" s="340">
        <f>WORKDAY(G10,5)</f>
        <v>46050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FCA DE MUEBLES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56973069852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ROSA ESTER 03281 LA PINTANA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180° 2 LADOS</v>
      </c>
      <c r="D22" s="321">
        <f>'2229'!D21*1000</f>
        <v>2740</v>
      </c>
      <c r="E22" s="321">
        <f>'2229'!E21*1000</f>
        <v>600</v>
      </c>
      <c r="F22" s="322" t="str">
        <f>'2229'!F21</f>
        <v>NIEBLA 2191 MT</v>
      </c>
      <c r="G22" s="314">
        <f>'2229'!G21</f>
        <v>147570</v>
      </c>
      <c r="H22" s="323">
        <f>G22*B22</f>
        <v>147570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147570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28038.3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175608.3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46043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46050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11839</v>
      </c>
      <c r="C2" s="1">
        <f>'NOTA DE VENTA'!$G$10</f>
        <v>46043</v>
      </c>
      <c r="D2" s="1">
        <f>'NOTA DE VENTA'!$G$11</f>
        <v>46050</v>
      </c>
      <c r="E2" t="str">
        <f>'NOTA DE VENTA'!$C$10</f>
        <v>FCA. DE MUEBLES ALVEAR Y ALVEAR LTDA</v>
      </c>
      <c r="F2" t="str">
        <f>'NOTA DE VENTA'!$C$22</f>
        <v>CUB MESA 180° 2 LADOS</v>
      </c>
      <c r="G2" t="str">
        <f>'NOTA DE VENTA'!$F$22</f>
        <v>NIEBLA 2191 MT</v>
      </c>
      <c r="H2" s="416">
        <f>'NOTA DE VENTA'!$H$25</f>
        <v>147570</v>
      </c>
      <c r="I2" s="416">
        <f>H2*0.19</f>
        <v>28038.3</v>
      </c>
      <c r="J2" s="416">
        <f>I2+H2</f>
        <v>175608.3</v>
      </c>
      <c r="L2" s="61">
        <f>J2-K2</f>
        <v>175608.3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2026-01-21T13:00:09Z</dcterms:modified>
</cp:coreProperties>
</file>