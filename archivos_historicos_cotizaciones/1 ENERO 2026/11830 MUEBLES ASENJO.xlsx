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F10CD905-5A84-4575-B357-0B0893BA2B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J40" i="1"/>
  <c r="K34" i="1"/>
  <c r="K35" i="1" s="1"/>
  <c r="H21" i="1" l="1"/>
  <c r="M21" i="1"/>
  <c r="S21" i="1" s="1"/>
  <c r="N21" i="1"/>
  <c r="J15" i="1"/>
  <c r="J10" i="1"/>
  <c r="O21" i="1" l="1"/>
  <c r="P21" i="1" s="1"/>
  <c r="P25" i="1" s="1"/>
  <c r="S26" i="1"/>
  <c r="M25" i="1"/>
  <c r="T24" i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R21" i="1" s="1"/>
  <c r="O39" i="1"/>
  <c r="E15" i="3"/>
  <c r="F15" i="3" l="1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<sst xmlns="http://schemas.openxmlformats.org/spreadsheetml/2006/main" count="230" uniqueCount="176">
  <si>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</si>
  <si>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</si>
  <si>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</si>
  <si>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</si>
  <si>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</si>
  <si>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</si>
  <si>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</si>
  <si>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</si>
  <si>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</si>
  <si>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</si>
  <si>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</si>
  <si>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</si>
  <si>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</si>
  <si>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</si>
  <si>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</si>
  <si>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</si>
  <si>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</si>
  <si>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</si>
  <si>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</si>
  <si>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</si>
  <si>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</si>
  <si>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</si>
  <si>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</si>
  <si>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</si>
  <si>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</si>
  <si>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</si>
  <si>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</si>
  <si>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</si>
  <si>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</si>
  <si>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</si>
  <si>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</si>
  <si>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</si>
  <si>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</si>
  <si>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</si>
  <si>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</si>
  <si>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</si>
  <si>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</si>
  <si>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</si>
  <si>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</si>
  <si>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</si>
  <si>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</si>
  <si>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</si>
  <si>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</si>
  <si>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</si>
  <si>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</si>
  <si>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</si>
  <si>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</si>
  <si>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</si>
  <si>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</si>
  <si>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</si>
  <si>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</si>
  <si>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</si>
  <si>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</si>
  <si>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</si>
  <si>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</si>
  <si>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</si>
  <si>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</si>
  <si>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</si>
  <si>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</si>
  <si>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</si>
  <si>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</si>
  <si>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</si>
  <si>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</si>
  <si>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</si>
  <si>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</si>
  <si>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</si>
  <si>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</si>
  <si>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</si>
  <si>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</si>
  <si>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</si>
  <si>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</si>
  <si>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</si>
  <si>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</si>
  <si>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</si>
  <si>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</si>
  <si>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</si>
  <si>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</si>
  <si>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</si>
  <si>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</si>
  <si>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</si>
  <si>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</si>
  <si>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</si>
  <si>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</si>
  <si>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</si>
  <si>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</si>
  <si>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</si>
  <si>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</si>
  <si>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</si>
  <si>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</si>
  <si>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</si>
  <si>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</si>
  <si>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</si>
  <si>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</si>
  <si>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</si>
  <si>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</si>
  <si>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</si>
  <si>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</si>
  <si>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</si>
  <si>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</si>
  <si>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</si>
  <si>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</si>
  <si>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</si>
  <si>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</si>
  <si>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</si>
  <si>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</si>
  <si>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</si>
  <si>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</si>
  <si>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</si>
  <si>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</si>
  <si>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</si>
  <si>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</si>
  <si>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</si>
  <si>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</si>
  <si>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</si>
  <si>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</si>
  <si>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</si>
  <si>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</si>
  <si>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</si>
  <si>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</si>
  <si>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</si>
  <si>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</si>
  <si>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</si>
  <si>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</si>
  <si>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</si>
  <si>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</si>
  <si>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</si>
  <si>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</si>
  <si>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</si>
  <si>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</si>
  <si>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</si>
  <si>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</si>
  <si>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</si>
  <si>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</si>
  <si>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</si>
  <si>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</si>
  <si>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</si>
  <si>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</si>
  <si>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</si>
  <si>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</si>
  <si>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</si>
  <si>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</si>
  <si>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</si>
  <si>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</si>
  <si>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</si>
  <si>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</si>
  <si>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</si>
  <si>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</si>
  <si>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</si>
  <si>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</si>
  <si>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</si>
  <si>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</si>
  <si>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</si>
  <si>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</si>
  <si>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</si>
  <si>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</si>
  <si>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</si>
  <si>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</si>
  <si>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</si>
  <si>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</si>
  <si>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</si>
  <si>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</si>
  <si>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</si>
  <si>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</si>
  <si>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</si>
  <si>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</si>
  <si>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</si>
  <si>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</si>
  <si>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</si>
  <si>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</si>
  <si>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</si>
  <si>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</si>
  <si>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LAMINA 122X306</t>
  </si>
  <si>
    <t>BLANCO MERINO 22191 SF</t>
  </si>
  <si>
    <t>N° 11779</t>
  </si>
  <si>
    <t>5 DIAS HABILES</t>
  </si>
  <si>
    <t>CUB C/R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</si>
</sst>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F19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45993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169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60040.340909090904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4</v>
      </c>
      <c r="C21" s="330" t="s">
        <v>175</v>
      </c>
      <c r="D21" s="333">
        <v>0.8</v>
      </c>
      <c r="E21" s="333">
        <v>0.4</v>
      </c>
      <c r="F21" s="330" t="s">
        <v>172</v>
      </c>
      <c r="G21" s="331">
        <v>24134</v>
      </c>
      <c r="H21" s="331">
        <f t="shared" ref="H21" si="1">G21*B21</f>
        <v>96536</v>
      </c>
      <c r="I21" s="320"/>
      <c r="J21" s="265">
        <v>92285</v>
      </c>
      <c r="K21" s="47"/>
      <c r="L21" s="332">
        <f>B21</f>
        <v>4</v>
      </c>
      <c r="M21" s="39">
        <f t="shared" ref="M21" si="2">D21+M$19</f>
        <v>0.88</v>
      </c>
      <c r="N21" s="39">
        <f t="shared" ref="N21" si="3">E21+$N$19</f>
        <v>0.4</v>
      </c>
      <c r="O21" s="261">
        <f t="shared" ref="O21" si="4">M21*N21</f>
        <v>0.35200000000000004</v>
      </c>
      <c r="P21" s="259">
        <f t="shared" ref="P21" si="5">O21*L21</f>
        <v>1.4080000000000001</v>
      </c>
      <c r="Q21" s="252">
        <f t="shared" ref="Q21" si="6">Q$20*O21</f>
        <v>21134.2</v>
      </c>
      <c r="R21" s="319">
        <f t="shared" ref="R21" si="7">Q21+R$20</f>
        <v>24134.2</v>
      </c>
      <c r="S21" s="297">
        <f>L21*M21</f>
        <v>3.52</v>
      </c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2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96536</v>
      </c>
      <c r="I24" s="322"/>
      <c r="J24" s="265">
        <v>442955</v>
      </c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18341.84</v>
      </c>
      <c r="I25" s="322"/>
      <c r="J25" s="265"/>
      <c r="K25" s="47"/>
      <c r="L25" s="47"/>
      <c r="M25" s="39">
        <f>SUM(M21:M24)</f>
        <v>0.88</v>
      </c>
      <c r="N25" s="12"/>
      <c r="O25" s="12"/>
      <c r="P25" s="253">
        <f>SUM(P21:P23)</f>
        <v>1.4080000000000001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114877.84</v>
      </c>
      <c r="I26" s="322"/>
      <c r="J26" s="265"/>
      <c r="K26" s="47"/>
      <c r="L26" s="47"/>
      <c r="M26" s="39"/>
      <c r="N26" s="12"/>
      <c r="O26" s="12"/>
      <c r="P26" s="253">
        <f>P25</f>
        <v>1.4080000000000001</v>
      </c>
      <c r="Q26" s="14"/>
      <c r="R26" s="12"/>
      <c r="S26" s="239">
        <f>SUM(S21:S25)</f>
        <v>3.52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0.28160000000000002</v>
      </c>
      <c r="Q27" s="39" t="s">
        <v>130</v>
      </c>
      <c r="R27" s="42"/>
      <c r="S27" s="240">
        <f>S26+T24</f>
        <v>3.52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1.6896000000000002</v>
      </c>
      <c r="Q28" s="14"/>
      <c r="R28" s="14"/>
      <c r="S28" s="238">
        <f>S27*20%</f>
        <v>0.70400000000000007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4.2240000000000002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P28*2</f>
        <v>3.3792000000000004</v>
      </c>
      <c r="N30" s="12">
        <v>2000</v>
      </c>
      <c r="O30" s="12">
        <f t="shared" ref="O30:O35" si="8">M30*N30</f>
        <v>6758.4000000000005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23500</v>
      </c>
      <c r="O31" s="12">
        <f t="shared" si="8"/>
        <v>11750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>
        <v>1220</v>
      </c>
      <c r="L32" s="250"/>
      <c r="M32" s="14"/>
      <c r="N32" s="250">
        <v>23500</v>
      </c>
      <c r="O32" s="12">
        <f t="shared" si="8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>
        <v>32859</v>
      </c>
      <c r="K33" s="232">
        <v>230</v>
      </c>
      <c r="L33" s="250"/>
      <c r="M33" s="14">
        <v>1</v>
      </c>
      <c r="N33" s="250">
        <v>22000</v>
      </c>
      <c r="O33" s="12">
        <f t="shared" si="8"/>
        <v>22000</v>
      </c>
      <c r="P33" s="14" t="s">
        <v>171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K32/K33</f>
        <v>5.3043478260869561</v>
      </c>
      <c r="L34" s="250"/>
      <c r="M34" s="249"/>
      <c r="N34" s="250">
        <v>15700</v>
      </c>
      <c r="O34" s="12">
        <f t="shared" si="8"/>
        <v>0</v>
      </c>
      <c r="P34" s="14" t="s">
        <v>32</v>
      </c>
      <c r="Q34" s="14"/>
      <c r="R34" s="230">
        <v>1.83</v>
      </c>
      <c r="S34" s="238"/>
      <c r="T34" s="238"/>
    </row>
    <row r="35" spans="2:24" s="230" customFormat="1" ht="17.399999999999999" x14ac:dyDescent="0.35">
      <c r="J35" s="293"/>
      <c r="K35" s="260" t="e">
        <f>#REF!/K34</f>
        <v>#REF!</v>
      </c>
      <c r="L35" s="250"/>
      <c r="M35" s="266">
        <v>3.52</v>
      </c>
      <c r="N35" s="12">
        <v>500</v>
      </c>
      <c r="O35" s="12">
        <f t="shared" si="8"/>
        <v>1760</v>
      </c>
      <c r="P35" s="14" t="s">
        <v>22</v>
      </c>
      <c r="Q35" s="14"/>
      <c r="R35">
        <v>2.5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42268.4</v>
      </c>
      <c r="P36" s="39" t="s">
        <v>23</v>
      </c>
      <c r="Q36" s="14"/>
      <c r="R36">
        <f>R34*R35</f>
        <v>4.5750000000000002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</f>
        <v>84536.8</v>
      </c>
      <c r="P37" s="14" t="s">
        <v>140</v>
      </c>
      <c r="Q37" s="14"/>
      <c r="R37" s="40">
        <f>P28/R36</f>
        <v>0.36931147540983611</v>
      </c>
      <c r="S37"/>
      <c r="T37" s="257"/>
    </row>
    <row r="38" spans="2:24" s="230" customFormat="1" ht="17.399999999999999" x14ac:dyDescent="0.35">
      <c r="G38"/>
      <c r="H38" s="260"/>
      <c r="I38" s="260"/>
      <c r="J38" s="260">
        <v>22475</v>
      </c>
      <c r="K38" s="230">
        <v>40000</v>
      </c>
      <c r="L38" s="250"/>
      <c r="M38" s="14"/>
      <c r="N38" s="12"/>
      <c r="O38" s="12">
        <f>O37/P26</f>
        <v>60040.340909090904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J39" s="230">
        <v>6</v>
      </c>
      <c r="K39" s="230">
        <f>K38/1.19</f>
        <v>33613.445378151264</v>
      </c>
      <c r="L39" s="250"/>
      <c r="M39" s="13"/>
      <c r="N39" s="14"/>
      <c r="O39" s="17">
        <f>O37/O36</f>
        <v>2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J40" s="260">
        <f>J38*J39</f>
        <v>134850</v>
      </c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45993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11779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-2795.1483667874395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96536</v>
      </c>
      <c r="E11" s="132">
        <f>D11*0.19</f>
        <v>18341.84</v>
      </c>
      <c r="F11" s="131">
        <f>E11+D11</f>
        <v>114877.84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103194.85163321256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48342.490787439616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85194.851633212558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48193.509212560384</v>
      </c>
      <c r="E13" s="221">
        <f>(D11/D12)-1</f>
        <v>0.99691820647938267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76194.851633212558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37194.851633212558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79765.109799275364</v>
      </c>
      <c r="F15" s="216">
        <f>E15-D12</f>
        <v>31422.619011835748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37194.851633212558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77194.851633212558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6758.4000000000005</v>
      </c>
      <c r="E20" s="121">
        <f>D20*0.19</f>
        <v>1284.0960000000002</v>
      </c>
      <c r="F20" s="120">
        <f>SUM(D20:E20)</f>
        <v>8042.496000000001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18508.400000000001</v>
      </c>
      <c r="E21" s="116">
        <f>SUM(E18:E20)</f>
        <v>3516.5960000000005</v>
      </c>
      <c r="F21" s="115">
        <f>SUM(F18:F20)</f>
        <v>22024.995999999999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14825.243999999999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96536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18508.400000000001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48193.509212560384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48193.509212560384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2025-11-10T20:44:42Z</cp:lastPrinted>
  <dcterms:created xsi:type="dcterms:W3CDTF">2013-03-18T13:35:42Z</dcterms:created>
  <dcterms:modified xsi:type="dcterms:W3CDTF">2026-01-13T20:10:43Z</dcterms:modified>
</cp:coreProperties>
</file>