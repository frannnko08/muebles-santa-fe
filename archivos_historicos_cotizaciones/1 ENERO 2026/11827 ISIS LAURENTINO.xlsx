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2635463A-7D1C-4E60-8417-0D2C1595F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2" i="1"/>
  <c r="M22" i="1"/>
  <c r="N22" i="1"/>
  <c r="L23" i="1"/>
  <c r="M23" i="1"/>
  <c r="O23" i="1" s="1"/>
  <c r="N23" i="1"/>
  <c r="K18" i="1"/>
  <c r="K19" i="1" s="1"/>
  <c r="K30" i="1"/>
  <c r="L21" i="1"/>
  <c r="O22" i="1" l="1"/>
  <c r="P22" i="1"/>
  <c r="P23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9" i="1" l="1"/>
  <c r="S21" i="1"/>
  <c r="S30" i="1" s="1"/>
  <c r="T21" i="1"/>
  <c r="T28" i="1" s="1"/>
  <c r="O21" i="1"/>
  <c r="P21" i="1" s="1"/>
  <c r="P29" i="1" s="1"/>
  <c r="K43" i="1"/>
  <c r="S31" i="1" l="1"/>
  <c r="S32" i="1" s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Q23" i="1"/>
  <c r="O43" i="1"/>
  <c r="E15" i="3"/>
  <c r="R23" i="1" l="1"/>
  <c r="G23" i="1"/>
  <c r="H23" i="1" s="1"/>
  <c r="R22" i="1"/>
  <c r="H22" i="1"/>
  <c r="Q21" i="1"/>
  <c r="F15" i="3"/>
  <c r="R21" i="1" l="1"/>
  <c r="H21" i="1" l="1"/>
  <c r="H28" i="1" s="1"/>
  <c r="H29" i="1" l="1"/>
  <c r="H3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<sst xmlns="http://schemas.openxmlformats.org/spreadsheetml/2006/main" count="491" uniqueCount="297">
  <si>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</si>
  <si>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</si>
  <si>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</si>
  <si>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</si>
  <si>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</si>
  <si>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</si>
  <si>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</si>
  <si>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</si>
  <si>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</si>
  <si>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</si>
  <si>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</si>
  <si>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</si>
  <si>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</si>
  <si>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</si>
  <si>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</si>
  <si>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</si>
  <si>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</si>
  <si>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</si>
  <si>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</si>
  <si>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</si>
  <si>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</si>
  <si>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</si>
  <si>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</si>
  <si>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</si>
  <si>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</si>
  <si>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</si>
  <si>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</si>
  <si>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</si>
  <si>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</si>
  <si>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</si>
  <si>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</si>
  <si>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</si>
  <si>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</si>
  <si>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</si>
  <si>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</si>
  <si>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</si>
  <si>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</si>
  <si>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</si>
  <si>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</si>
  <si>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</si>
  <si>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</si>
  <si>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</si>
  <si>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</si>
  <si>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</si>
  <si>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</si>
  <si>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</si>
  <si>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</si>
  <si>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</si>
  <si>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</si>
  <si>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</si>
  <si>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</si>
  <si>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</si>
  <si>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</si>
  <si>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</si>
  <si>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</si>
  <si>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</si>
  <si>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</si>
  <si>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</si>
  <si>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</si>
  <si>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</si>
  <si>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</si>
  <si>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</si>
  <si>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</si>
  <si>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</si>
  <si>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</si>
  <si>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</si>
  <si>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</si>
  <si>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</si>
  <si>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</si>
  <si>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</si>
  <si>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</si>
  <si>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</si>
  <si>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</si>
  <si>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</si>
  <si>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</si>
  <si>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</si>
  <si>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</si>
  <si>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</si>
  <si>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</si>
  <si>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</si>
  <si>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</si>
  <si>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</si>
  <si>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</si>
  <si>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</si>
  <si>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</si>
  <si>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</si>
  <si>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</si>
  <si>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</si>
  <si>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</si>
  <si>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</si>
  <si>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</si>
  <si>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</si>
  <si>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</si>
  <si>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</si>
  <si>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</si>
  <si>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</si>
  <si>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</si>
  <si>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</si>
  <si>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</si>
  <si>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</si>
  <si>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</si>
  <si>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</si>
  <si>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</si>
  <si>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</si>
  <si>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</si>
  <si>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</si>
  <si>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</si>
  <si>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</si>
  <si>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</si>
  <si>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</si>
  <si>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</si>
  <si>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</si>
  <si>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</si>
  <si>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</si>
  <si>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</si>
  <si>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</si>
  <si>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</si>
  <si>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</si>
  <si>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</si>
  <si>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</si>
  <si>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</si>
  <si>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</si>
  <si>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</si>
  <si>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</si>
  <si>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</si>
  <si>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</si>
  <si>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</si>
  <si>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</si>
  <si>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</si>
  <si>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</si>
  <si>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</si>
  <si>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</si>
  <si>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</si>
  <si>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</si>
  <si>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</si>
  <si>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</si>
  <si>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</si>
  <si>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</si>
  <si>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</si>
  <si>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</si>
  <si>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</si>
  <si>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</si>
  <si>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</si>
  <si>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</si>
  <si>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</si>
  <si>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</si>
  <si>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</si>
  <si>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</si>
  <si>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</si>
  <si>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</si>
  <si>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</si>
  <si>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</si>
  <si>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</si>
  <si>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</si>
  <si>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</si>
  <si>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</si>
  <si>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</si>
  <si>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</si>
  <si>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</si>
  <si>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</si>
  <si>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</si>
  <si>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</si>
  <si>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</si>
  <si>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</si>
  <si>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</si>
  <si>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</si>
  <si>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</si>
  <si>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</si>
  <si>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</si>
  <si>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</si>
  <si>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</si>
  <si>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</si>
  <si>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</si>
  <si>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</si>
  <si>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</si>
  <si>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</si>
  <si>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</si>
  <si>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</si>
  <si>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</si>
  <si>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</si>
  <si>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</si>
  <si>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</si>
  <si>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</si>
  <si>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</si>
  <si>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</si>
  <si>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</si>
  <si>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</si>
  <si>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</si>
  <si>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</si>
  <si>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</si>
  <si>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</si>
  <si>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</si>
  <si>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</si>
  <si>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</si>
  <si>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</si>
  <si>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</si>
  <si>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</si>
  <si>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</si>
  <si>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</si>
  <si>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</si>
  <si>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</si>
  <si>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</si>
  <si>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</si>
  <si>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</si>
  <si>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</si>
  <si>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</si>
  <si>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</si>
  <si>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</si>
  <si>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</si>
  <si>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</si>
  <si>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</si>
  <si>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</si>
  <si>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</si>
  <si>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</si>
  <si>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</si>
  <si>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</si>
  <si>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</si>
  <si>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</si>
  <si>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</si>
  <si>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</si>
  <si>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</si>
  <si>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</si>
  <si>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</si>
  <si>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</si>
  <si>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</si>
  <si>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</si>
  <si>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</si>
  <si>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</si>
  <si>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</si>
  <si>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</si>
  <si>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</si>
  <si>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</si>
  <si>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</si>
  <si>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</si>
  <si>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</si>
  <si>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</si>
  <si>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</si>
  <si>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</si>
  <si>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</si>
  <si>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</si>
  <si>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</si>
  <si>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</si>
  <si>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</si>
  <si>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</si>
  <si>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</si>
  <si>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</si>
  <si>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</si>
  <si>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</si>
  <si>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</si>
  <si>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</si>
  <si>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</si>
  <si>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</si>
  <si>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</si>
  <si>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</si>
  <si>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</si>
  <si>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</si>
  <si>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</si>
  <si>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</si>
  <si>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</si>
  <si>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</si>
  <si>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</si>
  <si>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</si>
  <si>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</si>
  <si>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</si>
  <si>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</si>
  <si>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</si>
  <si>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</si>
  <si>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</si>
  <si>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</si>
  <si>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</si>
  <si>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</si>
  <si>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</si>
  <si>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</si>
  <si>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</si>
  <si>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</si>
  <si>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</si>
  <si>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</si>
  <si>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</si>
  <si>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</si>
  <si>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</si>
  <si>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</si>
  <si>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</si>
  <si>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</si>
  <si>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</si>
  <si>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</si>
  <si>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</si>
  <si>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</si>
  <si>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</si>
  <si>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SI</t>
  </si>
  <si>
    <t>CUB MESA 3 LADOS E/R FALDON 8,5cm</t>
  </si>
  <si>
    <t>BLANCO VAINILLA</t>
  </si>
  <si>
    <t>TIRAS DE ZOCALO</t>
  </si>
  <si>
    <t>5 DIAS HABILES</t>
  </si>
  <si>
    <t>+569 78658972</t>
  </si>
  <si>
    <t>N° 11827</t>
  </si>
  <si>
    <t>ISIS LAURENTINO</t>
  </si>
  <si>
    <t>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</si>
</sst>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180258</xdr:rowOff>
    </xdr:from>
    <xdr:to>
      <xdr:col>5</xdr:col>
      <xdr:colOff>1728839</xdr:colOff>
      <xdr:row>29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SON ENCHAPADAS EN LOS DOS COSTADOS AL LARGO Y UNO AL ANCHO.</a:t>
          </a:r>
        </a:p>
        <a:p>
          <a:pPr algn="l"/>
          <a:r>
            <a:rPr lang="es-CL" sz="1200" b="1" baseline="0"/>
            <a:t>LA CUBIERTA QUEDA SOBRE MEDIDA EN EL ANCHO QUE NO VA ENCHAPADO.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D18" zoomScale="93" zoomScaleNormal="93" workbookViewId="0">
      <selection activeCell="S22" sqref="S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295</v>
      </c>
      <c r="D10" s="243"/>
      <c r="E10" s="243"/>
      <c r="F10" s="418" t="s">
        <v>277</v>
      </c>
      <c r="G10" s="275">
        <v>46031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288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293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K17">
        <v>74</v>
      </c>
      <c r="T17" s="6"/>
      <c r="U17" s="6"/>
    </row>
    <row r="18" spans="2:25" ht="15.75" customHeight="1" thickBot="1" x14ac:dyDescent="0.35">
      <c r="J18" s="47"/>
      <c r="K18" s="5">
        <f>K17/8</f>
        <v>9.25</v>
      </c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>
        <f>K17/K18</f>
        <v>8</v>
      </c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/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>
        <f>B20</f>
        <v>0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O42</f>
        <v>99132.043902064615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29">
        <v>2</v>
      </c>
      <c r="C21" s="433" t="s">
        <v>260</v>
      </c>
      <c r="D21" s="430">
        <v>1.4350000000000001</v>
      </c>
      <c r="E21" s="430">
        <v>0.43</v>
      </c>
      <c r="F21" s="429" t="s">
        <v>296</v>
      </c>
      <c r="G21" s="431">
        <v>69513</v>
      </c>
      <c r="H21" s="431">
        <f>G21*B21</f>
        <v>139026</v>
      </c>
      <c r="I21" s="306"/>
      <c r="J21" s="264"/>
      <c r="K21" s="47"/>
      <c r="L21" s="47">
        <f>B21</f>
        <v>2</v>
      </c>
      <c r="M21" s="39">
        <f>D21+M$19</f>
        <v>1.5150000000000001</v>
      </c>
      <c r="N21" s="39">
        <f>E21+$N$19</f>
        <v>0.43</v>
      </c>
      <c r="O21" s="260">
        <f t="shared" ref="O21" si="0">M21*N21</f>
        <v>0.65145000000000008</v>
      </c>
      <c r="P21" s="258">
        <f t="shared" ref="P21" si="1">O21*L21</f>
        <v>1.3029000000000002</v>
      </c>
      <c r="Q21" s="251">
        <f t="shared" ref="Q21" si="2">Q$20*O21</f>
        <v>64579.57</v>
      </c>
      <c r="R21" s="305">
        <f t="shared" ref="R21" si="3">Q21+R$20</f>
        <v>67579.570000000007</v>
      </c>
      <c r="S21" s="290">
        <f>M21*L21</f>
        <v>3.0300000000000002</v>
      </c>
      <c r="T21" s="46">
        <f>N21*2*L21*2</f>
        <v>3.44</v>
      </c>
      <c r="U21" s="9"/>
      <c r="X21" s="4"/>
    </row>
    <row r="22" spans="2:25" ht="17.399999999999999" x14ac:dyDescent="0.3">
      <c r="B22" s="429"/>
      <c r="C22" s="433" t="s">
        <v>289</v>
      </c>
      <c r="D22" s="430">
        <v>0.4</v>
      </c>
      <c r="E22" s="430">
        <v>0.88600000000000001</v>
      </c>
      <c r="F22" s="429" t="s">
        <v>290</v>
      </c>
      <c r="G22" s="431">
        <v>21557</v>
      </c>
      <c r="H22" s="431">
        <f>G22*B22</f>
        <v>0</v>
      </c>
      <c r="I22" s="306"/>
      <c r="J22" s="264"/>
      <c r="K22" s="47"/>
      <c r="L22" s="47">
        <f t="shared" ref="L22:L23" si="4">B22</f>
        <v>0</v>
      </c>
      <c r="M22" s="39">
        <f t="shared" ref="M22:M23" si="5">D22+M$19</f>
        <v>0.48000000000000004</v>
      </c>
      <c r="N22" s="39">
        <f t="shared" ref="N22:N23" si="6">E22+$N$19</f>
        <v>0.88600000000000001</v>
      </c>
      <c r="O22" s="260">
        <f t="shared" ref="O22:O23" si="7">M22*N22</f>
        <v>0.42528000000000005</v>
      </c>
      <c r="P22" s="258">
        <f t="shared" ref="P22:P23" si="8">O22*L22</f>
        <v>0</v>
      </c>
      <c r="Q22" s="251">
        <f t="shared" ref="Q22:Q23" si="9">Q$20*O22</f>
        <v>42158.875630670045</v>
      </c>
      <c r="R22" s="305">
        <f t="shared" ref="R22:R23" si="10">Q22+R$20</f>
        <v>45158.875630670045</v>
      </c>
      <c r="S22" s="290"/>
      <c r="T22" s="46"/>
      <c r="U22" s="9"/>
      <c r="X22" s="4"/>
    </row>
    <row r="23" spans="2:25" ht="17.399999999999999" x14ac:dyDescent="0.3">
      <c r="B23" s="429"/>
      <c r="C23" s="433" t="s">
        <v>289</v>
      </c>
      <c r="D23" s="430">
        <v>0.5</v>
      </c>
      <c r="E23" s="430">
        <v>0.4</v>
      </c>
      <c r="F23" s="429" t="s">
        <v>290</v>
      </c>
      <c r="G23" s="431">
        <f>Q23</f>
        <v>22998.634185278988</v>
      </c>
      <c r="H23" s="431">
        <f>G23*B23</f>
        <v>0</v>
      </c>
      <c r="I23" s="306"/>
      <c r="J23" s="264"/>
      <c r="K23" s="47"/>
      <c r="L23" s="47">
        <f t="shared" si="4"/>
        <v>0</v>
      </c>
      <c r="M23" s="39">
        <f t="shared" si="5"/>
        <v>0.57999999999999996</v>
      </c>
      <c r="N23" s="39">
        <f t="shared" si="6"/>
        <v>0.4</v>
      </c>
      <c r="O23" s="260">
        <f t="shared" si="7"/>
        <v>0.23199999999999998</v>
      </c>
      <c r="P23" s="258">
        <f t="shared" si="8"/>
        <v>0</v>
      </c>
      <c r="Q23" s="251">
        <f t="shared" si="9"/>
        <v>22998.634185278988</v>
      </c>
      <c r="R23" s="305">
        <f t="shared" si="10"/>
        <v>25998.634185278988</v>
      </c>
      <c r="S23" s="290"/>
      <c r="T23" s="46"/>
      <c r="U23" s="9"/>
      <c r="X23" s="4"/>
    </row>
    <row r="24" spans="2:25" ht="17.399999999999999" x14ac:dyDescent="0.3">
      <c r="B24" s="429"/>
      <c r="C24" s="433" t="s">
        <v>291</v>
      </c>
      <c r="D24" s="430">
        <v>0.09</v>
      </c>
      <c r="E24" s="430">
        <v>3.06</v>
      </c>
      <c r="F24" s="429" t="s">
        <v>290</v>
      </c>
      <c r="G24" s="431">
        <v>3500</v>
      </c>
      <c r="H24" s="431">
        <f>G24*B24</f>
        <v>0</v>
      </c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8" thickBot="1" x14ac:dyDescent="0.35">
      <c r="B27" s="283"/>
      <c r="C27" s="325"/>
      <c r="D27" s="284"/>
      <c r="E27" s="284"/>
      <c r="F27" s="283"/>
      <c r="G27" s="264"/>
      <c r="H27" s="307"/>
      <c r="I27" s="309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10" t="s">
        <v>28</v>
      </c>
      <c r="H28" s="311">
        <f>SUM(H21:H25)</f>
        <v>139026</v>
      </c>
      <c r="I28" s="308"/>
      <c r="J28" s="264"/>
      <c r="K28" s="47"/>
      <c r="L28" s="47"/>
      <c r="M28" s="39"/>
      <c r="N28" s="39"/>
      <c r="O28" s="260"/>
      <c r="P28" s="258"/>
      <c r="Q28" s="251"/>
      <c r="R28" s="257"/>
      <c r="S28" s="290"/>
      <c r="T28" s="46">
        <f>SUM(T21:T25)</f>
        <v>3.44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51</v>
      </c>
      <c r="H29" s="287">
        <f>H28*19%</f>
        <v>26414.94</v>
      </c>
      <c r="I29" s="308"/>
      <c r="J29" s="264"/>
      <c r="K29" s="47">
        <v>463</v>
      </c>
      <c r="L29" s="47"/>
      <c r="M29" s="39">
        <f>SUM(M21:M28)</f>
        <v>2.5750000000000002</v>
      </c>
      <c r="N29" s="12"/>
      <c r="O29" s="12"/>
      <c r="P29" s="252">
        <f>SUM(P21:P25)</f>
        <v>1.3029000000000002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165440.94</v>
      </c>
      <c r="I30" s="308"/>
      <c r="J30" s="264"/>
      <c r="K30" s="47">
        <f>K29*5</f>
        <v>2315</v>
      </c>
      <c r="L30" s="47"/>
      <c r="M30" s="39"/>
      <c r="N30" s="12"/>
      <c r="O30" s="12"/>
      <c r="P30" s="252">
        <f>P29</f>
        <v>1.3029000000000002</v>
      </c>
      <c r="Q30" s="14"/>
      <c r="R30" s="12"/>
      <c r="S30" s="239">
        <f>SUM(S21:S29)</f>
        <v>3.0300000000000002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47"/>
      <c r="L31" s="47"/>
      <c r="M31" s="14"/>
      <c r="N31" s="12"/>
      <c r="O31" s="12"/>
      <c r="P31" s="39">
        <f>P30*20%</f>
        <v>0.26058000000000003</v>
      </c>
      <c r="Q31" s="39" t="s">
        <v>129</v>
      </c>
      <c r="R31" s="42"/>
      <c r="S31" s="240">
        <f>S30+T28</f>
        <v>6.4700000000000006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1.5634800000000002</v>
      </c>
      <c r="Q32" s="14"/>
      <c r="R32" s="14"/>
      <c r="S32" s="238">
        <f>S31*20%</f>
        <v>1.2940000000000003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>
        <f>S31+S32</f>
        <v>7.7640000000000011</v>
      </c>
      <c r="T33" s="14"/>
      <c r="U33" s="294" t="s">
        <v>21</v>
      </c>
      <c r="V33" s="291" t="s">
        <v>149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</f>
        <v>1.5634800000000002</v>
      </c>
      <c r="N34" s="12">
        <v>2500</v>
      </c>
      <c r="O34" s="12">
        <f t="shared" ref="O34:O39" si="11">M34*N34</f>
        <v>3908.7000000000007</v>
      </c>
      <c r="P34" s="14" t="s">
        <v>21</v>
      </c>
      <c r="Q34" s="14"/>
      <c r="R34" s="14"/>
      <c r="S34" s="241"/>
      <c r="T34" s="14"/>
      <c r="U34" s="294" t="s">
        <v>150</v>
      </c>
      <c r="V34" s="291">
        <v>3625</v>
      </c>
      <c r="W34" s="59" t="s">
        <v>151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0.42</v>
      </c>
      <c r="N35" s="12">
        <v>40000</v>
      </c>
      <c r="O35" s="12">
        <f t="shared" si="11"/>
        <v>16800</v>
      </c>
      <c r="P35" s="39" t="s">
        <v>31</v>
      </c>
      <c r="Q35" s="42"/>
      <c r="R35" s="14"/>
      <c r="S35" s="240"/>
      <c r="T35" s="14"/>
      <c r="U35" s="294"/>
      <c r="V35" s="59">
        <v>906.25</v>
      </c>
      <c r="W35" s="59" t="s">
        <v>152</v>
      </c>
      <c r="X35" s="296"/>
    </row>
    <row r="36" spans="1:24" s="230" customFormat="1" ht="17.399999999999999" x14ac:dyDescent="0.35">
      <c r="B36" s="24" t="s">
        <v>148</v>
      </c>
      <c r="J36" s="261"/>
      <c r="K36" s="232"/>
      <c r="L36" s="249"/>
      <c r="M36" s="14"/>
      <c r="N36" s="249">
        <v>58860</v>
      </c>
      <c r="O36" s="12">
        <f t="shared" si="11"/>
        <v>0</v>
      </c>
      <c r="P36" s="39" t="s">
        <v>30</v>
      </c>
      <c r="Q36" s="42"/>
      <c r="S36" s="240"/>
      <c r="T36" s="255"/>
      <c r="U36" s="59"/>
      <c r="V36" s="59">
        <f>V35*20%</f>
        <v>181.25</v>
      </c>
      <c r="W36" s="296" t="s">
        <v>153</v>
      </c>
      <c r="X36" s="59"/>
    </row>
    <row r="37" spans="1:24" s="230" customFormat="1" ht="17.399999999999999" x14ac:dyDescent="0.35">
      <c r="B37" s="24" t="s">
        <v>162</v>
      </c>
      <c r="C37"/>
      <c r="D37"/>
      <c r="E37"/>
      <c r="F37"/>
      <c r="J37" s="261"/>
      <c r="K37" s="232"/>
      <c r="L37" s="249"/>
      <c r="M37" s="14">
        <v>1</v>
      </c>
      <c r="N37" s="249">
        <v>38000</v>
      </c>
      <c r="O37" s="12">
        <f t="shared" si="11"/>
        <v>38000</v>
      </c>
      <c r="P37" s="14" t="s">
        <v>139</v>
      </c>
      <c r="Q37" s="17"/>
      <c r="S37" s="238"/>
      <c r="T37" s="255"/>
      <c r="U37" s="59"/>
      <c r="V37" s="59">
        <f>V35+V36</f>
        <v>1087.5</v>
      </c>
      <c r="W37" s="296" t="s">
        <v>154</v>
      </c>
      <c r="X37" s="59"/>
    </row>
    <row r="38" spans="1:24" s="230" customFormat="1" ht="17.399999999999999" x14ac:dyDescent="0.35">
      <c r="A38" s="230" t="s">
        <v>283</v>
      </c>
      <c r="B38" s="29" t="s">
        <v>124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11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/>
      <c r="K39" s="259"/>
      <c r="L39" s="249"/>
      <c r="M39" s="265"/>
      <c r="N39" s="12">
        <v>1000</v>
      </c>
      <c r="O39" s="12">
        <f t="shared" si="11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58708.7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33</v>
      </c>
      <c r="N41" s="12"/>
      <c r="O41" s="254">
        <f>O40*2.2</f>
        <v>129159.14</v>
      </c>
      <c r="P41" s="14" t="s">
        <v>138</v>
      </c>
      <c r="Q41" s="14"/>
      <c r="R41" s="40">
        <f>P32/R40</f>
        <v>0.42155953408110447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42800</v>
      </c>
      <c r="L42" s="249"/>
      <c r="M42" s="14"/>
      <c r="N42" s="12"/>
      <c r="O42" s="12">
        <f>O41/P30</f>
        <v>99132.043902064615</v>
      </c>
      <c r="P42" s="45" t="s">
        <v>24</v>
      </c>
      <c r="Q42" s="14"/>
      <c r="R42" s="14"/>
      <c r="S42"/>
      <c r="T42" s="238"/>
      <c r="U42" s="59" t="s">
        <v>155</v>
      </c>
      <c r="V42" s="291">
        <v>43650</v>
      </c>
    </row>
    <row r="43" spans="1:24" s="230" customFormat="1" ht="17.399999999999999" x14ac:dyDescent="0.35">
      <c r="G43"/>
      <c r="K43" s="230">
        <f>K42/1.19</f>
        <v>35966.386554621851</v>
      </c>
      <c r="L43" s="249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157</v>
      </c>
      <c r="V43" s="292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46031</v>
      </c>
    </row>
    <row r="6" spans="2:31" ht="16.2" thickBot="1" x14ac:dyDescent="0.35">
      <c r="B6" s="140" t="s">
        <v>2</v>
      </c>
      <c r="C6" s="139" t="str">
        <f>'2229'!C10</f>
        <v>ISIS LAURENTINO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-9271.7325334541074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139026</v>
      </c>
      <c r="E11" s="132">
        <f>D11*0.19</f>
        <v>26414.94</v>
      </c>
      <c r="F11" s="131">
        <f>E11+D11</f>
        <v>165440.94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96718.267466545891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50542.790787439619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78718.267466545891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88483.209212560381</v>
      </c>
      <c r="E13" s="221">
        <f>(D11/D12)-1</f>
        <v>1.7506593489204265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69718.267466545891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30718.267466545891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83395.604799275359</v>
      </c>
      <c r="F15" s="216">
        <f>E15-D12</f>
        <v>32852.814011835741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30718.267466545891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70718.267466545891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16800</v>
      </c>
      <c r="E19" s="123">
        <f>D19*0.19</f>
        <v>3192</v>
      </c>
      <c r="F19" s="120">
        <f>SUM(D19:E19)</f>
        <v>19992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3908.7000000000007</v>
      </c>
      <c r="E20" s="121">
        <f>D20*0.19</f>
        <v>742.65300000000013</v>
      </c>
      <c r="F20" s="120">
        <f>SUM(D20:E20)</f>
        <v>4651.353000000001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20708.7</v>
      </c>
      <c r="E21" s="116">
        <f>SUM(E18:E20)</f>
        <v>3934.6530000000002</v>
      </c>
      <c r="F21" s="115">
        <f>SUM(F18:F20)</f>
        <v>24643.353000000003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22480.286999999997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139026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20708.7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88483.209212560381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88483.209212560381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ISIS LAURENTINO</v>
      </c>
      <c r="D10" s="350"/>
      <c r="E10" s="350"/>
      <c r="F10" s="351" t="s">
        <v>167</v>
      </c>
      <c r="G10" s="352">
        <f>'2229'!G10</f>
        <v>46031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46038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PR6</v>
      </c>
      <c r="D22" s="321">
        <f>'2229'!D21*1000</f>
        <v>1435</v>
      </c>
      <c r="E22" s="321">
        <f>'2229'!E21*1000</f>
        <v>430</v>
      </c>
      <c r="F22" s="322" t="str">
        <f>'2229'!F21</f>
        <v>MADERA</v>
      </c>
      <c r="G22" s="314">
        <f>'2229'!G21</f>
        <v>69513</v>
      </c>
      <c r="H22" s="323">
        <f>G22*B22</f>
        <v>139026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139026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26414.94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165440.94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ISIS LAURENTINO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46031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46038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11827</v>
      </c>
      <c r="C2" s="1">
        <f>'NOTA DE VENTA'!$G$10</f>
        <v>46031</v>
      </c>
      <c r="D2" s="1">
        <f>'NOTA DE VENTA'!$G$11</f>
        <v>46038</v>
      </c>
      <c r="E2" t="str">
        <f>'NOTA DE VENTA'!$C$10</f>
        <v>ISIS LAURENTINO</v>
      </c>
      <c r="F2" t="str">
        <f>'NOTA DE VENTA'!$C$22</f>
        <v>PR6</v>
      </c>
      <c r="G2" t="str">
        <f>'NOTA DE VENTA'!$F$22</f>
        <v>MADERA</v>
      </c>
      <c r="H2" s="416">
        <f>'NOTA DE VENTA'!$H$25</f>
        <v>139026</v>
      </c>
      <c r="I2" s="416">
        <f>H2*0.19</f>
        <v>26414.94</v>
      </c>
      <c r="J2" s="416">
        <f>I2+H2</f>
        <v>165440.94</v>
      </c>
      <c r="L2" s="61">
        <f>J2-K2</f>
        <v>165440.94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2026-01-12T23:41:05Z</dcterms:modified>
</cp:coreProperties>
</file>