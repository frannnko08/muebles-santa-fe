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4640468F-2909-4F49-A480-54A342B4D6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G22" i="4" l="1"/>
  <c r="H22" i="4" s="1"/>
  <c r="H25" i="4" s="1"/>
  <c r="H25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<sst xmlns="http://schemas.openxmlformats.org/spreadsheetml/2006/main" count="486" uniqueCount="294">
  <si>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</si>
  <si>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</si>
  <si>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</si>
  <si>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</si>
  <si>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</si>
  <si>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</si>
  <si>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</si>
  <si>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</si>
  <si>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</si>
  <si>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</si>
  <si>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</si>
  <si>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</si>
  <si>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</si>
  <si>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</si>
  <si>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</si>
  <si>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</si>
  <si>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</si>
  <si>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</si>
  <si>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</si>
  <si>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</si>
  <si>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</si>
  <si>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</si>
  <si>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</si>
  <si>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</si>
  <si>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</si>
  <si>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</si>
  <si>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</si>
  <si>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</si>
  <si>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</si>
  <si>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</si>
  <si>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</si>
  <si>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</si>
  <si>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</si>
  <si>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</si>
  <si>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</si>
  <si>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</si>
  <si>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</si>
  <si>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</si>
  <si>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</si>
  <si>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</si>
  <si>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</si>
  <si>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</si>
  <si>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</si>
  <si>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</si>
  <si>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</si>
  <si>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</si>
  <si>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</si>
  <si>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</si>
  <si>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</si>
  <si>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</si>
  <si>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</si>
  <si>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</si>
  <si>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</si>
  <si>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</si>
  <si>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</si>
  <si>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</si>
  <si>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</si>
  <si>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</si>
  <si>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</si>
  <si>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</si>
  <si>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</si>
  <si>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</si>
  <si>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</si>
  <si>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</si>
  <si>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</si>
  <si>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</si>
  <si>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</si>
  <si>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</si>
  <si>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</si>
  <si>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</si>
  <si>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</si>
  <si>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</si>
  <si>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</si>
  <si>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</si>
  <si>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</si>
  <si>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</si>
  <si>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</si>
  <si>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</si>
  <si>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</si>
  <si>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</si>
  <si>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</si>
  <si>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</si>
  <si>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</si>
  <si>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</si>
  <si>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</si>
  <si>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</si>
  <si>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</si>
  <si>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</si>
  <si>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</si>
  <si>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</si>
  <si>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</si>
  <si>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</si>
  <si>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</si>
  <si>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</si>
  <si>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</si>
  <si>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</si>
  <si>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</si>
  <si>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</si>
  <si>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</si>
  <si>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</si>
  <si>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</si>
  <si>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</si>
  <si>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</si>
  <si>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</si>
  <si>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</si>
  <si>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</si>
  <si>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</si>
  <si>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</si>
  <si>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</si>
  <si>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</si>
  <si>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</si>
  <si>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</si>
  <si>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</si>
  <si>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</si>
  <si>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</si>
  <si>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</si>
  <si>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</si>
  <si>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</si>
  <si>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</si>
  <si>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</si>
  <si>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</si>
  <si>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</si>
  <si>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</si>
  <si>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</si>
  <si>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</si>
  <si>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</si>
  <si>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</si>
  <si>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</si>
  <si>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</si>
  <si>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</si>
  <si>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</si>
  <si>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</si>
  <si>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</si>
  <si>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</si>
  <si>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</si>
  <si>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</si>
  <si>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</si>
  <si>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</si>
  <si>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</si>
  <si>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</si>
  <si>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</si>
  <si>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</si>
  <si>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</si>
  <si>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</si>
  <si>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</si>
  <si>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</si>
  <si>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</si>
  <si>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</si>
  <si>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</si>
  <si>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</si>
  <si>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</si>
  <si>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</si>
  <si>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</si>
  <si>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</si>
  <si>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</si>
  <si>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</si>
  <si>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</si>
  <si>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</si>
  <si>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</si>
  <si>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</si>
  <si>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</si>
  <si>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</si>
  <si>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</si>
  <si>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</si>
  <si>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</si>
  <si>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</si>
  <si>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</si>
  <si>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</si>
  <si>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</si>
  <si>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</si>
  <si>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</si>
  <si>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</si>
  <si>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</si>
  <si>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</si>
  <si>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</si>
  <si>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</si>
  <si>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</si>
  <si>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</si>
  <si>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</si>
  <si>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</si>
  <si>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</si>
  <si>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</si>
  <si>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</si>
  <si>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</si>
  <si>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</si>
  <si>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</si>
  <si>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</si>
  <si>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</si>
  <si>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</si>
  <si>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</si>
  <si>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</si>
  <si>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</si>
  <si>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</si>
  <si>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</si>
  <si>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</si>
  <si>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</si>
  <si>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</si>
  <si>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</si>
  <si>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</si>
  <si>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</si>
  <si>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</si>
  <si>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</si>
  <si>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</si>
  <si>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</si>
  <si>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</si>
  <si>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</si>
  <si>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</si>
  <si>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</si>
  <si>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</si>
  <si>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</si>
  <si>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</si>
  <si>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</si>
  <si>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</si>
  <si>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</si>
  <si>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</si>
  <si>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</si>
  <si>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</si>
  <si>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</si>
  <si>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</si>
  <si>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</si>
  <si>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</si>
  <si>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</si>
  <si>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</si>
  <si>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</si>
  <si>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</si>
  <si>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</si>
  <si>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</si>
  <si>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</si>
  <si>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</si>
  <si>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</si>
  <si>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</si>
  <si>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</si>
  <si>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</si>
  <si>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</si>
  <si>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</si>
  <si>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</si>
  <si>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</si>
  <si>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</si>
  <si>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</si>
  <si>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</si>
  <si>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</si>
  <si>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</si>
  <si>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</si>
  <si>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</si>
  <si>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</si>
  <si>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</si>
  <si>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</si>
  <si>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</si>
  <si>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</si>
  <si>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</si>
  <si>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</si>
  <si>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</si>
  <si>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</si>
  <si>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</si>
  <si>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</si>
  <si>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</si>
  <si>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</si>
  <si>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</si>
  <si>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</si>
  <si>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</si>
  <si>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</si>
  <si>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</si>
  <si>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</si>
  <si>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</si>
  <si>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</si>
  <si>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</si>
  <si>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</si>
  <si>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</si>
  <si>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</si>
  <si>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</si>
  <si>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</si>
  <si>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</si>
  <si>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</si>
  <si>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</si>
  <si>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</si>
  <si>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</si>
  <si>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</si>
  <si>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</si>
  <si>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</si>
  <si>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</si>
  <si>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</si>
  <si>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</si>
  <si>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</si>
  <si>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</si>
  <si>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</si>
  <si>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</si>
  <si>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</si>
  <si>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</si>
  <si>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7 DIAS HABILES</t>
  </si>
  <si>
    <t>N° 11859</t>
  </si>
  <si>
    <t>MIGUEL ESTAY</t>
  </si>
  <si>
    <t>+569 9219 6008</t>
  </si>
  <si>
    <t>CUB C/R 90° R8</t>
  </si>
  <si>
    <t>GRANITO 3012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</si>
</sst>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COB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3" zoomScale="93" zoomScaleNormal="93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31.332031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290</v>
      </c>
      <c r="D10" s="243"/>
      <c r="E10" s="243"/>
      <c r="F10" s="418" t="s">
        <v>277</v>
      </c>
      <c r="G10" s="275">
        <v>46051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291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>
        <v>0.3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66185.721583652616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0" t="s">
        <v>292</v>
      </c>
      <c r="D21" s="431">
        <v>3.4</v>
      </c>
      <c r="E21" s="431">
        <v>0.6</v>
      </c>
      <c r="F21" s="430" t="s">
        <v>293</v>
      </c>
      <c r="G21" s="432">
        <v>207294</v>
      </c>
      <c r="H21" s="432">
        <f>G21*B21</f>
        <v>207294</v>
      </c>
      <c r="I21" s="306"/>
      <c r="J21" s="264"/>
      <c r="K21" s="47"/>
      <c r="L21" s="47">
        <f>B21</f>
        <v>1</v>
      </c>
      <c r="M21" s="39">
        <f>D21+M$19</f>
        <v>3.48</v>
      </c>
      <c r="N21" s="39">
        <f>E21+$N$19</f>
        <v>0.89999999999999991</v>
      </c>
      <c r="O21" s="260">
        <f t="shared" ref="O21" si="0">M21*N21</f>
        <v>3.1319999999999997</v>
      </c>
      <c r="P21" s="258">
        <f t="shared" ref="P21" si="1">O21*L21</f>
        <v>3.1319999999999997</v>
      </c>
      <c r="Q21" s="251">
        <f t="shared" ref="Q21" si="2">Q$20*O21</f>
        <v>207293.67999999996</v>
      </c>
      <c r="R21" s="305">
        <f t="shared" ref="R21" si="3">Q21+R$20</f>
        <v>210293.67999999996</v>
      </c>
      <c r="S21" s="290">
        <f>M21*L21</f>
        <v>3.48</v>
      </c>
      <c r="T21" s="46">
        <f>N21*2*L21*2</f>
        <v>3.5999999999999996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207294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3.5999999999999996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/>
      <c r="I24" s="308"/>
      <c r="J24" s="264"/>
      <c r="K24" s="47"/>
      <c r="L24" s="47"/>
      <c r="M24" s="39">
        <f>SUM(M21:M23)</f>
        <v>3.48</v>
      </c>
      <c r="N24" s="12"/>
      <c r="O24" s="12"/>
      <c r="P24" s="252">
        <f>SUM(P21:P21)</f>
        <v>3.1319999999999997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207294</v>
      </c>
      <c r="I25" s="308"/>
      <c r="J25" s="264"/>
      <c r="K25" s="47"/>
      <c r="L25" s="47"/>
      <c r="M25" s="39"/>
      <c r="N25" s="12"/>
      <c r="O25" s="12"/>
      <c r="P25" s="252">
        <f>P24</f>
        <v>3.1319999999999997</v>
      </c>
      <c r="Q25" s="14"/>
      <c r="R25" s="12"/>
      <c r="S25" s="239">
        <f>SUM(S21:S24)</f>
        <v>3.48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0.62639999999999996</v>
      </c>
      <c r="Q26" s="39" t="s">
        <v>129</v>
      </c>
      <c r="R26" s="42"/>
      <c r="S26" s="240">
        <f>S25+T23</f>
        <v>7.08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3.7583999999999995</v>
      </c>
      <c r="Q27" s="14"/>
      <c r="R27" s="14"/>
      <c r="S27" s="238">
        <f>S26*20%</f>
        <v>1.4160000000000001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8.4960000000000004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3.7583999999999995</v>
      </c>
      <c r="N29" s="12">
        <v>3500</v>
      </c>
      <c r="O29" s="12">
        <f t="shared" ref="O29:O34" si="4">M29*N29</f>
        <v>13154.399999999998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1.1000000000000001</v>
      </c>
      <c r="N30" s="12">
        <v>23500</v>
      </c>
      <c r="O30" s="12">
        <f t="shared" si="4"/>
        <v>25850.000000000004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50000</v>
      </c>
      <c r="O32" s="12">
        <f t="shared" si="4"/>
        <v>50000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3.48</v>
      </c>
      <c r="N34" s="12">
        <v>1500</v>
      </c>
      <c r="O34" s="12">
        <f t="shared" si="4"/>
        <v>5220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94224.4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207293.68</v>
      </c>
      <c r="P36" s="14" t="s">
        <v>138</v>
      </c>
      <c r="Q36" s="14"/>
      <c r="R36" s="40">
        <f>P27/R35</f>
        <v>1.0133735979292493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73820</v>
      </c>
      <c r="L37" s="249"/>
      <c r="M37" s="14"/>
      <c r="N37" s="12"/>
      <c r="O37" s="12">
        <f>O36/P25</f>
        <v>66185.721583652616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62033.613445378156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46051</v>
      </c>
    </row>
    <row r="6" spans="2:31" ht="16.2" thickBot="1" x14ac:dyDescent="0.35">
      <c r="B6" s="140" t="s">
        <v>2</v>
      </c>
      <c r="C6" s="139" t="str">
        <f>'2229'!C10</f>
        <v>MIGUEL ESTAY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11859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-15618.415033454106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207294</v>
      </c>
      <c r="E11" s="132">
        <f>D11*0.19</f>
        <v>39385.86</v>
      </c>
      <c r="F11" s="131">
        <f>E11+D11</f>
        <v>246679.86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90371.584966545895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68838.490787439616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72371.584966545895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138455.50921256037</v>
      </c>
      <c r="E13" s="221">
        <f>(D11/D12)-1</f>
        <v>2.0113094814946639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63371.584966545895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24371.584966545895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113583.50979927536</v>
      </c>
      <c r="F15" s="216">
        <f>E15-D12</f>
        <v>44745.019011835742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24371.584966545895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64371.584966545895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25850.000000000004</v>
      </c>
      <c r="E19" s="123">
        <f>D19*0.19</f>
        <v>4911.5000000000009</v>
      </c>
      <c r="F19" s="120">
        <f>SUM(D19:E19)</f>
        <v>30761.500000000004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13154.399999999998</v>
      </c>
      <c r="E20" s="121">
        <f>D20*0.19</f>
        <v>2499.3359999999998</v>
      </c>
      <c r="F20" s="120">
        <f>SUM(D20:E20)</f>
        <v>15653.735999999997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39004.400000000001</v>
      </c>
      <c r="E21" s="116">
        <f>SUM(E18:E20)</f>
        <v>7410.8360000000011</v>
      </c>
      <c r="F21" s="115">
        <f>SUM(F18:F20)</f>
        <v>46415.236000000004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31975.023999999998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207294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39004.400000000001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138455.50921256037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138455.50921256037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11859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MIGUEL ESTAY</v>
      </c>
      <c r="D10" s="350"/>
      <c r="E10" s="350"/>
      <c r="F10" s="351" t="s">
        <v>167</v>
      </c>
      <c r="G10" s="352">
        <f>'2229'!G10</f>
        <v>46051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46058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+569 9219 6008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C/R 90° R8</v>
      </c>
      <c r="D22" s="321">
        <f>'2229'!D21*1000</f>
        <v>3400</v>
      </c>
      <c r="E22" s="321">
        <f>'2229'!E21*1000</f>
        <v>600</v>
      </c>
      <c r="F22" s="322" t="str">
        <f>'2229'!F21</f>
        <v>GRANITO 3012 BRILLO</v>
      </c>
      <c r="G22" s="314">
        <f>'2229'!G21</f>
        <v>207294</v>
      </c>
      <c r="H22" s="323">
        <f>G22*B22</f>
        <v>207294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207294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39385.86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246679.86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MIGUEL ESTAY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46051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46058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11859</v>
      </c>
      <c r="C2" s="1">
        <f>'NOTA DE VENTA'!$G$10</f>
        <v>46051</v>
      </c>
      <c r="D2" s="1">
        <f>'NOTA DE VENTA'!$G$11</f>
        <v>46058</v>
      </c>
      <c r="E2" t="str">
        <f>'NOTA DE VENTA'!$C$10</f>
        <v>MIGUEL ESTAY</v>
      </c>
      <c r="F2" t="str">
        <f>'NOTA DE VENTA'!$C$22</f>
        <v>CUB C/R 90° R8</v>
      </c>
      <c r="G2" t="str">
        <f>'NOTA DE VENTA'!$F$22</f>
        <v>GRANITO 3012 BRILLO</v>
      </c>
      <c r="H2" s="416">
        <f>'NOTA DE VENTA'!$H$25</f>
        <v>207294</v>
      </c>
      <c r="I2" s="416">
        <f>H2*0.19</f>
        <v>39385.86</v>
      </c>
      <c r="J2" s="416">
        <f>I2+H2</f>
        <v>246679.86</v>
      </c>
      <c r="L2" s="61">
        <f>J2-K2</f>
        <v>246679.86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2026-01-29T21:33:21Z</dcterms:modified>
</cp:coreProperties>
</file>