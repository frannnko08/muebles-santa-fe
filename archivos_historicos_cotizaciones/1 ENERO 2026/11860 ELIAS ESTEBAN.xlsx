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6FBAAD5B-AF41-4DE5-8B42-2E41EB6BBD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4" i="1" l="1"/>
  <c r="S21" i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F15" i="3"/>
  <c r="R21" i="1" l="1"/>
  <c r="H21" i="1" l="1"/>
  <c r="H23" i="1" s="1"/>
  <c r="G22" i="4" l="1"/>
  <c r="H22" i="4" s="1"/>
  <c r="H25" i="4" s="1"/>
  <c r="H25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<sst xmlns="http://schemas.openxmlformats.org/spreadsheetml/2006/main" count="486" uniqueCount="294">
  <si>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</si>
  <si>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</si>
  <si>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</si>
  <si>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</si>
  <si>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</si>
  <si>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</si>
  <si>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</si>
  <si>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</si>
  <si>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</si>
  <si>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</si>
  <si>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</si>
  <si>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</si>
  <si>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</si>
  <si>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</si>
  <si>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</si>
  <si>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</si>
  <si>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</si>
  <si>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</si>
  <si>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</si>
  <si>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</si>
  <si>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</si>
  <si>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</si>
  <si>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</si>
  <si>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</si>
  <si>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</si>
  <si>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</si>
  <si>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</si>
  <si>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</si>
  <si>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</si>
  <si>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</si>
  <si>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</si>
  <si>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</si>
  <si>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</si>
  <si>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</si>
  <si>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</si>
  <si>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</si>
  <si>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</si>
  <si>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</si>
  <si>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</si>
  <si>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</si>
  <si>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</si>
  <si>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</si>
  <si>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</si>
  <si>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</si>
  <si>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</si>
  <si>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</si>
  <si>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</si>
  <si>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</si>
  <si>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</si>
  <si>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</si>
  <si>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</si>
  <si>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</si>
  <si>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</si>
  <si>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</si>
  <si>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</si>
  <si>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</si>
  <si>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</si>
  <si>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</si>
  <si>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</si>
  <si>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</si>
  <si>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</si>
  <si>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</si>
  <si>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</si>
  <si>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</si>
  <si>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</si>
  <si>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</si>
  <si>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</si>
  <si>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</si>
  <si>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</si>
  <si>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</si>
  <si>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</si>
  <si>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</si>
  <si>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</si>
  <si>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</si>
  <si>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</si>
  <si>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</si>
  <si>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</si>
  <si>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</si>
  <si>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</si>
  <si>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</si>
  <si>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</si>
  <si>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</si>
  <si>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</si>
  <si>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</si>
  <si>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</si>
  <si>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</si>
  <si>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</si>
  <si>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</si>
  <si>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</si>
  <si>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</si>
  <si>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</si>
  <si>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</si>
  <si>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</si>
  <si>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</si>
  <si>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</si>
  <si>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</si>
  <si>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</si>
  <si>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</si>
  <si>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</si>
  <si>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</si>
  <si>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</si>
  <si>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</si>
  <si>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</si>
  <si>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</si>
  <si>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</si>
  <si>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</si>
  <si>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</si>
  <si>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</si>
  <si>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</si>
  <si>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</si>
  <si>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</si>
  <si>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</si>
  <si>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</si>
  <si>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</si>
  <si>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</si>
  <si>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</si>
  <si>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</si>
  <si>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</si>
  <si>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</si>
  <si>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</si>
  <si>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</si>
  <si>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</si>
  <si>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</si>
  <si>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</si>
  <si>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</si>
  <si>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</si>
  <si>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</si>
  <si>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</si>
  <si>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</si>
  <si>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</si>
  <si>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</si>
  <si>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</si>
  <si>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</si>
  <si>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</si>
  <si>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</si>
  <si>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</si>
  <si>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</si>
  <si>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</si>
  <si>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</si>
  <si>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</si>
  <si>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</si>
  <si>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</si>
  <si>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</si>
  <si>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</si>
  <si>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</si>
  <si>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</si>
  <si>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</si>
  <si>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</si>
  <si>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</si>
  <si>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</si>
  <si>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</si>
  <si>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</si>
  <si>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</si>
  <si>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</si>
  <si>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</si>
  <si>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</si>
  <si>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</si>
  <si>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</si>
  <si>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</si>
  <si>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</si>
  <si>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</si>
  <si>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</si>
  <si>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</si>
  <si>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</si>
  <si>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</si>
  <si>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</si>
  <si>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</si>
  <si>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</si>
  <si>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</si>
  <si>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</si>
  <si>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</si>
  <si>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</si>
  <si>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</si>
  <si>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</si>
  <si>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</si>
  <si>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</si>
  <si>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</si>
  <si>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</si>
  <si>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</si>
  <si>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</si>
  <si>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</si>
  <si>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</si>
  <si>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</si>
  <si>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</si>
  <si>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</si>
  <si>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</si>
  <si>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</si>
  <si>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</si>
  <si>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</si>
  <si>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</si>
  <si>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</si>
  <si>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</si>
  <si>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</si>
  <si>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</si>
  <si>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</si>
  <si>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</si>
  <si>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</si>
  <si>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</si>
  <si>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</si>
  <si>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</si>
  <si>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</si>
  <si>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</si>
  <si>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</si>
  <si>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</si>
  <si>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</si>
  <si>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</si>
  <si>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</si>
  <si>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</si>
  <si>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</si>
  <si>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</si>
  <si>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</si>
  <si>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</si>
  <si>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</si>
  <si>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</si>
  <si>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</si>
  <si>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</si>
  <si>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</si>
  <si>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</si>
  <si>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</si>
  <si>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</si>
  <si>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</si>
  <si>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</si>
  <si>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</si>
  <si>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</si>
  <si>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</si>
  <si>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</si>
  <si>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</si>
  <si>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</si>
  <si>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</si>
  <si>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</si>
  <si>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</si>
  <si>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</si>
  <si>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</si>
  <si>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</si>
  <si>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</si>
  <si>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</si>
  <si>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</si>
  <si>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</si>
  <si>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</si>
  <si>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</si>
  <si>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</si>
  <si>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</si>
  <si>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</si>
  <si>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</si>
  <si>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</si>
  <si>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</si>
  <si>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</si>
  <si>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</si>
  <si>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</si>
  <si>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</si>
  <si>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</si>
  <si>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</si>
  <si>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</si>
  <si>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</si>
  <si>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</si>
  <si>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</si>
  <si>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</si>
  <si>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</si>
  <si>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</si>
  <si>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</si>
  <si>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</si>
  <si>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</si>
  <si>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</si>
  <si>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</si>
  <si>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</si>
  <si>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</si>
  <si>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</si>
  <si>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</si>
  <si>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</si>
  <si>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</si>
  <si>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</si>
  <si>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</si>
  <si>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</si>
  <si>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</si>
  <si>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</si>
  <si>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</si>
  <si>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</si>
  <si>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</si>
  <si>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</si>
  <si>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</si>
  <si>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</si>
  <si>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</si>
  <si>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</si>
  <si>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</si>
  <si>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</si>
  <si>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</si>
  <si>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</si>
  <si>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</si>
  <si>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7 DIAS HABILES</t>
  </si>
  <si>
    <t>N° 11859</t>
  </si>
  <si>
    <t>ENCHAPE RECTO 1 CARA MDF30MM</t>
  </si>
  <si>
    <t>COUNTRYSIDE 1533 UP</t>
  </si>
  <si>
    <t>ELIAS ESTEBAN</t>
  </si>
  <si>
    <t>+569 5662 1434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</si>
</sst>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214364</xdr:rowOff>
    </xdr:from>
    <xdr:to>
      <xdr:col>5</xdr:col>
      <xdr:colOff>1728839</xdr:colOff>
      <xdr:row>24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CON ENCHAPE TAPACANTO PVC 2MM LO MAS PARECIDO A LA LAMINA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30MM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4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289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292</v>
      </c>
      <c r="D10" s="243"/>
      <c r="E10" s="243"/>
      <c r="F10" s="418" t="s">
        <v>277</v>
      </c>
      <c r="G10" s="275">
        <v>46052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288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 t="s">
        <v>293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4" t="s">
        <v>95</v>
      </c>
      <c r="C19" s="435"/>
      <c r="D19" s="435"/>
      <c r="E19" s="435"/>
      <c r="F19" s="435"/>
      <c r="G19" s="435"/>
      <c r="H19" s="436"/>
      <c r="I19" s="263"/>
      <c r="J19" s="263"/>
      <c r="K19" s="5"/>
      <c r="L19" s="249"/>
      <c r="M19" s="14">
        <v>0.08</v>
      </c>
      <c r="N19" s="14">
        <v>0.3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94012.727272727265</v>
      </c>
      <c r="R20" s="257">
        <v>15000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10</v>
      </c>
      <c r="C21" s="430" t="s">
        <v>290</v>
      </c>
      <c r="D21" s="431">
        <v>0.8</v>
      </c>
      <c r="E21" s="431">
        <v>0.8</v>
      </c>
      <c r="F21" s="430" t="s">
        <v>291</v>
      </c>
      <c r="G21" s="432">
        <v>106004</v>
      </c>
      <c r="H21" s="432">
        <f>G21*B21</f>
        <v>1060040</v>
      </c>
      <c r="I21" s="306"/>
      <c r="J21" s="264"/>
      <c r="K21" s="47"/>
      <c r="L21" s="47">
        <f>B21</f>
        <v>10</v>
      </c>
      <c r="M21" s="39">
        <f>D21+M$19</f>
        <v>0.88</v>
      </c>
      <c r="N21" s="39">
        <f>E21+$N$19</f>
        <v>1.1000000000000001</v>
      </c>
      <c r="O21" s="260">
        <f t="shared" ref="O21" si="0">M21*N21</f>
        <v>0.96800000000000008</v>
      </c>
      <c r="P21" s="258">
        <f t="shared" ref="P21" si="1">O21*L21</f>
        <v>9.6800000000000015</v>
      </c>
      <c r="Q21" s="251">
        <f t="shared" ref="Q21" si="2">Q$20*O21</f>
        <v>91004.32</v>
      </c>
      <c r="R21" s="305">
        <f t="shared" ref="R21" si="3">Q21+R$20</f>
        <v>106004.32</v>
      </c>
      <c r="S21" s="290">
        <f>M21*L21</f>
        <v>8.8000000000000007</v>
      </c>
      <c r="T21" s="46">
        <f>N21*2*L21*2</f>
        <v>44</v>
      </c>
      <c r="U21" s="9"/>
      <c r="X21" s="4"/>
    </row>
    <row r="22" spans="1:25" ht="18" thickBot="1" x14ac:dyDescent="0.35">
      <c r="B22" s="283"/>
      <c r="C22" s="283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SUM(H21:H22)</f>
        <v>1060040</v>
      </c>
      <c r="I23" s="308"/>
      <c r="J23" s="264"/>
      <c r="K23" s="47">
        <v>2600000</v>
      </c>
      <c r="L23" s="47"/>
      <c r="M23" s="39"/>
      <c r="N23" s="39"/>
      <c r="O23" s="260"/>
      <c r="P23" s="258"/>
      <c r="Q23" s="251"/>
      <c r="R23" s="257"/>
      <c r="S23" s="290"/>
      <c r="T23" s="46">
        <f>SUM(T21:T22)</f>
        <v>44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H23*19%</f>
        <v>201407.6</v>
      </c>
      <c r="I24" s="308"/>
      <c r="J24" s="264"/>
      <c r="K24" s="47"/>
      <c r="L24" s="47"/>
      <c r="M24" s="39">
        <f>SUM(M21:M23)</f>
        <v>0.88</v>
      </c>
      <c r="N24" s="12"/>
      <c r="O24" s="12"/>
      <c r="P24" s="252">
        <f>SUM(P21:P21)</f>
        <v>9.6800000000000015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1261447.6000000001</v>
      </c>
      <c r="I25" s="308"/>
      <c r="J25" s="264"/>
      <c r="K25" s="47"/>
      <c r="L25" s="47"/>
      <c r="M25" s="39"/>
      <c r="N25" s="12"/>
      <c r="O25" s="12"/>
      <c r="P25" s="252">
        <f>P24</f>
        <v>9.6800000000000015</v>
      </c>
      <c r="Q25" s="14"/>
      <c r="R25" s="12"/>
      <c r="S25" s="239">
        <f>SUM(S21:S24)</f>
        <v>8.8000000000000007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1.9360000000000004</v>
      </c>
      <c r="Q26" s="39" t="s">
        <v>129</v>
      </c>
      <c r="R26" s="42"/>
      <c r="S26" s="240">
        <f>S25+T23</f>
        <v>52.8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11.616000000000001</v>
      </c>
      <c r="Q27" s="14"/>
      <c r="R27" s="14"/>
      <c r="S27" s="238">
        <f>S26*20%</f>
        <v>10.56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63.36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11.616000000000001</v>
      </c>
      <c r="N29" s="12">
        <v>3500</v>
      </c>
      <c r="O29" s="12">
        <f t="shared" ref="O29:O34" si="4">M29*N29</f>
        <v>40656.000000000007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3.2</v>
      </c>
      <c r="N30" s="12">
        <v>42000</v>
      </c>
      <c r="O30" s="12">
        <f t="shared" si="4"/>
        <v>134400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58860</v>
      </c>
      <c r="O31" s="12">
        <f t="shared" si="4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4</v>
      </c>
      <c r="N32" s="249">
        <v>59650</v>
      </c>
      <c r="O32" s="12">
        <f t="shared" si="4"/>
        <v>238600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/>
      <c r="N34" s="12">
        <v>1500</v>
      </c>
      <c r="O34" s="12">
        <f t="shared" si="4"/>
        <v>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413656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O35*2.2</f>
        <v>910043.20000000007</v>
      </c>
      <c r="P36" s="14" t="s">
        <v>138</v>
      </c>
      <c r="Q36" s="14"/>
      <c r="R36" s="40">
        <f>P27/R35</f>
        <v>3.1320103537532358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70970</v>
      </c>
      <c r="L37" s="249"/>
      <c r="M37" s="14"/>
      <c r="N37" s="12"/>
      <c r="O37" s="12">
        <f>O36/P25</f>
        <v>94012.727272727265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59638.655462184877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46052</v>
      </c>
    </row>
    <row r="6" spans="2:31" ht="16.2" thickBot="1" x14ac:dyDescent="0.35">
      <c r="B6" s="140" t="s">
        <v>2</v>
      </c>
      <c r="C6" s="139" t="str">
        <f>'2229'!C10</f>
        <v>ELIAS ESTEBAN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8" t="s">
        <v>98</v>
      </c>
      <c r="I7" s="439"/>
      <c r="J7" s="439"/>
      <c r="K7" s="440"/>
      <c r="N7" s="75"/>
      <c r="O7" s="437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11859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7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-120328.55836678745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1060040</v>
      </c>
      <c r="E11" s="132">
        <f>D11*0.19</f>
        <v>201407.6</v>
      </c>
      <c r="F11" s="131">
        <f>E11+D11</f>
        <v>1261447.6000000001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-14338.558366787445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204890.09078743961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-32338.558366787445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855149.90921256039</v>
      </c>
      <c r="E13" s="221">
        <f>(D11/D12)-1</f>
        <v>4.1737006700813257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-41338.558366787445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-80338.558366787445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338068.64979927533</v>
      </c>
      <c r="F15" s="216">
        <f>E15-D12</f>
        <v>133178.55901183572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-80338.558366787445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-40338.558366787445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134400</v>
      </c>
      <c r="E19" s="123">
        <f>D19*0.19</f>
        <v>25536</v>
      </c>
      <c r="F19" s="120">
        <f>SUM(D19:E19)</f>
        <v>159936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40656.000000000007</v>
      </c>
      <c r="E20" s="121">
        <f>D20*0.19</f>
        <v>7724.6400000000012</v>
      </c>
      <c r="F20" s="120">
        <f>SUM(D20:E20)</f>
        <v>48380.640000000007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175056</v>
      </c>
      <c r="E21" s="116">
        <f>SUM(E18:E20)</f>
        <v>33260.639999999999</v>
      </c>
      <c r="F21" s="115">
        <f>SUM(F18:F20)</f>
        <v>208316.64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168146.96000000002</v>
      </c>
    </row>
    <row r="41" spans="2:16" ht="15" thickBot="1" x14ac:dyDescent="0.35">
      <c r="H41" s="441" t="s">
        <v>60</v>
      </c>
      <c r="I41" s="442"/>
      <c r="J41" s="442"/>
      <c r="K41" s="442"/>
      <c r="L41" s="442"/>
      <c r="M41" s="443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1060040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175056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855149.90921256039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855149.90921256039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11859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ELIAS ESTEBAN</v>
      </c>
      <c r="D10" s="350"/>
      <c r="E10" s="350"/>
      <c r="F10" s="351" t="s">
        <v>167</v>
      </c>
      <c r="G10" s="352">
        <f>'2229'!G10</f>
        <v>46052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46059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+569 5662 1434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4" t="s">
        <v>175</v>
      </c>
      <c r="G17" s="444"/>
      <c r="H17" s="445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6" t="s">
        <v>176</v>
      </c>
      <c r="C20" s="447"/>
      <c r="D20" s="447"/>
      <c r="E20" s="447"/>
      <c r="F20" s="447"/>
      <c r="G20" s="447"/>
      <c r="H20" s="448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10</v>
      </c>
      <c r="C22" s="313" t="str">
        <f>'2229'!C21</f>
        <v>ENCHAPE RECTO 1 CARA MDF30MM</v>
      </c>
      <c r="D22" s="321">
        <f>'2229'!D21*1000</f>
        <v>800</v>
      </c>
      <c r="E22" s="321">
        <f>'2229'!E21*1000</f>
        <v>800</v>
      </c>
      <c r="F22" s="322" t="str">
        <f>'2229'!F21</f>
        <v>COUNTRYSIDE 1533 UP</v>
      </c>
      <c r="G22" s="314">
        <f>'2229'!G21</f>
        <v>106004</v>
      </c>
      <c r="H22" s="323">
        <f>G22*B22</f>
        <v>1060040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1060040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201407.6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1261447.6000000001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9" t="s">
        <v>182</v>
      </c>
      <c r="C2" s="449"/>
      <c r="D2" s="449"/>
      <c r="E2" s="361"/>
      <c r="G2" s="449" t="s">
        <v>183</v>
      </c>
      <c r="H2" s="449"/>
      <c r="I2" s="449"/>
      <c r="P2" s="450" t="s">
        <v>184</v>
      </c>
      <c r="Q2" s="450"/>
      <c r="R2" s="450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0" t="s">
        <v>184</v>
      </c>
      <c r="M8" s="450"/>
      <c r="N8" s="450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5" t="s">
        <v>265</v>
      </c>
      <c r="L3" s="455"/>
      <c r="M3" s="455" t="s">
        <v>266</v>
      </c>
      <c r="N3" s="455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ELIAS ESTEBAN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46052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46059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6" t="s">
        <v>265</v>
      </c>
      <c r="B10" s="456"/>
      <c r="C10" s="456"/>
      <c r="D10" s="456"/>
      <c r="E10" s="456"/>
      <c r="F10" s="456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6" t="s">
        <v>266</v>
      </c>
      <c r="B17" s="456"/>
      <c r="C17" s="456"/>
      <c r="D17" s="456"/>
      <c r="E17" s="456"/>
      <c r="F17" s="456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6" t="s">
        <v>272</v>
      </c>
      <c r="B45" s="456"/>
      <c r="C45" s="456"/>
      <c r="D45" s="456"/>
      <c r="E45" s="456"/>
      <c r="F45" s="456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1" t="s">
        <v>95</v>
      </c>
      <c r="C47" s="452"/>
      <c r="D47" s="453"/>
      <c r="E47" s="453"/>
      <c r="F47" s="454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11859</v>
      </c>
      <c r="C2" s="1">
        <f>'NOTA DE VENTA'!$G$10</f>
        <v>46052</v>
      </c>
      <c r="D2" s="1">
        <f>'NOTA DE VENTA'!$G$11</f>
        <v>46059</v>
      </c>
      <c r="E2" t="str">
        <f>'NOTA DE VENTA'!$C$10</f>
        <v>ELIAS ESTEBAN</v>
      </c>
      <c r="F2" t="str">
        <f>'NOTA DE VENTA'!$C$22</f>
        <v>ENCHAPE RECTO 1 CARA MDF30MM</v>
      </c>
      <c r="G2" t="str">
        <f>'NOTA DE VENTA'!$F$22</f>
        <v>COUNTRYSIDE 1533 UP</v>
      </c>
      <c r="H2" s="416">
        <f>'NOTA DE VENTA'!$H$25</f>
        <v>1060040</v>
      </c>
      <c r="I2" s="416">
        <f>H2*0.19</f>
        <v>201407.6</v>
      </c>
      <c r="J2" s="416">
        <f>I2+H2</f>
        <v>1261447.6000000001</v>
      </c>
      <c r="L2" s="61">
        <f>J2-K2</f>
        <v>1261447.6000000001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2026-01-30T17:51:51Z</dcterms:modified>
</cp:coreProperties>
</file>