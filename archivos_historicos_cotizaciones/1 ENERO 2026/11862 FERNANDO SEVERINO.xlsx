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53E6DB6D-8506-4EE0-A53B-C0836536D965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2" i="1" l="1"/>
  <c r="M22" i="1"/>
  <c r="S22" i="1" s="1"/>
  <c r="N22" i="1"/>
  <c r="O22" i="1" s="1"/>
  <c r="P22" i="1" s="1"/>
  <c r="L21" i="1"/>
  <c r="N5" i="6"/>
  <c r="A2" i="7"/>
  <c r="M26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O40" i="1"/>
  <c r="E15" i="3"/>
  <c r="R22" i="1" l="1"/>
  <c r="G22" i="1"/>
  <c r="H22" i="1" s="1"/>
  <c r="Q21" i="1"/>
  <c r="G21" i="1" s="1"/>
  <c r="F15" i="3"/>
  <c r="R21" i="1" l="1"/>
  <c r="H21" i="1" l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<sst xmlns="http://schemas.openxmlformats.org/spreadsheetml/2006/main" count="489" uniqueCount="295">
  <si>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</si>
  <si>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</si>
  <si>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</si>
  <si>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</si>
  <si>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</si>
  <si>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</si>
  <si>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</si>
  <si>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</si>
  <si>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</si>
  <si>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</si>
  <si>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</si>
  <si>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</si>
  <si>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</si>
  <si>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</si>
  <si>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</si>
  <si>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</si>
  <si>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</si>
  <si>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</si>
  <si>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</si>
  <si>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</si>
  <si>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</si>
  <si>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</si>
  <si>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</si>
  <si>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</si>
  <si>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</si>
  <si>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</si>
  <si>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</si>
  <si>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</si>
  <si>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</si>
  <si>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</si>
  <si>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</si>
  <si>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</si>
  <si>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</si>
  <si>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</si>
  <si>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</si>
  <si>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</si>
  <si>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</si>
  <si>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</si>
  <si>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</si>
  <si>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</si>
  <si>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</si>
  <si>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</si>
  <si>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</si>
  <si>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</si>
  <si>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</si>
  <si>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</si>
  <si>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</si>
  <si>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</si>
  <si>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</si>
  <si>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</si>
  <si>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</si>
  <si>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</si>
  <si>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</si>
  <si>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</si>
  <si>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</si>
  <si>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</si>
  <si>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</si>
  <si>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</si>
  <si>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</si>
  <si>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</si>
  <si>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</si>
  <si>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</si>
  <si>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</si>
  <si>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</si>
  <si>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</si>
  <si>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</si>
  <si>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</si>
  <si>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</si>
  <si>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</si>
  <si>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</si>
  <si>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</si>
  <si>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</si>
  <si>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</si>
  <si>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</si>
  <si>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</si>
  <si>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</si>
  <si>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</si>
  <si>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</si>
  <si>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</si>
  <si>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</si>
  <si>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</si>
  <si>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</si>
  <si>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</si>
  <si>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</si>
  <si>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</si>
  <si>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</si>
  <si>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</si>
  <si>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</si>
  <si>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</si>
  <si>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</si>
  <si>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</si>
  <si>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</si>
  <si>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</si>
  <si>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</si>
  <si>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</si>
  <si>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</si>
  <si>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</si>
  <si>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</si>
  <si>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</si>
  <si>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</si>
  <si>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</si>
  <si>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</si>
  <si>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</si>
  <si>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</si>
  <si>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</si>
  <si>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</si>
  <si>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</si>
  <si>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</si>
  <si>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</si>
  <si>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</si>
  <si>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</si>
  <si>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</si>
  <si>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</si>
  <si>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</si>
  <si>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</si>
  <si>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</si>
  <si>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</si>
  <si>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</si>
  <si>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</si>
  <si>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</si>
  <si>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</si>
  <si>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</si>
  <si>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</si>
  <si>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</si>
  <si>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</si>
  <si>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</si>
  <si>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</si>
  <si>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</si>
  <si>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</si>
  <si>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</si>
  <si>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</si>
  <si>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</si>
  <si>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</si>
  <si>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</si>
  <si>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</si>
  <si>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</si>
  <si>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</si>
  <si>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</si>
  <si>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</si>
  <si>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</si>
  <si>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</si>
  <si>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</si>
  <si>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</si>
  <si>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</si>
  <si>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</si>
  <si>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</si>
  <si>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</si>
  <si>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</si>
  <si>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</si>
  <si>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</si>
  <si>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</si>
  <si>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</si>
  <si>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</si>
  <si>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</si>
  <si>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</si>
  <si>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</si>
  <si>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</si>
  <si>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</si>
  <si>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</si>
  <si>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</si>
  <si>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</si>
  <si>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</si>
  <si>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</si>
  <si>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</si>
  <si>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</si>
  <si>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</si>
  <si>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</si>
  <si>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</si>
  <si>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</si>
  <si>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</si>
  <si>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</si>
  <si>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</si>
  <si>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</si>
  <si>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</si>
  <si>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</si>
  <si>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</si>
  <si>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</si>
  <si>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</si>
  <si>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</si>
  <si>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</si>
  <si>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</si>
  <si>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</si>
  <si>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</si>
  <si>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</si>
  <si>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</si>
  <si>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</si>
  <si>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</si>
  <si>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</si>
  <si>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</si>
  <si>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</si>
  <si>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</si>
  <si>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</si>
  <si>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</si>
  <si>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</si>
  <si>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</si>
  <si>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</si>
  <si>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</si>
  <si>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</si>
  <si>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</si>
  <si>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</si>
  <si>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</si>
  <si>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</si>
  <si>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</si>
  <si>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</si>
  <si>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</si>
  <si>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</si>
  <si>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</si>
  <si>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</si>
  <si>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</si>
  <si>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</si>
  <si>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</si>
  <si>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</si>
  <si>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</si>
  <si>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</si>
  <si>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</si>
  <si>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</si>
  <si>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</si>
  <si>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</si>
  <si>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</si>
  <si>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</si>
  <si>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</si>
  <si>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</si>
  <si>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</si>
  <si>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</si>
  <si>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</si>
  <si>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</si>
  <si>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</si>
  <si>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</si>
  <si>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</si>
  <si>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</si>
  <si>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</si>
  <si>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</si>
  <si>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</si>
  <si>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</si>
  <si>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</si>
  <si>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</si>
  <si>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</si>
  <si>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</si>
  <si>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</si>
  <si>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</si>
  <si>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</si>
  <si>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</si>
  <si>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</si>
  <si>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</si>
  <si>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</si>
  <si>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</si>
  <si>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</si>
  <si>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</si>
  <si>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</si>
  <si>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</si>
  <si>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</si>
  <si>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</si>
  <si>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</si>
  <si>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</si>
  <si>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</si>
  <si>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</si>
  <si>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</si>
  <si>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</si>
  <si>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</si>
  <si>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</si>
  <si>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</si>
  <si>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</si>
  <si>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</si>
  <si>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</si>
  <si>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</si>
  <si>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</si>
  <si>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</si>
  <si>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</si>
  <si>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</si>
  <si>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</si>
  <si>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</si>
  <si>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</si>
  <si>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</si>
  <si>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</si>
  <si>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</si>
  <si>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</si>
  <si>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</si>
  <si>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</si>
  <si>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</si>
  <si>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</si>
  <si>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</si>
  <si>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</si>
  <si>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</si>
  <si>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</si>
  <si>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</si>
  <si>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</si>
  <si>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</si>
  <si>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</si>
  <si>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C/R 90° R8</t>
  </si>
  <si>
    <t>5 DIAS HABILES</t>
  </si>
  <si>
    <t>N° 11861</t>
  </si>
  <si>
    <t>FERNANDO SEVERINO</t>
  </si>
  <si>
    <t>+569 9349 6610</t>
  </si>
  <si>
    <t>SERVICIO INSTALACION</t>
  </si>
  <si>
    <t>KINGFISHER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</si>
</sst>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SERVICIO</a:t>
          </a:r>
          <a:r>
            <a:rPr lang="es-CL" sz="1200" b="1" baseline="0"/>
            <a:t> INSTALACION INCLUYE DESPACHO, CORTES E INSTALACION</a:t>
          </a:r>
        </a:p>
        <a:p>
          <a:pPr algn="l"/>
          <a:r>
            <a:rPr lang="es-CL" sz="1200" b="1" baseline="0"/>
            <a:t>NO INCLUYE SERVICIOS DE GASFITERIA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C19" zoomScale="93" zoomScaleNormal="93" workbookViewId="0">
      <selection activeCell="I35" sqref="I35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291</v>
      </c>
      <c r="D10" s="243"/>
      <c r="E10" s="243"/>
      <c r="F10" s="418" t="s">
        <v>277</v>
      </c>
      <c r="G10" s="275">
        <v>46056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289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55510.984887962484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288</v>
      </c>
      <c r="D21" s="431">
        <v>2.145</v>
      </c>
      <c r="E21" s="431">
        <v>0.65</v>
      </c>
      <c r="F21" s="430" t="s">
        <v>294</v>
      </c>
      <c r="G21" s="432">
        <f>Q21</f>
        <v>117336.3443069307</v>
      </c>
      <c r="H21" s="432">
        <f>G21*B21</f>
        <v>117336.3443069307</v>
      </c>
      <c r="I21" s="306"/>
      <c r="J21" s="264"/>
      <c r="K21" s="47"/>
      <c r="L21" s="47">
        <f>B21</f>
        <v>1</v>
      </c>
      <c r="M21" s="39">
        <f>D21+M$19</f>
        <v>2.2250000000000001</v>
      </c>
      <c r="N21" s="39">
        <f>E21+$N$19</f>
        <v>0.95</v>
      </c>
      <c r="O21" s="260">
        <f t="shared" ref="O21" si="0">M21*N21</f>
        <v>2.11375</v>
      </c>
      <c r="P21" s="258">
        <f t="shared" ref="P21" si="1">O21*L21</f>
        <v>2.11375</v>
      </c>
      <c r="Q21" s="251">
        <f t="shared" ref="Q21" si="2">Q$20*O21</f>
        <v>117336.3443069307</v>
      </c>
      <c r="R21" s="305">
        <f t="shared" ref="R21" si="3">Q21+R$20</f>
        <v>120336.3443069307</v>
      </c>
      <c r="S21" s="290">
        <f>M21*L21</f>
        <v>2.2250000000000001</v>
      </c>
      <c r="T21" s="46">
        <f>N21*2*L21*2</f>
        <v>3.8</v>
      </c>
      <c r="U21" s="9"/>
      <c r="X21" s="4"/>
    </row>
    <row r="22" spans="1:25" ht="17.399999999999999" x14ac:dyDescent="0.3">
      <c r="B22" s="430">
        <v>1</v>
      </c>
      <c r="C22" s="430" t="s">
        <v>288</v>
      </c>
      <c r="D22" s="431">
        <v>2.2400000000000002</v>
      </c>
      <c r="E22" s="431">
        <v>0.65</v>
      </c>
      <c r="F22" s="430" t="s">
        <v>294</v>
      </c>
      <c r="G22" s="432">
        <f>Q22</f>
        <v>122346.21069306933</v>
      </c>
      <c r="H22" s="432">
        <f t="shared" ref="H22" si="4">G22*B22</f>
        <v>122346.21069306933</v>
      </c>
      <c r="I22" s="306"/>
      <c r="J22" s="264"/>
      <c r="K22" s="47"/>
      <c r="L22" s="47">
        <f t="shared" ref="L22" si="5">B22</f>
        <v>1</v>
      </c>
      <c r="M22" s="39">
        <f t="shared" ref="M22" si="6">D22+M$19</f>
        <v>2.3200000000000003</v>
      </c>
      <c r="N22" s="39">
        <f t="shared" ref="N22" si="7">E22+$N$19</f>
        <v>0.95</v>
      </c>
      <c r="O22" s="260">
        <f t="shared" ref="O22" si="8">M22*N22</f>
        <v>2.2040000000000002</v>
      </c>
      <c r="P22" s="258">
        <f t="shared" ref="P22" si="9">O22*L22</f>
        <v>2.2040000000000002</v>
      </c>
      <c r="Q22" s="251">
        <f t="shared" ref="Q22" si="10">Q$20*O22</f>
        <v>122346.21069306933</v>
      </c>
      <c r="R22" s="305">
        <f t="shared" ref="R22" si="11">Q22+R$20</f>
        <v>125346.21069306933</v>
      </c>
      <c r="S22" s="290">
        <f t="shared" ref="S22" si="12">M22*L22</f>
        <v>2.3200000000000003</v>
      </c>
      <c r="T22" s="46"/>
      <c r="U22" s="9"/>
      <c r="X22" s="4"/>
    </row>
    <row r="23" spans="1:25" ht="17.399999999999999" x14ac:dyDescent="0.3">
      <c r="B23" s="430">
        <v>1</v>
      </c>
      <c r="C23" s="430" t="s">
        <v>293</v>
      </c>
      <c r="D23" s="431"/>
      <c r="E23" s="431"/>
      <c r="F23" s="430"/>
      <c r="G23" s="432">
        <v>150000</v>
      </c>
      <c r="H23" s="432">
        <f>G23</f>
        <v>150000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SUM(H21:H24)</f>
        <v>389682.55500000005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3.8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74039.685450000004</v>
      </c>
      <c r="I26" s="308"/>
      <c r="J26" s="264"/>
      <c r="K26" s="47"/>
      <c r="L26" s="47"/>
      <c r="M26" s="39">
        <f>SUM(M22:M25)</f>
        <v>2.3200000000000003</v>
      </c>
      <c r="N26" s="12"/>
      <c r="O26" s="12"/>
      <c r="P26" s="252">
        <f>SUM(P21:P22)</f>
        <v>4.3177500000000002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463722.24045000004</v>
      </c>
      <c r="I27" s="308"/>
      <c r="J27" s="264"/>
      <c r="K27" s="47"/>
      <c r="L27" s="47"/>
      <c r="M27" s="39"/>
      <c r="N27" s="12"/>
      <c r="O27" s="12"/>
      <c r="P27" s="252">
        <f>P26</f>
        <v>4.3177500000000002</v>
      </c>
      <c r="Q27" s="14"/>
      <c r="R27" s="12"/>
      <c r="S27" s="239">
        <f>SUM(S21:S26)</f>
        <v>4.5449999999999999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0.86355000000000004</v>
      </c>
      <c r="Q28" s="39" t="s">
        <v>129</v>
      </c>
      <c r="R28" s="42"/>
      <c r="S28" s="240">
        <f>S27+T25</f>
        <v>8.3449999999999989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5.1813000000000002</v>
      </c>
      <c r="Q29" s="14"/>
      <c r="R29" s="14"/>
      <c r="S29" s="238">
        <f>S28*20%</f>
        <v>1.6689999999999998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10.013999999999999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5.1813000000000002</v>
      </c>
      <c r="N31" s="12">
        <v>3500</v>
      </c>
      <c r="O31" s="12">
        <f t="shared" ref="O31:O36" si="13">M31*N31</f>
        <v>18134.55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1.5</v>
      </c>
      <c r="N32" s="12">
        <v>23500</v>
      </c>
      <c r="O32" s="12">
        <f t="shared" si="13"/>
        <v>35250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13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2</v>
      </c>
      <c r="N34" s="249">
        <v>27000</v>
      </c>
      <c r="O34" s="12">
        <f t="shared" si="13"/>
        <v>54000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4.5</v>
      </c>
      <c r="N36" s="12">
        <v>1500</v>
      </c>
      <c r="O36" s="12">
        <f t="shared" si="13"/>
        <v>6750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114134.55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O37*2.1</f>
        <v>239682.55500000002</v>
      </c>
      <c r="P38" s="14" t="s">
        <v>138</v>
      </c>
      <c r="Q38" s="14"/>
      <c r="R38" s="40">
        <f>P29/R37</f>
        <v>1.3970286885245902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70970</v>
      </c>
      <c r="L39" s="249"/>
      <c r="M39" s="14"/>
      <c r="N39" s="12"/>
      <c r="O39" s="12">
        <f>O38/P27</f>
        <v>55510.984887962484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59638.655462184877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46056</v>
      </c>
    </row>
    <row r="6" spans="2:31" ht="16.2" thickBot="1" x14ac:dyDescent="0.35">
      <c r="B6" s="140" t="s">
        <v>2</v>
      </c>
      <c r="C6" s="139" t="str">
        <f>'2229'!C10</f>
        <v>FERNANDO SEVERINO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-42061.966283454116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389682.55500000005</v>
      </c>
      <c r="E11" s="132">
        <f>D11*0.19</f>
        <v>74039.685450000004</v>
      </c>
      <c r="F11" s="131">
        <f>E11+D11</f>
        <v>463722.24045000004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63928.033716545884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83218.640787439625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45928.033716545884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306463.9142125604</v>
      </c>
      <c r="E13" s="221">
        <f>(D11/D12)-1</f>
        <v>3.6826354205344787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36928.033716545884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-2071.9662834541159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137310.75729927537</v>
      </c>
      <c r="F15" s="216">
        <f>E15-D12</f>
        <v>54092.116511835746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-2071.9662834541159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37928.033716545884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18134.55</v>
      </c>
      <c r="E20" s="121">
        <f>D20*0.19</f>
        <v>3445.5645</v>
      </c>
      <c r="F20" s="120">
        <f>SUM(D20:E20)</f>
        <v>21580.1145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53384.55</v>
      </c>
      <c r="E21" s="116">
        <f>SUM(E18:E20)</f>
        <v>10143.0645</v>
      </c>
      <c r="F21" s="115">
        <f>SUM(F18:F20)</f>
        <v>63527.614499999996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63896.620950000004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389682.55500000005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53384.55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306463.9142125604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306463.9142125604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11861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FERNANDO SEVERINO</v>
      </c>
      <c r="D10" s="350"/>
      <c r="E10" s="350"/>
      <c r="F10" s="351" t="s">
        <v>167</v>
      </c>
      <c r="G10" s="352">
        <f>'2229'!G10</f>
        <v>46056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+569 9349 6610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90° R8</v>
      </c>
      <c r="D22" s="321">
        <f>'2229'!D21*1000</f>
        <v>2145</v>
      </c>
      <c r="E22" s="321">
        <f>'2229'!E21*1000</f>
        <v>650</v>
      </c>
      <c r="F22" s="322" t="str">
        <f>'2229'!F21</f>
        <v>KINGFISHER BLUE</v>
      </c>
      <c r="G22" s="314">
        <f>'2229'!G21</f>
        <v>117336.3443069307</v>
      </c>
      <c r="H22" s="323">
        <f>G22*B22</f>
        <v>117336.3443069307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117336.3443069307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22293.905418316834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139630.24972524753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FERNANDO SEVERINO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11861</v>
      </c>
      <c r="C2" s="1">
        <f>'NOTA DE VENTA'!$G$10</f>
        <v>46056</v>
      </c>
      <c r="D2" s="1">
        <f>'NOTA DE VENTA'!$G$11</f>
        <v>46063</v>
      </c>
      <c r="E2" t="str">
        <f>'NOTA DE VENTA'!$C$10</f>
        <v>FERNANDO SEVERINO</v>
      </c>
      <c r="F2" t="str">
        <f>'NOTA DE VENTA'!$C$22</f>
        <v>CUB C/R 90° R8</v>
      </c>
      <c r="G2" t="str">
        <f>'NOTA DE VENTA'!$F$22</f>
        <v>KINGFISHER BLUE</v>
      </c>
      <c r="H2" s="416">
        <f>'NOTA DE VENTA'!$H$25</f>
        <v>117336.3443069307</v>
      </c>
      <c r="I2" s="416">
        <f>H2*0.19</f>
        <v>22293.905418316834</v>
      </c>
      <c r="J2" s="416">
        <f>I2+H2</f>
        <v>139630.24972524753</v>
      </c>
      <c r="L2" s="61">
        <f>J2-K2</f>
        <v>139630.24972524753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2026-02-03T13:43:13Z</cp:lastPrinted>
  <dcterms:created xsi:type="dcterms:W3CDTF">2013-03-18T13:35:42Z</dcterms:created>
  <dcterms:modified xsi:type="dcterms:W3CDTF">2026-02-03T14:35:15Z</dcterms:modified>
</cp:coreProperties>
</file>