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9C607128-EB94-4D74-9AC4-1225A79AA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G28" i="1"/>
  <c r="G29" i="1"/>
  <c r="G30" i="1"/>
  <c r="G31" i="1"/>
  <c r="G32" i="1"/>
  <c r="G33" i="1"/>
  <c r="G21" i="1"/>
  <c r="P38" i="1"/>
  <c r="B35" i="1" l="1"/>
  <c r="L23" i="1"/>
  <c r="M23" i="1"/>
  <c r="S23" i="1" s="1"/>
  <c r="N23" i="1"/>
  <c r="T23" i="1" s="1"/>
  <c r="L24" i="1"/>
  <c r="M24" i="1"/>
  <c r="N24" i="1"/>
  <c r="L25" i="1"/>
  <c r="M25" i="1"/>
  <c r="N25" i="1"/>
  <c r="L26" i="1"/>
  <c r="M26" i="1"/>
  <c r="S26" i="1" s="1"/>
  <c r="N26" i="1"/>
  <c r="L27" i="1"/>
  <c r="M27" i="1"/>
  <c r="S27" i="1" s="1"/>
  <c r="N27" i="1"/>
  <c r="T27" i="1" s="1"/>
  <c r="L28" i="1"/>
  <c r="M28" i="1"/>
  <c r="N28" i="1"/>
  <c r="L29" i="1"/>
  <c r="M29" i="1"/>
  <c r="S29" i="1" s="1"/>
  <c r="N29" i="1"/>
  <c r="L30" i="1"/>
  <c r="M30" i="1"/>
  <c r="S30" i="1" s="1"/>
  <c r="N30" i="1"/>
  <c r="L31" i="1"/>
  <c r="M31" i="1"/>
  <c r="S31" i="1" s="1"/>
  <c r="N31" i="1"/>
  <c r="T31" i="1" s="1"/>
  <c r="L32" i="1"/>
  <c r="M32" i="1"/>
  <c r="N32" i="1"/>
  <c r="L33" i="1"/>
  <c r="M33" i="1"/>
  <c r="S33" i="1" s="1"/>
  <c r="N33" i="1"/>
  <c r="S32" i="1" l="1"/>
  <c r="S24" i="1"/>
  <c r="S25" i="1"/>
  <c r="T32" i="1"/>
  <c r="T30" i="1"/>
  <c r="T28" i="1"/>
  <c r="T26" i="1"/>
  <c r="T24" i="1"/>
  <c r="T33" i="1"/>
  <c r="T29" i="1"/>
  <c r="S28" i="1"/>
  <c r="T25" i="1"/>
  <c r="O31" i="1"/>
  <c r="P31" i="1" s="1"/>
  <c r="O27" i="1"/>
  <c r="P27" i="1" s="1"/>
  <c r="O23" i="1"/>
  <c r="P23" i="1" s="1"/>
  <c r="O32" i="1"/>
  <c r="P32" i="1" s="1"/>
  <c r="O28" i="1"/>
  <c r="P28" i="1" s="1"/>
  <c r="O24" i="1"/>
  <c r="P24" i="1" s="1"/>
  <c r="O33" i="1"/>
  <c r="P33" i="1" s="1"/>
  <c r="O29" i="1"/>
  <c r="P29" i="1" s="1"/>
  <c r="O25" i="1"/>
  <c r="P25" i="1" s="1"/>
  <c r="O30" i="1"/>
  <c r="P30" i="1" s="1"/>
  <c r="O26" i="1"/>
  <c r="P26" i="1" s="1"/>
  <c r="L22" i="1"/>
  <c r="M22" i="1"/>
  <c r="N22" i="1"/>
  <c r="L21" i="1"/>
  <c r="N5" i="6"/>
  <c r="A2" i="7"/>
  <c r="T22" i="1" l="1"/>
  <c r="S22" i="1"/>
  <c r="O22" i="1"/>
  <c r="P22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J14" i="6" s="1"/>
  <c r="C27" i="6"/>
  <c r="F21" i="6" s="1"/>
  <c r="B27" i="6"/>
  <c r="I21" i="6" s="1"/>
  <c r="K21" i="6"/>
  <c r="J21" i="6"/>
  <c r="K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l="1"/>
  <c r="S39" i="1" s="1"/>
  <c r="M38" i="1"/>
  <c r="T37" i="1"/>
  <c r="O21" i="1"/>
  <c r="P21" i="1" s="1"/>
  <c r="K52" i="1"/>
  <c r="K53" i="1" s="1"/>
  <c r="K54" i="1" s="1"/>
  <c r="S40" i="1" l="1"/>
  <c r="S41" i="1" s="1"/>
  <c r="S42" i="1" s="1"/>
  <c r="V45" i="1"/>
  <c r="V46" i="1" s="1"/>
  <c r="P39" i="1" l="1"/>
  <c r="N20" i="1"/>
  <c r="L20" i="1"/>
  <c r="P40" i="1" l="1"/>
  <c r="P41" i="1" s="1"/>
  <c r="M43" i="1" s="1"/>
  <c r="O45" i="1"/>
  <c r="R49" i="1"/>
  <c r="R50" i="1" l="1"/>
  <c r="O44" i="1" s="1"/>
  <c r="O4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8" i="1"/>
  <c r="O47" i="1"/>
  <c r="F18" i="3" l="1"/>
  <c r="O43" i="1" l="1"/>
  <c r="O49" i="1" s="1"/>
  <c r="O50" i="1" s="1"/>
  <c r="D20" i="3" l="1"/>
  <c r="E20" i="3" s="1"/>
  <c r="E21" i="3" s="1"/>
  <c r="O51" i="1" l="1"/>
  <c r="Q20" i="1" s="1"/>
  <c r="D21" i="3"/>
  <c r="M43" i="3" s="1"/>
  <c r="D12" i="3" s="1"/>
  <c r="F20" i="3"/>
  <c r="F21" i="3" s="1"/>
  <c r="Q22" i="1" l="1"/>
  <c r="Q30" i="1"/>
  <c r="Q26" i="1"/>
  <c r="Q32" i="1"/>
  <c r="Q24" i="1"/>
  <c r="Q27" i="1"/>
  <c r="Q33" i="1"/>
  <c r="Q29" i="1"/>
  <c r="Q25" i="1"/>
  <c r="Q28" i="1"/>
  <c r="Q31" i="1"/>
  <c r="Q23" i="1"/>
  <c r="O52" i="1"/>
  <c r="E15" i="3"/>
  <c r="R28" i="1" l="1"/>
  <c r="R33" i="1"/>
  <c r="R26" i="1"/>
  <c r="R30" i="1"/>
  <c r="R31" i="1"/>
  <c r="R25" i="1"/>
  <c r="R32" i="1"/>
  <c r="R22" i="1"/>
  <c r="R23" i="1"/>
  <c r="R24" i="1"/>
  <c r="R29" i="1"/>
  <c r="R27" i="1"/>
  <c r="Q21" i="1"/>
  <c r="F15" i="3"/>
  <c r="H27" i="1" l="1"/>
  <c r="H23" i="1"/>
  <c r="H32" i="1"/>
  <c r="H25" i="1"/>
  <c r="H30" i="1"/>
  <c r="H24" i="1"/>
  <c r="H31" i="1"/>
  <c r="H33" i="1"/>
  <c r="H29" i="1"/>
  <c r="H22" i="1"/>
  <c r="H26" i="1"/>
  <c r="H28" i="1"/>
  <c r="R21" i="1"/>
  <c r="H21" i="1" l="1"/>
  <c r="H37" i="1" s="1"/>
  <c r="H38" i="1" s="1"/>
  <c r="G22" i="4" l="1"/>
  <c r="H22" i="4" s="1"/>
  <c r="H25" i="4" s="1"/>
  <c r="H39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<sst xmlns="http://schemas.openxmlformats.org/spreadsheetml/2006/main" count="496" uniqueCount="287">
  <si>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</si>
  <si>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</si>
  <si>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</si>
  <si>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</si>
  <si>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</si>
  <si>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</si>
  <si>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</si>
  <si>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</si>
  <si>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</si>
  <si>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</si>
  <si>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</si>
  <si>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</si>
  <si>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</si>
  <si>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</si>
  <si>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</si>
  <si>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</si>
  <si>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</si>
  <si>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</si>
  <si>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</si>
  <si>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</si>
  <si>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</si>
  <si>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</si>
  <si>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</si>
  <si>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</si>
  <si>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</si>
  <si>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</si>
  <si>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</si>
  <si>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</si>
  <si>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</si>
  <si>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</si>
  <si>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</si>
  <si>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</si>
  <si>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</si>
  <si>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</si>
  <si>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</si>
  <si>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</si>
  <si>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</si>
  <si>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</si>
  <si>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</si>
  <si>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</si>
  <si>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</si>
  <si>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</si>
  <si>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</si>
  <si>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</si>
  <si>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</si>
  <si>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</si>
  <si>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</si>
  <si>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</si>
  <si>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</si>
  <si>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</si>
  <si>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</si>
  <si>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</si>
  <si>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</si>
  <si>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</si>
  <si>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</si>
  <si>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</si>
  <si>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</si>
  <si>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</si>
  <si>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</si>
  <si>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</si>
  <si>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</si>
  <si>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</si>
  <si>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</si>
  <si>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</si>
  <si>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</si>
  <si>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</si>
  <si>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</si>
  <si>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</si>
  <si>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</si>
  <si>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</si>
  <si>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</si>
  <si>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</si>
  <si>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</si>
  <si>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</si>
  <si>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</si>
  <si>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</si>
  <si>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</si>
  <si>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</si>
  <si>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</si>
  <si>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</si>
  <si>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</si>
  <si>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</si>
  <si>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</si>
  <si>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</si>
  <si>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</si>
  <si>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</si>
  <si>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</si>
  <si>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</si>
  <si>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</si>
  <si>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</si>
  <si>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</si>
  <si>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</si>
  <si>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</si>
  <si>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</si>
  <si>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</si>
  <si>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</si>
  <si>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</si>
  <si>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</si>
  <si>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</si>
  <si>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</si>
  <si>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</si>
  <si>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</si>
  <si>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</si>
  <si>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</si>
  <si>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</si>
  <si>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</si>
  <si>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</si>
  <si>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</si>
  <si>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</si>
  <si>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</si>
  <si>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</si>
  <si>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</si>
  <si>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</si>
  <si>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</si>
  <si>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</si>
  <si>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</si>
  <si>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</si>
  <si>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</si>
  <si>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</si>
  <si>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</si>
  <si>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</si>
  <si>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</si>
  <si>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</si>
  <si>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VISITANOS Y DESCUBRE NUESTROS PRODUCTOS EN </t>
  </si>
  <si>
    <t>P R E S U P U E S T O</t>
  </si>
  <si>
    <t>20% PERDIDA</t>
  </si>
  <si>
    <t>ALTO</t>
  </si>
  <si>
    <t>MT</t>
  </si>
  <si>
    <t>ENCHAPE</t>
  </si>
  <si>
    <t>NO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</si>
  <si>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</si>
  <si>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</si>
  <si>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</si>
  <si>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</si>
  <si>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</si>
  <si>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</si>
  <si>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</si>
  <si>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</si>
  <si>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</si>
  <si>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</si>
  <si>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</si>
  <si>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</si>
  <si>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</si>
  <si>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</si>
  <si>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</si>
  <si>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</si>
  <si>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</si>
  <si>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</si>
  <si>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</si>
  <si>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</si>
  <si>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</si>
  <si>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</si>
  <si>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</si>
  <si>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</si>
  <si>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</si>
  <si>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</si>
  <si>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</si>
  <si>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</si>
  <si>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</si>
  <si>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</si>
  <si>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</si>
  <si>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</si>
  <si>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</si>
  <si>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</si>
  <si>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</si>
  <si>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</si>
  <si>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</si>
  <si>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</si>
  <si>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</si>
  <si>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</si>
  <si>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</si>
  <si>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</si>
  <si>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</si>
  <si>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</si>
  <si>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</si>
  <si>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</si>
  <si>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</si>
  <si>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</si>
  <si>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</si>
  <si>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</si>
  <si>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</si>
  <si>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</si>
  <si>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</si>
  <si>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</si>
  <si>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</si>
  <si>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</si>
  <si>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</si>
  <si>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</si>
  <si>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</si>
  <si>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</si>
  <si>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</si>
  <si>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</si>
  <si>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</si>
  <si>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</si>
  <si>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</si>
  <si>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</si>
  <si>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</si>
  <si>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</si>
  <si>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</si>
  <si>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</si>
  <si>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</si>
  <si>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</si>
  <si>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</si>
  <si>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</si>
  <si>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</si>
  <si>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</si>
  <si>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</si>
  <si>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</si>
  <si>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</si>
  <si>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</si>
  <si>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</si>
  <si>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</si>
  <si>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</si>
  <si>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</si>
  <si>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</si>
  <si>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</si>
  <si>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</si>
  <si>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</si>
  <si>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</si>
  <si>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</si>
  <si>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</si>
  <si>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</si>
  <si>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</si>
  <si>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</si>
  <si>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</si>
  <si>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</si>
  <si>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</si>
  <si>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</si>
  <si>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</si>
  <si>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</si>
  <si>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</si>
  <si>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</si>
  <si>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</si>
  <si>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</si>
  <si>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</si>
  <si>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</si>
  <si>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</si>
  <si>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</si>
  <si>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</si>
  <si>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</si>
  <si>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</si>
  <si>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</si>
  <si>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</si>
  <si>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</si>
  <si>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</si>
  <si>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</si>
  <si>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</si>
  <si>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</si>
  <si>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</si>
  <si>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</si>
  <si>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</si>
  <si>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</si>
  <si>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</si>
  <si>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</si>
  <si>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</si>
  <si>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</si>
  <si>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</si>
  <si>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</si>
  <si>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</si>
  <si>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</si>
  <si>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</si>
  <si>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</si>
  <si>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</si>
  <si>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</si>
  <si>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</si>
  <si>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</si>
  <si>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</si>
  <si>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</si>
  <si>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</si>
  <si>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</si>
  <si>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</si>
  <si>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</si>
  <si>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</si>
  <si>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</si>
  <si>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</si>
  <si>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</si>
  <si>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SANTIAGO</t>
  </si>
  <si>
    <t>+569 8466 2944</t>
  </si>
  <si>
    <t>TAPACANTO 100 MTS 1,5X22</t>
  </si>
  <si>
    <t>GONZALO PEÑA</t>
  </si>
  <si>
    <t>SI</t>
  </si>
  <si>
    <t>Cotizado por: Fernando Donoso</t>
  </si>
  <si>
    <t>10 DIAS HABILES</t>
  </si>
  <si>
    <t>N° 11823</t>
  </si>
  <si>
    <t>PR6 / 2 FRENTES</t>
  </si>
  <si>
    <t>PUMIC GREY 21321 SF</t>
  </si>
  <si>
    <t>PR6 / 4 FRENTES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</si>
</sst>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6" fillId="8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26" fillId="8" borderId="0" xfId="0" applyFont="1" applyFill="1"/>
    <xf numFmtId="42" fontId="22" fillId="0" borderId="0" xfId="0" applyNumberFormat="1" applyFont="1"/>
    <xf numFmtId="42" fontId="30" fillId="18" borderId="20" xfId="8" applyFont="1" applyFill="1" applyBorder="1"/>
    <xf numFmtId="42" fontId="30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2" fillId="8" borderId="0" xfId="0" applyFont="1" applyFill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0" fontId="27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0" fillId="0" borderId="27" xfId="8" applyFont="1" applyFill="1" applyBorder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29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29" fillId="0" borderId="1" xfId="8" applyFont="1" applyBorder="1" applyAlignment="1">
      <alignment horizontal="center" vertical="center"/>
    </xf>
    <xf numFmtId="42" fontId="29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0" fillId="0" borderId="54" xfId="0" applyBorder="1"/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0" fillId="0" borderId="55" xfId="0" applyBorder="1"/>
    <xf numFmtId="0" fontId="26" fillId="0" borderId="0" xfId="0" applyFont="1"/>
    <xf numFmtId="0" fontId="33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5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167" fontId="0" fillId="0" borderId="0" xfId="0" applyNumberFormat="1" applyFill="1"/>
    <xf numFmtId="167" fontId="0" fillId="25" borderId="0" xfId="0" applyNumberFormat="1" applyFill="1"/>
    <xf numFmtId="166" fontId="3" fillId="25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167" fontId="0" fillId="26" borderId="0" xfId="0" applyNumberFormat="1" applyFill="1"/>
    <xf numFmtId="166" fontId="3" fillId="26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8194</xdr:rowOff>
    </xdr:from>
    <xdr:to>
      <xdr:col>8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6</xdr:col>
      <xdr:colOff>0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35</xdr:row>
      <xdr:rowOff>214364</xdr:rowOff>
    </xdr:from>
    <xdr:to>
      <xdr:col>6</xdr:col>
      <xdr:colOff>0</xdr:colOff>
      <xdr:row>38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36197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19695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4"/>
  <sheetViews>
    <sheetView tabSelected="1" topLeftCell="D19" zoomScale="93" zoomScaleNormal="93" workbookViewId="0">
      <selection activeCell="K28" sqref="K26:K28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2.44140625" customWidth="1"/>
    <col min="5" max="5" width="10.5546875" customWidth="1"/>
    <col min="6" max="6" width="25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x14ac:dyDescent="0.3">
      <c r="Q2" s="2"/>
      <c r="R2" s="2"/>
      <c r="S2" s="3"/>
      <c r="T2" s="3"/>
      <c r="U2" s="2"/>
      <c r="V2" s="2"/>
      <c r="W2" s="3"/>
      <c r="X2" s="4"/>
    </row>
    <row r="3" spans="2:24" x14ac:dyDescent="0.3">
      <c r="Q3" s="2"/>
      <c r="R3" s="2"/>
      <c r="S3" s="3"/>
      <c r="T3" s="3"/>
      <c r="U3" s="2"/>
      <c r="V3" s="2"/>
      <c r="W3" s="3"/>
      <c r="X3" s="4"/>
    </row>
    <row r="4" spans="2:24" x14ac:dyDescent="0.3">
      <c r="Q4" s="2"/>
      <c r="R4" s="2"/>
      <c r="S4" s="3"/>
      <c r="T4" s="3"/>
      <c r="U4" s="2"/>
      <c r="V4" s="2"/>
      <c r="W4" s="3"/>
      <c r="X4" s="4"/>
    </row>
    <row r="5" spans="2:24" x14ac:dyDescent="0.3">
      <c r="Q5" s="2"/>
      <c r="R5" s="2"/>
      <c r="S5" s="3"/>
      <c r="T5" s="3"/>
      <c r="U5" s="2"/>
      <c r="V5" s="2"/>
      <c r="W5" s="3"/>
      <c r="X5" s="4"/>
    </row>
    <row r="6" spans="2:24" ht="15.6" x14ac:dyDescent="0.3"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Q7" s="2"/>
      <c r="R7" s="2"/>
      <c r="S7" s="3"/>
      <c r="T7" s="3"/>
      <c r="U7" s="2"/>
      <c r="V7" s="2"/>
      <c r="W7" s="3"/>
    </row>
    <row r="8" spans="2:24" ht="21.6" thickBot="1" x14ac:dyDescent="0.45">
      <c r="B8" s="400" t="s">
        <v>124</v>
      </c>
      <c r="C8" s="401"/>
      <c r="D8" s="402" t="s">
        <v>283</v>
      </c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2" t="s">
        <v>154</v>
      </c>
      <c r="C10" s="425" t="s">
        <v>279</v>
      </c>
      <c r="D10" s="240"/>
      <c r="E10" s="240"/>
      <c r="F10" s="240"/>
      <c r="G10" s="271">
        <v>46029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411" t="s">
        <v>12</v>
      </c>
      <c r="C11" s="412"/>
      <c r="G11" s="413" t="s">
        <v>282</v>
      </c>
      <c r="H11" s="414"/>
      <c r="Q11" s="19"/>
      <c r="R11" s="24" t="s">
        <v>18</v>
      </c>
      <c r="S11" s="19"/>
    </row>
    <row r="12" spans="2:24" x14ac:dyDescent="0.3">
      <c r="B12" s="242" t="s">
        <v>137</v>
      </c>
      <c r="C12" s="410"/>
      <c r="D12" s="243"/>
      <c r="E12" s="243"/>
      <c r="F12" s="243"/>
      <c r="G12" s="272" t="s">
        <v>129</v>
      </c>
      <c r="H12" s="244"/>
      <c r="Q12" s="19"/>
      <c r="R12" s="24"/>
      <c r="S12" s="19"/>
    </row>
    <row r="13" spans="2:24" x14ac:dyDescent="0.3">
      <c r="B13" s="411" t="s">
        <v>138</v>
      </c>
      <c r="G13" s="415" t="s">
        <v>280</v>
      </c>
      <c r="H13" s="414"/>
      <c r="Q13" s="19"/>
      <c r="R13" s="24"/>
      <c r="S13" s="19"/>
    </row>
    <row r="14" spans="2:24" x14ac:dyDescent="0.3">
      <c r="B14" s="242" t="s">
        <v>132</v>
      </c>
      <c r="C14" s="421"/>
      <c r="D14" s="243"/>
      <c r="E14" s="243"/>
      <c r="F14" s="243"/>
      <c r="G14" s="280" t="s">
        <v>129</v>
      </c>
      <c r="H14" s="244"/>
      <c r="K14" s="28"/>
      <c r="Q14" s="20"/>
      <c r="R14" s="25" t="s">
        <v>17</v>
      </c>
      <c r="S14" s="20"/>
    </row>
    <row r="15" spans="2:24" ht="15.6" x14ac:dyDescent="0.3">
      <c r="B15" s="411" t="s">
        <v>4</v>
      </c>
      <c r="C15" s="416" t="s">
        <v>277</v>
      </c>
      <c r="D15" s="417"/>
      <c r="G15" s="74" t="s">
        <v>129</v>
      </c>
      <c r="H15" s="414"/>
    </row>
    <row r="16" spans="2:24" ht="16.8" x14ac:dyDescent="0.4">
      <c r="B16" s="296" t="s">
        <v>3</v>
      </c>
      <c r="C16" s="293"/>
      <c r="D16" s="243"/>
      <c r="E16" s="243"/>
      <c r="F16" s="243"/>
      <c r="G16" s="297" t="s">
        <v>155</v>
      </c>
      <c r="H16" s="244"/>
    </row>
    <row r="17" spans="2:25" ht="15" thickBot="1" x14ac:dyDescent="0.35">
      <c r="B17" s="418" t="s">
        <v>13</v>
      </c>
      <c r="C17" s="294" t="s">
        <v>276</v>
      </c>
      <c r="D17" s="295"/>
      <c r="E17" s="118"/>
      <c r="F17" s="118"/>
      <c r="G17" s="419" t="s">
        <v>281</v>
      </c>
      <c r="H17" s="420"/>
      <c r="I17" s="259"/>
      <c r="J17" s="259"/>
      <c r="T17" s="6"/>
      <c r="U17" s="6"/>
    </row>
    <row r="18" spans="2:25" ht="15.75" customHeight="1" thickBot="1" x14ac:dyDescent="0.35">
      <c r="J18" s="46"/>
      <c r="K18" s="5"/>
      <c r="V18" s="9"/>
      <c r="X18" s="6"/>
      <c r="Y18" s="6"/>
    </row>
    <row r="19" spans="2:25" ht="13.5" customHeight="1" thickBot="1" x14ac:dyDescent="0.35">
      <c r="B19" s="426" t="s">
        <v>95</v>
      </c>
      <c r="C19" s="427"/>
      <c r="D19" s="427"/>
      <c r="E19" s="427"/>
      <c r="F19" s="427"/>
      <c r="G19" s="427"/>
      <c r="H19" s="428"/>
      <c r="I19" s="260"/>
      <c r="J19" s="260"/>
      <c r="K19" s="5"/>
      <c r="L19" s="246"/>
      <c r="M19" s="14">
        <v>0.02</v>
      </c>
      <c r="N19" s="14">
        <v>0.02</v>
      </c>
      <c r="O19" s="14"/>
      <c r="P19" s="247" t="s">
        <v>6</v>
      </c>
      <c r="Q19" s="35" t="s">
        <v>20</v>
      </c>
      <c r="R19" s="36" t="s">
        <v>128</v>
      </c>
      <c r="S19" s="10" t="s">
        <v>130</v>
      </c>
      <c r="U19" s="9"/>
      <c r="V19" s="9"/>
      <c r="X19" s="6"/>
      <c r="Y19" s="6"/>
    </row>
    <row r="20" spans="2:25" ht="17.399999999999999" x14ac:dyDescent="0.3">
      <c r="B20" s="403" t="s">
        <v>7</v>
      </c>
      <c r="C20" s="404" t="s">
        <v>1</v>
      </c>
      <c r="D20" s="404" t="s">
        <v>10</v>
      </c>
      <c r="E20" s="404" t="s">
        <v>11</v>
      </c>
      <c r="F20" s="404" t="s">
        <v>8</v>
      </c>
      <c r="G20" s="404" t="s">
        <v>5</v>
      </c>
      <c r="H20" s="405" t="s">
        <v>6</v>
      </c>
      <c r="I20" s="261"/>
      <c r="J20" s="261"/>
      <c r="K20" s="46"/>
      <c r="L20" s="264" t="str">
        <f>B20</f>
        <v>UNIDAD</v>
      </c>
      <c r="M20" s="263" t="s">
        <v>126</v>
      </c>
      <c r="N20" s="38" t="str">
        <f>E20</f>
        <v>ANCHO</v>
      </c>
      <c r="O20" s="257" t="s">
        <v>127</v>
      </c>
      <c r="P20" s="255" t="s">
        <v>16</v>
      </c>
      <c r="Q20" s="248">
        <f>O51</f>
        <v>63143.736475604266</v>
      </c>
      <c r="R20" s="254">
        <v>5000</v>
      </c>
      <c r="S20" s="37" t="s">
        <v>10</v>
      </c>
      <c r="T20" s="42" t="s">
        <v>11</v>
      </c>
      <c r="U20" s="9"/>
      <c r="X20" s="4"/>
    </row>
    <row r="21" spans="2:25" ht="17.399999999999999" x14ac:dyDescent="0.3">
      <c r="B21" s="422">
        <v>1</v>
      </c>
      <c r="C21" s="422" t="s">
        <v>284</v>
      </c>
      <c r="D21" s="423">
        <v>0.73</v>
      </c>
      <c r="E21" s="423">
        <v>0.56999999999999995</v>
      </c>
      <c r="F21" s="422" t="s">
        <v>285</v>
      </c>
      <c r="G21" s="424">
        <f>R21</f>
        <v>32941.103390454889</v>
      </c>
      <c r="H21" s="424">
        <f>G21*B21</f>
        <v>32941.103390454889</v>
      </c>
      <c r="I21" s="299"/>
      <c r="J21" s="261"/>
      <c r="K21" s="46"/>
      <c r="L21" s="46">
        <f>B21</f>
        <v>1</v>
      </c>
      <c r="M21" s="38">
        <f>D21+M$19</f>
        <v>0.75</v>
      </c>
      <c r="N21" s="38">
        <f>E21+$N$19</f>
        <v>0.59</v>
      </c>
      <c r="O21" s="257">
        <f t="shared" ref="O21" si="0">M21*N21</f>
        <v>0.4425</v>
      </c>
      <c r="P21" s="255">
        <f t="shared" ref="P21" si="1">O21*L21</f>
        <v>0.4425</v>
      </c>
      <c r="Q21" s="248">
        <f t="shared" ref="Q21" si="2">Q$20*O21</f>
        <v>27941.103390454889</v>
      </c>
      <c r="R21" s="298">
        <f t="shared" ref="R21" si="3">Q21+R$20</f>
        <v>32941.103390454889</v>
      </c>
      <c r="S21" s="285">
        <f>M21*L21*2</f>
        <v>1.5</v>
      </c>
      <c r="T21" s="45">
        <f>N21*L21*2</f>
        <v>1.18</v>
      </c>
      <c r="U21" s="9"/>
      <c r="X21" s="4"/>
    </row>
    <row r="22" spans="2:25" ht="17.399999999999999" x14ac:dyDescent="0.3">
      <c r="B22" s="422">
        <v>6</v>
      </c>
      <c r="C22" s="422" t="s">
        <v>252</v>
      </c>
      <c r="D22" s="423">
        <v>0.73</v>
      </c>
      <c r="E22" s="423">
        <v>0.29799999999999999</v>
      </c>
      <c r="F22" s="422" t="s">
        <v>285</v>
      </c>
      <c r="G22" s="424">
        <f t="shared" ref="G22:G33" si="4">R22</f>
        <v>20059.781149431619</v>
      </c>
      <c r="H22" s="424">
        <f>G22*B22</f>
        <v>120358.68689658972</v>
      </c>
      <c r="I22" s="299"/>
      <c r="J22" s="261"/>
      <c r="K22" s="46"/>
      <c r="L22" s="454">
        <f>B22</f>
        <v>6</v>
      </c>
      <c r="M22" s="455">
        <f>D22+M$19</f>
        <v>0.75</v>
      </c>
      <c r="N22" s="455">
        <f>E22+$N$19</f>
        <v>0.318</v>
      </c>
      <c r="O22" s="257">
        <f t="shared" ref="O22" si="5">M22*N22</f>
        <v>0.23849999999999999</v>
      </c>
      <c r="P22" s="255">
        <f t="shared" ref="P22" si="6">O22*L22</f>
        <v>1.431</v>
      </c>
      <c r="Q22" s="248">
        <f t="shared" ref="Q22" si="7">Q$20*O22</f>
        <v>15059.781149431617</v>
      </c>
      <c r="R22" s="298">
        <f t="shared" ref="R22" si="8">Q22+R$20</f>
        <v>20059.781149431619</v>
      </c>
      <c r="S22" s="285">
        <f>M22*L22*2</f>
        <v>9</v>
      </c>
      <c r="T22" s="45">
        <f t="shared" ref="T22:T33" si="9">N22*L22*2</f>
        <v>3.8159999999999998</v>
      </c>
      <c r="U22" s="9"/>
      <c r="X22" s="4"/>
    </row>
    <row r="23" spans="2:25" ht="17.399999999999999" x14ac:dyDescent="0.3">
      <c r="B23" s="422">
        <v>2</v>
      </c>
      <c r="C23" s="422" t="s">
        <v>252</v>
      </c>
      <c r="D23" s="423">
        <v>0.73</v>
      </c>
      <c r="E23" s="423">
        <v>0.29299999999999998</v>
      </c>
      <c r="F23" s="422" t="s">
        <v>285</v>
      </c>
      <c r="G23" s="424">
        <f t="shared" si="4"/>
        <v>19822.9921376481</v>
      </c>
      <c r="H23" s="424">
        <f>G23*B23</f>
        <v>39645.984275296199</v>
      </c>
      <c r="I23" s="299"/>
      <c r="J23" s="261"/>
      <c r="K23" s="46"/>
      <c r="L23" s="454">
        <f>B23</f>
        <v>2</v>
      </c>
      <c r="M23" s="455">
        <f>D23+M$19</f>
        <v>0.75</v>
      </c>
      <c r="N23" s="455">
        <f>E23+$N$19</f>
        <v>0.313</v>
      </c>
      <c r="O23" s="257">
        <f t="shared" ref="O23:O33" si="10">M23*N23</f>
        <v>0.23475000000000001</v>
      </c>
      <c r="P23" s="255">
        <f t="shared" ref="P23:P33" si="11">O23*L23</f>
        <v>0.46950000000000003</v>
      </c>
      <c r="Q23" s="248">
        <f t="shared" ref="Q23:Q33" si="12">Q$20*O23</f>
        <v>14822.992137648102</v>
      </c>
      <c r="R23" s="298">
        <f t="shared" ref="R23:R33" si="13">Q23+R$20</f>
        <v>19822.9921376481</v>
      </c>
      <c r="S23" s="285">
        <f>M23*L23*2</f>
        <v>3</v>
      </c>
      <c r="T23" s="45">
        <f t="shared" si="9"/>
        <v>1.252</v>
      </c>
      <c r="U23" s="9"/>
      <c r="X23" s="4"/>
    </row>
    <row r="24" spans="2:25" ht="17.399999999999999" x14ac:dyDescent="0.3">
      <c r="B24" s="422">
        <v>1</v>
      </c>
      <c r="C24" s="422" t="s">
        <v>252</v>
      </c>
      <c r="D24" s="423">
        <v>0.73</v>
      </c>
      <c r="E24" s="423">
        <v>0.41499999999999998</v>
      </c>
      <c r="F24" s="422" t="s">
        <v>285</v>
      </c>
      <c r="G24" s="424">
        <f t="shared" si="4"/>
        <v>25600.64402516589</v>
      </c>
      <c r="H24" s="424">
        <f>G24*B24</f>
        <v>25600.64402516589</v>
      </c>
      <c r="I24" s="299"/>
      <c r="J24" s="261"/>
      <c r="K24" s="46"/>
      <c r="L24" s="46">
        <f>B24</f>
        <v>1</v>
      </c>
      <c r="M24" s="38">
        <f>D24+M$19</f>
        <v>0.75</v>
      </c>
      <c r="N24" s="38">
        <f>E24+$N$19</f>
        <v>0.435</v>
      </c>
      <c r="O24" s="257">
        <f t="shared" si="10"/>
        <v>0.32624999999999998</v>
      </c>
      <c r="P24" s="255">
        <f t="shared" si="11"/>
        <v>0.32624999999999998</v>
      </c>
      <c r="Q24" s="248">
        <f t="shared" si="12"/>
        <v>20600.64402516589</v>
      </c>
      <c r="R24" s="298">
        <f t="shared" si="13"/>
        <v>25600.64402516589</v>
      </c>
      <c r="S24" s="285">
        <f t="shared" ref="S24:S31" si="14">M24*L24*2</f>
        <v>1.5</v>
      </c>
      <c r="T24" s="45">
        <f t="shared" si="9"/>
        <v>0.87</v>
      </c>
      <c r="U24" s="9"/>
      <c r="X24" s="4"/>
    </row>
    <row r="25" spans="2:25" ht="17.399999999999999" x14ac:dyDescent="0.3">
      <c r="B25" s="422">
        <v>1</v>
      </c>
      <c r="C25" s="422" t="s">
        <v>286</v>
      </c>
      <c r="D25" s="423">
        <v>0.73</v>
      </c>
      <c r="E25" s="423">
        <v>0.44800000000000001</v>
      </c>
      <c r="F25" s="422" t="s">
        <v>285</v>
      </c>
      <c r="G25" s="424">
        <f t="shared" si="4"/>
        <v>27163.4515029371</v>
      </c>
      <c r="H25" s="424">
        <f>G25*B25</f>
        <v>27163.4515029371</v>
      </c>
      <c r="I25" s="299"/>
      <c r="J25" s="261"/>
      <c r="K25" s="46"/>
      <c r="L25" s="46">
        <f>B25</f>
        <v>1</v>
      </c>
      <c r="M25" s="38">
        <f>D25+M$19</f>
        <v>0.75</v>
      </c>
      <c r="N25" s="38">
        <f>E25+$N$19</f>
        <v>0.46800000000000003</v>
      </c>
      <c r="O25" s="257">
        <f t="shared" si="10"/>
        <v>0.35100000000000003</v>
      </c>
      <c r="P25" s="255">
        <f t="shared" si="11"/>
        <v>0.35100000000000003</v>
      </c>
      <c r="Q25" s="248">
        <f t="shared" si="12"/>
        <v>22163.4515029371</v>
      </c>
      <c r="R25" s="298">
        <f t="shared" si="13"/>
        <v>27163.4515029371</v>
      </c>
      <c r="S25" s="285">
        <f t="shared" si="14"/>
        <v>1.5</v>
      </c>
      <c r="T25" s="45">
        <f t="shared" si="9"/>
        <v>0.93600000000000005</v>
      </c>
      <c r="U25" s="9"/>
      <c r="X25" s="4"/>
    </row>
    <row r="26" spans="2:25" ht="17.399999999999999" x14ac:dyDescent="0.3">
      <c r="B26" s="422">
        <v>2</v>
      </c>
      <c r="C26" s="422" t="s">
        <v>252</v>
      </c>
      <c r="D26" s="423">
        <v>0.47</v>
      </c>
      <c r="E26" s="423">
        <v>0.29799999999999999</v>
      </c>
      <c r="F26" s="422" t="s">
        <v>285</v>
      </c>
      <c r="G26" s="424">
        <f t="shared" si="4"/>
        <v>14839.057017628656</v>
      </c>
      <c r="H26" s="424">
        <f>G26*B26</f>
        <v>29678.114035257313</v>
      </c>
      <c r="I26" s="299"/>
      <c r="J26" s="261"/>
      <c r="K26" s="46"/>
      <c r="L26" s="46">
        <f>B26</f>
        <v>2</v>
      </c>
      <c r="M26" s="38">
        <f>D26+M$19</f>
        <v>0.49</v>
      </c>
      <c r="N26" s="38">
        <f>E26+$N$19</f>
        <v>0.318</v>
      </c>
      <c r="O26" s="257">
        <f t="shared" si="10"/>
        <v>0.15581999999999999</v>
      </c>
      <c r="P26" s="255">
        <f t="shared" si="11"/>
        <v>0.31163999999999997</v>
      </c>
      <c r="Q26" s="248">
        <f t="shared" si="12"/>
        <v>9839.0570176286565</v>
      </c>
      <c r="R26" s="298">
        <f t="shared" si="13"/>
        <v>14839.057017628656</v>
      </c>
      <c r="S26" s="285">
        <f>M26*L26*2</f>
        <v>1.96</v>
      </c>
      <c r="T26" s="45">
        <f t="shared" si="9"/>
        <v>1.272</v>
      </c>
      <c r="U26" s="9"/>
      <c r="X26" s="4"/>
    </row>
    <row r="27" spans="2:25" ht="17.399999999999999" x14ac:dyDescent="0.3">
      <c r="B27" s="422">
        <v>1</v>
      </c>
      <c r="C27" s="422" t="s">
        <v>252</v>
      </c>
      <c r="D27" s="423">
        <v>0.91</v>
      </c>
      <c r="E27" s="423">
        <v>0.41499999999999998</v>
      </c>
      <c r="F27" s="422" t="s">
        <v>285</v>
      </c>
      <c r="G27" s="424">
        <f t="shared" si="4"/>
        <v>30544.798591205708</v>
      </c>
      <c r="H27" s="424">
        <f>G27*B27</f>
        <v>30544.798591205708</v>
      </c>
      <c r="I27" s="299"/>
      <c r="J27" s="261"/>
      <c r="K27" s="46"/>
      <c r="L27" s="450">
        <f>B27</f>
        <v>1</v>
      </c>
      <c r="M27" s="451">
        <f>D27+M$19</f>
        <v>0.93</v>
      </c>
      <c r="N27" s="451">
        <f>E27+$N$19</f>
        <v>0.435</v>
      </c>
      <c r="O27" s="257">
        <f t="shared" si="10"/>
        <v>0.40455000000000002</v>
      </c>
      <c r="P27" s="255">
        <f t="shared" si="11"/>
        <v>0.40455000000000002</v>
      </c>
      <c r="Q27" s="248">
        <f t="shared" si="12"/>
        <v>25544.798591205708</v>
      </c>
      <c r="R27" s="298">
        <f t="shared" si="13"/>
        <v>30544.798591205708</v>
      </c>
      <c r="S27" s="285">
        <f t="shared" si="14"/>
        <v>1.86</v>
      </c>
      <c r="T27" s="45">
        <f t="shared" si="9"/>
        <v>0.87</v>
      </c>
      <c r="U27" s="9"/>
      <c r="X27" s="4"/>
    </row>
    <row r="28" spans="2:25" ht="17.399999999999999" x14ac:dyDescent="0.3">
      <c r="B28" s="422">
        <v>1</v>
      </c>
      <c r="C28" s="422" t="s">
        <v>252</v>
      </c>
      <c r="D28" s="423">
        <v>0.86</v>
      </c>
      <c r="E28" s="423">
        <v>0.59799999999999998</v>
      </c>
      <c r="F28" s="422" t="s">
        <v>285</v>
      </c>
      <c r="G28" s="424">
        <f t="shared" si="4"/>
        <v>39340.089644892621</v>
      </c>
      <c r="H28" s="424">
        <f>G28*B28</f>
        <v>39340.089644892621</v>
      </c>
      <c r="I28" s="299"/>
      <c r="J28" s="261"/>
      <c r="K28" s="46"/>
      <c r="L28" s="452">
        <f>B28</f>
        <v>1</v>
      </c>
      <c r="M28" s="453">
        <f>D28+M$19</f>
        <v>0.88</v>
      </c>
      <c r="N28" s="453">
        <f>E28+$N$19</f>
        <v>0.61799999999999999</v>
      </c>
      <c r="O28" s="257">
        <f t="shared" si="10"/>
        <v>0.54383999999999999</v>
      </c>
      <c r="P28" s="255">
        <f t="shared" si="11"/>
        <v>0.54383999999999999</v>
      </c>
      <c r="Q28" s="248">
        <f t="shared" si="12"/>
        <v>34340.089644892621</v>
      </c>
      <c r="R28" s="298">
        <f t="shared" si="13"/>
        <v>39340.089644892621</v>
      </c>
      <c r="S28" s="285">
        <f t="shared" si="14"/>
        <v>1.76</v>
      </c>
      <c r="T28" s="45">
        <f t="shared" si="9"/>
        <v>1.236</v>
      </c>
      <c r="U28" s="9"/>
      <c r="X28" s="4"/>
    </row>
    <row r="29" spans="2:25" ht="17.399999999999999" x14ac:dyDescent="0.3">
      <c r="B29" s="422">
        <v>1</v>
      </c>
      <c r="C29" s="422" t="s">
        <v>252</v>
      </c>
      <c r="D29" s="423">
        <v>0.91</v>
      </c>
      <c r="E29" s="423">
        <v>0.29799999999999999</v>
      </c>
      <c r="F29" s="422" t="s">
        <v>285</v>
      </c>
      <c r="G29" s="424">
        <f t="shared" si="4"/>
        <v>23674.128625295205</v>
      </c>
      <c r="H29" s="424">
        <f>G29*B29</f>
        <v>23674.128625295205</v>
      </c>
      <c r="I29" s="299"/>
      <c r="J29" s="261"/>
      <c r="K29" s="46"/>
      <c r="L29" s="450">
        <f>B29</f>
        <v>1</v>
      </c>
      <c r="M29" s="451">
        <f>D29+M$19</f>
        <v>0.93</v>
      </c>
      <c r="N29" s="451">
        <f>E29+$N$19</f>
        <v>0.318</v>
      </c>
      <c r="O29" s="257">
        <f t="shared" si="10"/>
        <v>0.29574</v>
      </c>
      <c r="P29" s="255">
        <f t="shared" si="11"/>
        <v>0.29574</v>
      </c>
      <c r="Q29" s="248">
        <f t="shared" si="12"/>
        <v>18674.128625295205</v>
      </c>
      <c r="R29" s="298">
        <f t="shared" si="13"/>
        <v>23674.128625295205</v>
      </c>
      <c r="S29" s="285">
        <f>M29*L29*2</f>
        <v>1.86</v>
      </c>
      <c r="T29" s="45">
        <f t="shared" si="9"/>
        <v>0.63600000000000001</v>
      </c>
      <c r="U29" s="9"/>
      <c r="X29" s="4"/>
    </row>
    <row r="30" spans="2:25" ht="17.399999999999999" x14ac:dyDescent="0.3">
      <c r="B30" s="422">
        <v>4</v>
      </c>
      <c r="C30" s="422" t="s">
        <v>252</v>
      </c>
      <c r="D30" s="423">
        <v>0.91</v>
      </c>
      <c r="E30" s="423">
        <v>0.312</v>
      </c>
      <c r="F30" s="422" t="s">
        <v>285</v>
      </c>
      <c r="G30" s="424">
        <f t="shared" si="4"/>
        <v>24496.260074207574</v>
      </c>
      <c r="H30" s="424">
        <f>G30*B30</f>
        <v>97985.040296830295</v>
      </c>
      <c r="I30" s="299"/>
      <c r="J30" s="261"/>
      <c r="K30" s="46"/>
      <c r="L30" s="450">
        <f>B30</f>
        <v>4</v>
      </c>
      <c r="M30" s="451">
        <f>D30+M$19</f>
        <v>0.93</v>
      </c>
      <c r="N30" s="451">
        <f>E30+$N$19</f>
        <v>0.33200000000000002</v>
      </c>
      <c r="O30" s="257">
        <f t="shared" si="10"/>
        <v>0.30876000000000003</v>
      </c>
      <c r="P30" s="255">
        <f t="shared" si="11"/>
        <v>1.2350400000000001</v>
      </c>
      <c r="Q30" s="248">
        <f t="shared" si="12"/>
        <v>19496.260074207574</v>
      </c>
      <c r="R30" s="298">
        <f t="shared" si="13"/>
        <v>24496.260074207574</v>
      </c>
      <c r="S30" s="285">
        <f t="shared" si="14"/>
        <v>7.44</v>
      </c>
      <c r="T30" s="45">
        <f t="shared" si="9"/>
        <v>2.6560000000000001</v>
      </c>
      <c r="U30" s="9"/>
      <c r="X30" s="4"/>
    </row>
    <row r="31" spans="2:25" ht="17.399999999999999" x14ac:dyDescent="0.3">
      <c r="B31" s="422">
        <v>2</v>
      </c>
      <c r="C31" s="422" t="s">
        <v>252</v>
      </c>
      <c r="D31" s="423">
        <v>0.91</v>
      </c>
      <c r="E31" s="423">
        <v>0.28299999999999997</v>
      </c>
      <c r="F31" s="422" t="s">
        <v>285</v>
      </c>
      <c r="G31" s="424">
        <f t="shared" si="4"/>
        <v>22793.273501460524</v>
      </c>
      <c r="H31" s="424">
        <f>G31*B31</f>
        <v>45586.547002921048</v>
      </c>
      <c r="I31" s="299"/>
      <c r="J31" s="261"/>
      <c r="K31" s="46"/>
      <c r="L31" s="452">
        <f>B31</f>
        <v>2</v>
      </c>
      <c r="M31" s="453">
        <f>D31+M$19</f>
        <v>0.93</v>
      </c>
      <c r="N31" s="453">
        <f>E31+$N$19</f>
        <v>0.30299999999999999</v>
      </c>
      <c r="O31" s="257">
        <f t="shared" si="10"/>
        <v>0.28178999999999998</v>
      </c>
      <c r="P31" s="255">
        <f t="shared" si="11"/>
        <v>0.56357999999999997</v>
      </c>
      <c r="Q31" s="248">
        <f t="shared" si="12"/>
        <v>17793.273501460524</v>
      </c>
      <c r="R31" s="298">
        <f t="shared" si="13"/>
        <v>22793.273501460524</v>
      </c>
      <c r="S31" s="285">
        <f t="shared" si="14"/>
        <v>3.72</v>
      </c>
      <c r="T31" s="45">
        <f t="shared" si="9"/>
        <v>1.212</v>
      </c>
      <c r="U31" s="9"/>
      <c r="X31" s="4"/>
    </row>
    <row r="32" spans="2:25" ht="17.399999999999999" x14ac:dyDescent="0.3">
      <c r="B32" s="422">
        <v>1</v>
      </c>
      <c r="C32" s="422" t="s">
        <v>252</v>
      </c>
      <c r="D32" s="423">
        <v>0.91</v>
      </c>
      <c r="E32" s="423">
        <v>0.375</v>
      </c>
      <c r="F32" s="422" t="s">
        <v>285</v>
      </c>
      <c r="G32" s="424">
        <f t="shared" si="4"/>
        <v>28195.851594313226</v>
      </c>
      <c r="H32" s="424">
        <f>G32*B32</f>
        <v>28195.851594313226</v>
      </c>
      <c r="I32" s="299"/>
      <c r="J32" s="261"/>
      <c r="K32" s="46"/>
      <c r="L32" s="452">
        <f>B32</f>
        <v>1</v>
      </c>
      <c r="M32" s="453">
        <f>D32+M$19</f>
        <v>0.93</v>
      </c>
      <c r="N32" s="453">
        <f>E32+$N$19</f>
        <v>0.39500000000000002</v>
      </c>
      <c r="O32" s="257">
        <f t="shared" si="10"/>
        <v>0.36735000000000001</v>
      </c>
      <c r="P32" s="255">
        <f t="shared" si="11"/>
        <v>0.36735000000000001</v>
      </c>
      <c r="Q32" s="248">
        <f t="shared" si="12"/>
        <v>23195.851594313226</v>
      </c>
      <c r="R32" s="298">
        <f t="shared" si="13"/>
        <v>28195.851594313226</v>
      </c>
      <c r="S32" s="285">
        <f>M32*L32*2</f>
        <v>1.86</v>
      </c>
      <c r="T32" s="45">
        <f t="shared" si="9"/>
        <v>0.79</v>
      </c>
      <c r="U32" s="9"/>
      <c r="X32" s="4"/>
    </row>
    <row r="33" spans="1:24" ht="17.399999999999999" x14ac:dyDescent="0.3">
      <c r="B33" s="422">
        <v>1</v>
      </c>
      <c r="C33" s="422" t="s">
        <v>252</v>
      </c>
      <c r="D33" s="423">
        <v>1.2949999999999999</v>
      </c>
      <c r="E33" s="423">
        <v>0.375</v>
      </c>
      <c r="F33" s="422" t="s">
        <v>285</v>
      </c>
      <c r="G33" s="424">
        <f t="shared" si="4"/>
        <v>37798.435318840748</v>
      </c>
      <c r="H33" s="424">
        <f>G33*B33</f>
        <v>37798.435318840748</v>
      </c>
      <c r="I33" s="299"/>
      <c r="J33" s="261"/>
      <c r="K33" s="46"/>
      <c r="L33" s="452">
        <f>B33</f>
        <v>1</v>
      </c>
      <c r="M33" s="453">
        <f>D33+M$19</f>
        <v>1.3149999999999999</v>
      </c>
      <c r="N33" s="453">
        <f>E33+$N$19</f>
        <v>0.39500000000000002</v>
      </c>
      <c r="O33" s="257">
        <f t="shared" si="10"/>
        <v>0.51942500000000003</v>
      </c>
      <c r="P33" s="255">
        <f t="shared" si="11"/>
        <v>0.51942500000000003</v>
      </c>
      <c r="Q33" s="248">
        <f t="shared" si="12"/>
        <v>32798.435318840748</v>
      </c>
      <c r="R33" s="298">
        <f t="shared" si="13"/>
        <v>37798.435318840748</v>
      </c>
      <c r="S33" s="285">
        <f>M33*L33*2</f>
        <v>2.63</v>
      </c>
      <c r="T33" s="45">
        <f t="shared" si="9"/>
        <v>0.79</v>
      </c>
      <c r="U33" s="9"/>
      <c r="X33" s="4"/>
    </row>
    <row r="34" spans="1:24" ht="17.399999999999999" x14ac:dyDescent="0.3">
      <c r="B34" s="278"/>
      <c r="C34" s="278"/>
      <c r="D34" s="279"/>
      <c r="E34" s="279"/>
      <c r="F34" s="279"/>
      <c r="G34" s="299"/>
      <c r="H34" s="299"/>
      <c r="I34" s="299"/>
      <c r="J34" s="261"/>
      <c r="K34" s="46"/>
      <c r="L34" s="46"/>
      <c r="M34" s="38"/>
      <c r="N34" s="38"/>
      <c r="O34" s="257"/>
      <c r="P34" s="255"/>
      <c r="Q34" s="248"/>
      <c r="R34" s="298"/>
      <c r="S34" s="285"/>
      <c r="T34" s="45"/>
      <c r="U34" s="9"/>
      <c r="X34" s="4"/>
    </row>
    <row r="35" spans="1:24" ht="17.399999999999999" x14ac:dyDescent="0.3">
      <c r="B35" s="278">
        <f>SUM(B21:B33)</f>
        <v>24</v>
      </c>
      <c r="C35" s="278"/>
      <c r="D35" s="279"/>
      <c r="E35" s="279"/>
      <c r="F35" s="279"/>
      <c r="G35" s="299"/>
      <c r="H35" s="299"/>
      <c r="I35" s="299"/>
      <c r="J35" s="261"/>
      <c r="K35" s="46"/>
      <c r="L35" s="46"/>
      <c r="M35" s="38"/>
      <c r="N35" s="38"/>
      <c r="O35" s="257"/>
      <c r="P35" s="255"/>
      <c r="Q35" s="248"/>
      <c r="R35" s="298"/>
      <c r="S35" s="285"/>
      <c r="T35" s="45"/>
      <c r="U35" s="9"/>
      <c r="X35" s="4"/>
    </row>
    <row r="36" spans="1:24" ht="18" thickBot="1" x14ac:dyDescent="0.35">
      <c r="B36" s="278"/>
      <c r="C36" s="278"/>
      <c r="D36" s="279"/>
      <c r="E36" s="279"/>
      <c r="F36" s="279"/>
      <c r="G36" s="261"/>
      <c r="H36" s="300"/>
      <c r="I36" s="302"/>
      <c r="J36" s="231"/>
      <c r="K36" s="449"/>
      <c r="L36" s="46"/>
      <c r="M36" s="38"/>
      <c r="N36" s="38"/>
      <c r="O36" s="257"/>
      <c r="P36" s="255"/>
      <c r="Q36" s="248"/>
      <c r="R36" s="254"/>
      <c r="S36" s="285"/>
      <c r="T36" s="14"/>
      <c r="U36" s="9"/>
      <c r="X36" s="4"/>
    </row>
    <row r="37" spans="1:24" ht="17.399999999999999" x14ac:dyDescent="0.3">
      <c r="B37" s="278"/>
      <c r="C37" s="278"/>
      <c r="D37" s="279"/>
      <c r="E37" s="279"/>
      <c r="F37" s="279"/>
      <c r="G37" s="303" t="s">
        <v>28</v>
      </c>
      <c r="H37" s="304">
        <f>SUM(H21:H36)</f>
        <v>578512.87520000001</v>
      </c>
      <c r="I37" s="301"/>
      <c r="J37" s="261"/>
      <c r="K37" s="449"/>
      <c r="L37" s="46"/>
      <c r="M37" s="38"/>
      <c r="N37" s="38"/>
      <c r="O37" s="257"/>
      <c r="P37" s="255"/>
      <c r="Q37" s="248"/>
      <c r="R37" s="254"/>
      <c r="S37" s="285"/>
      <c r="T37" s="45">
        <f>SUM(T21:T36)</f>
        <v>17.515999999999998</v>
      </c>
      <c r="U37" s="9"/>
      <c r="X37" s="4"/>
    </row>
    <row r="38" spans="1:24" ht="17.399999999999999" x14ac:dyDescent="0.3">
      <c r="B38" s="273"/>
      <c r="C38" s="276"/>
      <c r="D38" s="277"/>
      <c r="E38" s="277"/>
      <c r="F38" s="277"/>
      <c r="G38" s="284" t="s">
        <v>51</v>
      </c>
      <c r="H38" s="282">
        <f>H37*19%</f>
        <v>109917.44628800001</v>
      </c>
      <c r="I38" s="301"/>
      <c r="J38" s="261"/>
      <c r="K38" s="449"/>
      <c r="L38" s="46"/>
      <c r="M38" s="38">
        <f>SUM(M21:M37)</f>
        <v>11.084999999999999</v>
      </c>
      <c r="N38" s="12"/>
      <c r="O38" s="12"/>
      <c r="P38" s="249">
        <f>SUM(P21:P35)</f>
        <v>7.2614150000000013</v>
      </c>
      <c r="Q38" s="14"/>
      <c r="R38" s="12"/>
      <c r="S38" s="236"/>
      <c r="T38" s="45"/>
      <c r="U38" s="9"/>
      <c r="X38" s="4"/>
    </row>
    <row r="39" spans="1:24" ht="18" thickBot="1" x14ac:dyDescent="0.35">
      <c r="B39" s="270"/>
      <c r="C39" s="275"/>
      <c r="D39" s="268"/>
      <c r="E39" s="268"/>
      <c r="F39" s="268"/>
      <c r="G39" s="274" t="s">
        <v>6</v>
      </c>
      <c r="H39" s="283">
        <f>H37+H38</f>
        <v>688430.32148799999</v>
      </c>
      <c r="I39" s="301"/>
      <c r="J39" s="261"/>
      <c r="K39" s="449"/>
      <c r="L39" s="46"/>
      <c r="M39" s="38"/>
      <c r="N39" s="12"/>
      <c r="O39" s="12"/>
      <c r="P39" s="249">
        <f>P38</f>
        <v>7.2614150000000013</v>
      </c>
      <c r="Q39" s="14"/>
      <c r="R39" s="12"/>
      <c r="S39" s="236">
        <f>SUM(S21:S38)</f>
        <v>39.590000000000003</v>
      </c>
      <c r="T39" s="45"/>
      <c r="U39" s="9"/>
      <c r="X39" s="4"/>
    </row>
    <row r="40" spans="1:24" ht="17.399999999999999" x14ac:dyDescent="0.3">
      <c r="B40" s="270"/>
      <c r="C40" s="267"/>
      <c r="D40" s="268"/>
      <c r="E40" s="268"/>
      <c r="F40" s="268"/>
      <c r="J40" s="261"/>
      <c r="K40" s="449"/>
      <c r="L40" s="46"/>
      <c r="M40" s="14"/>
      <c r="N40" s="12"/>
      <c r="O40" s="12"/>
      <c r="P40" s="38">
        <f>P39*20%</f>
        <v>1.4522830000000004</v>
      </c>
      <c r="Q40" s="38" t="s">
        <v>125</v>
      </c>
      <c r="R40" s="41"/>
      <c r="S40" s="237">
        <f>S39+T37</f>
        <v>57.106000000000002</v>
      </c>
      <c r="T40" s="14"/>
      <c r="U40" s="9"/>
      <c r="X40" s="4"/>
    </row>
    <row r="41" spans="1:24" ht="17.399999999999999" x14ac:dyDescent="0.35">
      <c r="B41" s="265"/>
      <c r="C41" s="228"/>
      <c r="D41" s="228"/>
      <c r="E41" s="231"/>
      <c r="F41" s="231"/>
      <c r="G41" s="228"/>
      <c r="H41" s="269"/>
      <c r="I41" s="269"/>
      <c r="J41" s="261"/>
      <c r="K41" s="449"/>
      <c r="L41" s="46"/>
      <c r="M41" s="14"/>
      <c r="N41" s="12"/>
      <c r="O41" s="12"/>
      <c r="P41" s="45">
        <f>P39+P40</f>
        <v>8.7136980000000008</v>
      </c>
      <c r="Q41" s="14"/>
      <c r="R41" s="14"/>
      <c r="S41" s="235">
        <f>S40*20%</f>
        <v>11.421200000000001</v>
      </c>
      <c r="T41" s="14"/>
      <c r="U41" s="9"/>
      <c r="X41" s="4"/>
    </row>
    <row r="42" spans="1:24" ht="17.399999999999999" x14ac:dyDescent="0.35">
      <c r="B42" s="232"/>
      <c r="C42" s="233"/>
      <c r="D42" s="234"/>
      <c r="E42" s="232"/>
      <c r="F42" s="232"/>
      <c r="G42" s="228"/>
      <c r="I42" s="269"/>
      <c r="J42" s="261"/>
      <c r="K42" s="449"/>
      <c r="L42" s="46"/>
      <c r="M42" s="14"/>
      <c r="N42" s="14"/>
      <c r="O42" s="14"/>
      <c r="P42" s="14"/>
      <c r="Q42" s="14"/>
      <c r="R42" s="14"/>
      <c r="S42" s="237">
        <f>S40+S41</f>
        <v>68.527200000000008</v>
      </c>
      <c r="T42" s="14"/>
      <c r="U42" s="289" t="s">
        <v>21</v>
      </c>
      <c r="V42" s="286" t="s">
        <v>144</v>
      </c>
      <c r="W42" s="290">
        <v>44971</v>
      </c>
      <c r="X42" s="291"/>
    </row>
    <row r="43" spans="1:24" ht="17.399999999999999" x14ac:dyDescent="0.35">
      <c r="B43" s="228"/>
      <c r="C43" s="228"/>
      <c r="D43" s="228"/>
      <c r="E43" s="228"/>
      <c r="F43" s="228"/>
      <c r="G43" s="228"/>
      <c r="J43" s="261"/>
      <c r="K43" s="46"/>
      <c r="L43" s="46"/>
      <c r="M43" s="38">
        <f>P41</f>
        <v>8.7136980000000008</v>
      </c>
      <c r="N43" s="12">
        <v>1200</v>
      </c>
      <c r="O43" s="12">
        <f t="shared" ref="O43:O48" si="15">M43*N43</f>
        <v>10456.437600000001</v>
      </c>
      <c r="P43" s="14" t="s">
        <v>21</v>
      </c>
      <c r="Q43" s="14"/>
      <c r="R43" s="14"/>
      <c r="S43" s="238"/>
      <c r="T43" s="14"/>
      <c r="U43" s="289" t="s">
        <v>145</v>
      </c>
      <c r="V43" s="286">
        <v>3625</v>
      </c>
      <c r="W43" s="58" t="s">
        <v>146</v>
      </c>
      <c r="X43" s="291"/>
    </row>
    <row r="44" spans="1:24" ht="17.399999999999999" x14ac:dyDescent="0.35">
      <c r="A44" s="228"/>
      <c r="B44" s="228"/>
      <c r="C44" s="228"/>
      <c r="D44" s="228"/>
      <c r="E44" s="228"/>
      <c r="F44" s="228"/>
      <c r="G44" s="228"/>
      <c r="H44" s="228"/>
      <c r="J44" s="261"/>
      <c r="K44" s="46"/>
      <c r="L44" s="46"/>
      <c r="M44" s="245">
        <v>2.5</v>
      </c>
      <c r="N44" s="12">
        <v>40000</v>
      </c>
      <c r="O44" s="12">
        <f t="shared" si="15"/>
        <v>100000</v>
      </c>
      <c r="P44" s="38" t="s">
        <v>31</v>
      </c>
      <c r="Q44" s="41"/>
      <c r="R44" s="14"/>
      <c r="S44" s="237"/>
      <c r="T44" s="14"/>
      <c r="U44" s="289"/>
      <c r="V44" s="58">
        <v>906.25</v>
      </c>
      <c r="W44" s="58" t="s">
        <v>147</v>
      </c>
      <c r="X44" s="291"/>
    </row>
    <row r="45" spans="1:24" s="228" customFormat="1" ht="17.399999999999999" x14ac:dyDescent="0.35">
      <c r="B45" s="23" t="s">
        <v>143</v>
      </c>
      <c r="J45" s="258"/>
      <c r="K45" s="230"/>
      <c r="L45" s="246"/>
      <c r="M45" s="14"/>
      <c r="N45" s="246">
        <v>15700</v>
      </c>
      <c r="O45" s="12">
        <f t="shared" si="15"/>
        <v>0</v>
      </c>
      <c r="P45" s="38" t="s">
        <v>30</v>
      </c>
      <c r="Q45" s="41"/>
      <c r="S45" s="237"/>
      <c r="T45" s="252"/>
      <c r="U45" s="58"/>
      <c r="V45" s="58">
        <f>V44*20%</f>
        <v>181.25</v>
      </c>
      <c r="W45" s="291" t="s">
        <v>148</v>
      </c>
      <c r="X45" s="58"/>
    </row>
    <row r="46" spans="1:24" s="228" customFormat="1" ht="17.399999999999999" x14ac:dyDescent="0.35">
      <c r="B46" s="23" t="s">
        <v>156</v>
      </c>
      <c r="C46"/>
      <c r="D46"/>
      <c r="E46"/>
      <c r="F46"/>
      <c r="J46" s="258"/>
      <c r="K46" s="230"/>
      <c r="L46" s="246"/>
      <c r="M46" s="14">
        <v>4</v>
      </c>
      <c r="N46" s="246">
        <v>29700</v>
      </c>
      <c r="O46" s="12">
        <f t="shared" si="15"/>
        <v>118800</v>
      </c>
      <c r="P46" s="14" t="s">
        <v>134</v>
      </c>
      <c r="Q46" s="17"/>
      <c r="S46" s="235"/>
      <c r="T46" s="252"/>
      <c r="U46" s="58"/>
      <c r="V46" s="58">
        <f>V44+V45</f>
        <v>1087.5</v>
      </c>
      <c r="W46" s="291" t="s">
        <v>149</v>
      </c>
      <c r="X46" s="58"/>
    </row>
    <row r="47" spans="1:24" s="228" customFormat="1" ht="17.399999999999999" x14ac:dyDescent="0.35">
      <c r="A47" s="228" t="s">
        <v>275</v>
      </c>
      <c r="B47" s="28" t="s">
        <v>123</v>
      </c>
      <c r="C47"/>
      <c r="D47"/>
      <c r="E47"/>
      <c r="F47"/>
      <c r="J47" s="258"/>
      <c r="K47" s="256"/>
      <c r="L47" s="246"/>
      <c r="M47" s="245"/>
      <c r="N47" s="246">
        <v>339</v>
      </c>
      <c r="O47" s="12">
        <f t="shared" si="15"/>
        <v>0</v>
      </c>
      <c r="P47" s="14" t="s">
        <v>278</v>
      </c>
      <c r="Q47" s="14"/>
      <c r="R47" s="228">
        <v>1.52</v>
      </c>
      <c r="S47" s="235"/>
      <c r="T47" s="235"/>
    </row>
    <row r="48" spans="1:24" s="228" customFormat="1" ht="17.399999999999999" x14ac:dyDescent="0.35">
      <c r="J48" s="281"/>
      <c r="K48" s="256"/>
      <c r="L48" s="246"/>
      <c r="M48" s="262"/>
      <c r="N48" s="12">
        <v>1500</v>
      </c>
      <c r="O48" s="12">
        <f t="shared" si="15"/>
        <v>0</v>
      </c>
      <c r="P48" s="14" t="s">
        <v>22</v>
      </c>
      <c r="Q48" s="14"/>
      <c r="R48">
        <v>2.44</v>
      </c>
      <c r="S48"/>
      <c r="T48" s="235"/>
      <c r="X48" s="229"/>
    </row>
    <row r="49" spans="2:24" s="228" customFormat="1" ht="17.399999999999999" x14ac:dyDescent="0.35">
      <c r="K49" s="256"/>
      <c r="L49" s="246"/>
      <c r="M49" s="14"/>
      <c r="N49" s="12"/>
      <c r="O49" s="12">
        <f>SUM(O43:O48)</f>
        <v>229256.4376</v>
      </c>
      <c r="P49" s="38" t="s">
        <v>23</v>
      </c>
      <c r="Q49" s="14"/>
      <c r="R49">
        <f>R47*R48</f>
        <v>3.7088000000000001</v>
      </c>
      <c r="S49"/>
      <c r="T49" s="235"/>
      <c r="X49" s="229"/>
    </row>
    <row r="50" spans="2:24" s="228" customFormat="1" ht="17.399999999999999" x14ac:dyDescent="0.35">
      <c r="L50" s="246"/>
      <c r="M50" s="250" t="s">
        <v>33</v>
      </c>
      <c r="N50" s="12"/>
      <c r="O50" s="251">
        <f>O49*2</f>
        <v>458512.87520000001</v>
      </c>
      <c r="P50" s="14" t="s">
        <v>133</v>
      </c>
      <c r="Q50" s="14"/>
      <c r="R50" s="39">
        <f>P41/R49</f>
        <v>2.3494655953408112</v>
      </c>
      <c r="S50"/>
      <c r="T50" s="253"/>
    </row>
    <row r="51" spans="2:24" s="228" customFormat="1" ht="17.399999999999999" x14ac:dyDescent="0.35">
      <c r="G51"/>
      <c r="H51" s="256"/>
      <c r="I51" s="256"/>
      <c r="J51" s="256"/>
      <c r="K51" s="228">
        <v>80000</v>
      </c>
      <c r="L51" s="246"/>
      <c r="M51" s="14"/>
      <c r="N51" s="12"/>
      <c r="O51" s="12">
        <f>O50/P39</f>
        <v>63143.736475604266</v>
      </c>
      <c r="P51" s="44" t="s">
        <v>24</v>
      </c>
      <c r="Q51" s="14"/>
      <c r="R51" s="14"/>
      <c r="S51"/>
      <c r="T51" s="235"/>
      <c r="U51" s="58" t="s">
        <v>150</v>
      </c>
      <c r="V51" s="286">
        <v>43650</v>
      </c>
    </row>
    <row r="52" spans="2:24" s="228" customFormat="1" ht="17.399999999999999" x14ac:dyDescent="0.35">
      <c r="G52"/>
      <c r="K52" s="228">
        <f>K51/1.19</f>
        <v>67226.890756302528</v>
      </c>
      <c r="L52" s="246"/>
      <c r="M52" s="13"/>
      <c r="N52" s="14"/>
      <c r="O52" s="17">
        <f>O50/O49</f>
        <v>2</v>
      </c>
      <c r="P52" s="15"/>
      <c r="Q52"/>
      <c r="R52"/>
      <c r="S52"/>
      <c r="T52" s="235"/>
      <c r="U52" s="58" t="s">
        <v>152</v>
      </c>
      <c r="V52" s="287" t="s">
        <v>151</v>
      </c>
      <c r="W52" s="58">
        <v>2.4</v>
      </c>
    </row>
    <row r="53" spans="2:24" s="228" customFormat="1" ht="17.399999999999999" x14ac:dyDescent="0.35">
      <c r="G53" s="22"/>
      <c r="K53" s="228">
        <f>K52/16</f>
        <v>4201.680672268908</v>
      </c>
      <c r="L53" s="12"/>
      <c r="T53" s="235"/>
      <c r="U53" s="58" t="s">
        <v>153</v>
      </c>
      <c r="V53" s="288">
        <v>395.37</v>
      </c>
    </row>
    <row r="54" spans="2:24" s="228" customFormat="1" ht="17.399999999999999" x14ac:dyDescent="0.35">
      <c r="B54"/>
      <c r="C54" s="227"/>
      <c r="D54" s="21"/>
      <c r="E54" s="21"/>
      <c r="F54" s="21"/>
      <c r="G54" s="22"/>
      <c r="K54" s="228">
        <f>K53/4</f>
        <v>1050.420168067227</v>
      </c>
      <c r="L54" s="12"/>
      <c r="T54" s="235"/>
      <c r="U54" s="58" t="s">
        <v>148</v>
      </c>
      <c r="V54" s="58">
        <v>474.45</v>
      </c>
    </row>
    <row r="55" spans="2:24" ht="14.4" customHeight="1" x14ac:dyDescent="0.3">
      <c r="L55" s="12"/>
      <c r="U55" s="58"/>
      <c r="V55" s="58"/>
    </row>
    <row r="56" spans="2:24" x14ac:dyDescent="0.3">
      <c r="L56" s="246"/>
    </row>
    <row r="57" spans="2:24" x14ac:dyDescent="0.3">
      <c r="L57" s="246"/>
      <c r="T57" s="266"/>
    </row>
    <row r="58" spans="2:24" x14ac:dyDescent="0.3">
      <c r="L58" s="246"/>
    </row>
    <row r="59" spans="2:24" ht="15" customHeight="1" x14ac:dyDescent="0.3"/>
    <row r="61" spans="2:24" x14ac:dyDescent="0.3">
      <c r="O61">
        <v>40935</v>
      </c>
      <c r="P61" t="s">
        <v>16</v>
      </c>
      <c r="Q61" t="s">
        <v>26</v>
      </c>
    </row>
    <row r="63" spans="2:24" x14ac:dyDescent="0.3">
      <c r="O63" s="53"/>
      <c r="P63" s="53"/>
    </row>
    <row r="64" spans="2:24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5" spans="15:20" x14ac:dyDescent="0.3">
      <c r="O75" s="42"/>
    </row>
    <row r="76" spans="15:20" x14ac:dyDescent="0.3">
      <c r="O76" s="42"/>
    </row>
    <row r="77" spans="15:20" x14ac:dyDescent="0.3">
      <c r="O77" s="6"/>
    </row>
    <row r="78" spans="15:20" x14ac:dyDescent="0.3">
      <c r="O78" s="6"/>
    </row>
    <row r="86" spans="3:3" x14ac:dyDescent="0.3">
      <c r="C86" t="s">
        <v>140</v>
      </c>
    </row>
    <row r="87" spans="3:3" x14ac:dyDescent="0.3">
      <c r="C87" t="s">
        <v>139</v>
      </c>
    </row>
    <row r="90" spans="3:3" x14ac:dyDescent="0.3">
      <c r="C90" t="s">
        <v>139</v>
      </c>
    </row>
    <row r="167" spans="3:3" x14ac:dyDescent="0.3">
      <c r="C167" t="s">
        <v>139</v>
      </c>
    </row>
    <row r="168" spans="3:3" x14ac:dyDescent="0.3">
      <c r="C168" t="s">
        <v>141</v>
      </c>
    </row>
    <row r="169" spans="3:3" x14ac:dyDescent="0.3">
      <c r="C169" t="s">
        <v>142</v>
      </c>
    </row>
    <row r="594" spans="3:3" x14ac:dyDescent="0.3">
      <c r="C594" t="s">
        <v>139</v>
      </c>
    </row>
  </sheetData>
  <mergeCells count="1">
    <mergeCell ref="B19:H19"/>
  </mergeCells>
  <phoneticPr fontId="31" type="noConversion"/>
  <pageMargins left="0.23622047244094491" right="0.23622047244094491" top="0.74803149606299213" bottom="0.74803149606299213" header="0.31496062992125984" footer="0.31496062992125984"/>
  <pageSetup scale="63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46029</v>
      </c>
    </row>
    <row r="6" spans="2:31" ht="16.2" thickBot="1" x14ac:dyDescent="0.35">
      <c r="B6" s="139" t="s">
        <v>2</v>
      </c>
      <c r="C6" s="138" t="str">
        <f>'2229'!C10</f>
        <v>GONZALO PEÑA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0" t="s">
        <v>98</v>
      </c>
      <c r="I7" s="431"/>
      <c r="J7" s="431"/>
      <c r="K7" s="432"/>
      <c r="N7" s="74"/>
      <c r="O7" s="429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11823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29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-57838.917226787446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'2229'!H37</f>
        <v>578512.87520000001</v>
      </c>
      <c r="E11" s="131">
        <f>D11*0.19</f>
        <v>109917.44628800001</v>
      </c>
      <c r="F11" s="130">
        <f>E11+D11</f>
        <v>688430.32148799999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48151.082773212554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140290.52838743961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30151.082773212554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438222.3468125604</v>
      </c>
      <c r="E13" s="220">
        <f>(D11/D12)-1</f>
        <v>3.1236773561955946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21151.082773212554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-17848.917226787446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231479.37183927535</v>
      </c>
      <c r="F15" s="215">
        <f>E15-D12</f>
        <v>91188.843451835739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-17848.917226787446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22151.082773212554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'2229'!O45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'2229'!O44</f>
        <v>100000</v>
      </c>
      <c r="E19" s="122">
        <f>D19*0.19</f>
        <v>19000</v>
      </c>
      <c r="F19" s="119">
        <f>SUM(D19:E19)</f>
        <v>119000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'2229'!O43</f>
        <v>10456.437600000001</v>
      </c>
      <c r="E20" s="120">
        <f>D20*0.19</f>
        <v>1986.7231440000003</v>
      </c>
      <c r="F20" s="119">
        <f>SUM(D20:E20)</f>
        <v>12443.160744000001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110456.4376</v>
      </c>
      <c r="E21" s="115">
        <f>SUM(E18:E20)</f>
        <v>20986.723144</v>
      </c>
      <c r="F21" s="114">
        <f>SUM(F18:F20)</f>
        <v>131443.16074399999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88930.723144000003</v>
      </c>
    </row>
    <row r="41" spans="2:16" ht="15" thickBot="1" x14ac:dyDescent="0.35">
      <c r="H41" s="433" t="s">
        <v>60</v>
      </c>
      <c r="I41" s="434"/>
      <c r="J41" s="434"/>
      <c r="K41" s="434"/>
      <c r="L41" s="434"/>
      <c r="M41" s="435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578512.87520000001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110456.4376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438222.3468125604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438222.3468125604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39" t="s">
        <v>135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131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136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157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158</v>
      </c>
      <c r="G7" s="137"/>
      <c r="H7" s="137"/>
      <c r="I7" s="137"/>
    </row>
    <row r="8" spans="1:17" ht="16.2" thickBot="1" x14ac:dyDescent="0.35">
      <c r="A8" s="137"/>
      <c r="B8" s="308" t="s">
        <v>124</v>
      </c>
      <c r="C8" s="309"/>
      <c r="D8" s="310" t="str">
        <f>'2229'!D8</f>
        <v>N° 11823</v>
      </c>
      <c r="E8" s="137"/>
      <c r="F8" s="311" t="s">
        <v>159</v>
      </c>
      <c r="G8" s="312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2" t="s">
        <v>160</v>
      </c>
      <c r="C10" s="343" t="str">
        <f>IF('2229'!C10="","",'2229'!C10)</f>
        <v>GONZALO PEÑA</v>
      </c>
      <c r="D10" s="343"/>
      <c r="E10" s="343"/>
      <c r="F10" s="344" t="s">
        <v>161</v>
      </c>
      <c r="G10" s="345">
        <f>'2229'!G10</f>
        <v>46029</v>
      </c>
      <c r="H10" s="346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2" t="s">
        <v>12</v>
      </c>
      <c r="C11" s="243" t="str">
        <f>IF('2229'!C11="","",'2229'!C11)</f>
        <v/>
      </c>
      <c r="D11" s="338"/>
      <c r="E11" s="338"/>
      <c r="F11" s="338" t="s">
        <v>162</v>
      </c>
      <c r="G11" s="333">
        <f>WORKDAY(G10,5)</f>
        <v>46036</v>
      </c>
      <c r="H11" s="334"/>
      <c r="I11" s="137"/>
    </row>
    <row r="12" spans="1:17" ht="15.6" x14ac:dyDescent="0.3">
      <c r="A12" s="137"/>
      <c r="B12" s="347" t="s">
        <v>163</v>
      </c>
      <c r="C12" s="348" t="str">
        <f>IF('2229'!C12="","",'2229'!C12)</f>
        <v/>
      </c>
      <c r="D12" s="348"/>
      <c r="E12" s="348"/>
      <c r="F12" s="348" t="s">
        <v>173</v>
      </c>
      <c r="G12" s="348" t="str">
        <f>'2229'!G14</f>
        <v>NO</v>
      </c>
      <c r="H12" s="349"/>
      <c r="I12" s="137"/>
    </row>
    <row r="13" spans="1:17" ht="15.6" x14ac:dyDescent="0.3">
      <c r="A13" s="137"/>
      <c r="B13" s="242" t="s">
        <v>138</v>
      </c>
      <c r="C13" s="243" t="str">
        <f>IF('2229'!C13="","",'2229'!C13)</f>
        <v/>
      </c>
      <c r="D13" s="243"/>
      <c r="E13" s="243"/>
      <c r="F13" s="243" t="s">
        <v>164</v>
      </c>
      <c r="G13" s="339"/>
      <c r="H13" s="244"/>
      <c r="I13" s="137"/>
    </row>
    <row r="14" spans="1:17" ht="15.6" x14ac:dyDescent="0.3">
      <c r="A14" s="137"/>
      <c r="B14" s="347" t="s">
        <v>132</v>
      </c>
      <c r="C14" s="348" t="str">
        <f>IF('2229'!C14="","",'2229'!C14)</f>
        <v/>
      </c>
      <c r="D14" s="348"/>
      <c r="E14" s="348"/>
      <c r="F14" s="348" t="s">
        <v>165</v>
      </c>
      <c r="G14" s="350" t="s">
        <v>166</v>
      </c>
      <c r="H14" s="349"/>
      <c r="I14" s="137"/>
    </row>
    <row r="15" spans="1:17" ht="15.6" x14ac:dyDescent="0.3">
      <c r="A15" s="137"/>
      <c r="B15" s="332" t="s">
        <v>4</v>
      </c>
      <c r="C15" s="243" t="str">
        <f>IF('2229'!C15="","",'2229'!C15)</f>
        <v>+569 8466 2944</v>
      </c>
      <c r="D15" s="340"/>
      <c r="E15" s="338"/>
      <c r="F15" s="338" t="s">
        <v>167</v>
      </c>
      <c r="G15" s="338" t="str">
        <f>'2229'!G12</f>
        <v>NO</v>
      </c>
      <c r="H15" s="334"/>
      <c r="I15" s="137"/>
    </row>
    <row r="16" spans="1:17" ht="15.6" x14ac:dyDescent="0.3">
      <c r="A16" s="137"/>
      <c r="B16" s="347" t="s">
        <v>3</v>
      </c>
      <c r="C16" s="348" t="str">
        <f>IF('2229'!C16="","",'2229'!C16)</f>
        <v/>
      </c>
      <c r="D16" s="348"/>
      <c r="E16" s="348"/>
      <c r="F16" s="348" t="s">
        <v>168</v>
      </c>
      <c r="G16" s="348" t="str">
        <f>'2229'!G16</f>
        <v>ABONO 50% SALDO C/ENTREGA</v>
      </c>
      <c r="H16" s="349"/>
      <c r="I16" s="137"/>
    </row>
    <row r="17" spans="1:16" ht="16.2" thickBot="1" x14ac:dyDescent="0.35">
      <c r="A17" s="137"/>
      <c r="B17" s="335" t="s">
        <v>13</v>
      </c>
      <c r="C17" s="341" t="str">
        <f>IF('2229'!C17="","",'2229'!C17)</f>
        <v>SANTIAGO</v>
      </c>
      <c r="D17" s="336"/>
      <c r="E17" s="337"/>
      <c r="F17" s="436" t="s">
        <v>169</v>
      </c>
      <c r="G17" s="436"/>
      <c r="H17" s="437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38" t="s">
        <v>170</v>
      </c>
      <c r="C20" s="439"/>
      <c r="D20" s="439"/>
      <c r="E20" s="439"/>
      <c r="F20" s="439"/>
      <c r="G20" s="439"/>
      <c r="H20" s="440"/>
      <c r="I20" s="137"/>
    </row>
    <row r="21" spans="1:16" ht="16.2" thickBot="1" x14ac:dyDescent="0.35">
      <c r="A21" s="137"/>
      <c r="B21" s="351" t="s">
        <v>7</v>
      </c>
      <c r="C21" s="352" t="s">
        <v>1</v>
      </c>
      <c r="D21" s="352" t="s">
        <v>10</v>
      </c>
      <c r="E21" s="352" t="s">
        <v>11</v>
      </c>
      <c r="F21" s="353" t="s">
        <v>8</v>
      </c>
      <c r="G21" s="351" t="s">
        <v>5</v>
      </c>
      <c r="H21" s="353" t="s">
        <v>6</v>
      </c>
      <c r="I21" s="137"/>
    </row>
    <row r="22" spans="1:16" ht="15.6" x14ac:dyDescent="0.3">
      <c r="A22" s="137"/>
      <c r="B22" s="305">
        <f>'2229'!B21</f>
        <v>1</v>
      </c>
      <c r="C22" s="306" t="str">
        <f>'2229'!C21</f>
        <v>PR6 / 2 FRENTES</v>
      </c>
      <c r="D22" s="314">
        <f>'2229'!D21*1000</f>
        <v>730</v>
      </c>
      <c r="E22" s="314">
        <f>'2229'!E21*1000</f>
        <v>570</v>
      </c>
      <c r="F22" s="315" t="e">
        <f>'2229'!#REF!</f>
        <v>#REF!</v>
      </c>
      <c r="G22" s="307">
        <f>'2229'!G21</f>
        <v>32941.103390454889</v>
      </c>
      <c r="H22" s="316">
        <f>G22*B22</f>
        <v>32941.103390454889</v>
      </c>
      <c r="I22" s="137"/>
      <c r="K22" s="5"/>
      <c r="L22" s="260"/>
      <c r="M22" s="5"/>
      <c r="N22" s="5"/>
      <c r="O22" s="260"/>
      <c r="P22" s="46"/>
    </row>
    <row r="23" spans="1:16" ht="15.6" x14ac:dyDescent="0.3">
      <c r="A23" s="137"/>
      <c r="B23" s="278"/>
      <c r="C23" s="278"/>
      <c r="D23" s="278"/>
      <c r="E23" s="278"/>
      <c r="F23" s="278"/>
      <c r="G23" s="317"/>
      <c r="H23" s="317"/>
      <c r="I23" s="137"/>
      <c r="K23" s="5"/>
      <c r="L23" s="260"/>
      <c r="M23" s="5"/>
      <c r="N23" s="5"/>
      <c r="O23" s="260"/>
      <c r="P23" s="46"/>
    </row>
    <row r="24" spans="1:16" ht="16.2" thickBot="1" x14ac:dyDescent="0.35">
      <c r="A24" s="137"/>
      <c r="B24" s="278"/>
      <c r="C24" s="278"/>
      <c r="D24" s="278"/>
      <c r="E24" s="278"/>
      <c r="F24" s="318"/>
      <c r="G24" s="317"/>
      <c r="H24" s="317"/>
      <c r="I24" s="137"/>
      <c r="K24" s="5"/>
      <c r="L24" s="260"/>
      <c r="M24" s="5"/>
      <c r="N24" s="5"/>
      <c r="O24" s="260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0" t="s">
        <v>28</v>
      </c>
      <c r="H25" s="321">
        <f>SUM(H22:H24)</f>
        <v>32941.103390454889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2" t="s">
        <v>29</v>
      </c>
      <c r="H26" s="323">
        <f>H25*19%</f>
        <v>6258.8096441864291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24" t="s">
        <v>6</v>
      </c>
      <c r="H27" s="325">
        <f>H25+H26</f>
        <v>39199.913034641315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26"/>
      <c r="H28" s="327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28" t="s">
        <v>171</v>
      </c>
      <c r="C30" s="329"/>
      <c r="D30" s="330"/>
      <c r="E30" s="330"/>
      <c r="F30" s="319"/>
      <c r="G30" s="137"/>
      <c r="H30" s="137"/>
      <c r="I30" s="137"/>
    </row>
    <row r="31" spans="1:16" ht="15.6" x14ac:dyDescent="0.3">
      <c r="A31" s="137"/>
      <c r="B31" s="328" t="s">
        <v>172</v>
      </c>
      <c r="C31" s="329"/>
      <c r="D31" s="330"/>
      <c r="E31" s="330"/>
      <c r="F31" s="319"/>
      <c r="G31" s="137"/>
      <c r="H31" s="137"/>
      <c r="I31" s="137"/>
    </row>
    <row r="32" spans="1:16" ht="15.6" x14ac:dyDescent="0.3">
      <c r="A32" s="137"/>
      <c r="B32" s="137" t="s">
        <v>123</v>
      </c>
      <c r="C32" s="137"/>
      <c r="D32" s="137"/>
      <c r="E32" s="331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1" t="s">
        <v>174</v>
      </c>
      <c r="C2" s="441"/>
      <c r="D2" s="441"/>
      <c r="E2" s="354"/>
      <c r="G2" s="441" t="s">
        <v>175</v>
      </c>
      <c r="H2" s="441"/>
      <c r="I2" s="441"/>
      <c r="P2" s="442" t="s">
        <v>176</v>
      </c>
      <c r="Q2" s="442"/>
      <c r="R2" s="442"/>
    </row>
    <row r="3" spans="2:18" x14ac:dyDescent="0.3">
      <c r="B3" s="356" t="s">
        <v>126</v>
      </c>
      <c r="C3" s="356" t="s">
        <v>11</v>
      </c>
      <c r="D3" s="356" t="s">
        <v>1</v>
      </c>
      <c r="E3" s="357"/>
      <c r="G3" s="356" t="s">
        <v>126</v>
      </c>
      <c r="H3" s="356" t="s">
        <v>11</v>
      </c>
      <c r="I3" s="356" t="s">
        <v>1</v>
      </c>
      <c r="P3" s="356" t="s">
        <v>126</v>
      </c>
      <c r="Q3" s="356" t="s">
        <v>11</v>
      </c>
      <c r="R3" s="356" t="s">
        <v>1</v>
      </c>
    </row>
    <row r="4" spans="2:18" x14ac:dyDescent="0.3">
      <c r="B4" s="358">
        <v>40</v>
      </c>
      <c r="C4" s="358">
        <v>60</v>
      </c>
      <c r="D4" s="359" t="s">
        <v>177</v>
      </c>
      <c r="E4" s="243" t="s">
        <v>178</v>
      </c>
      <c r="G4" s="355">
        <v>50</v>
      </c>
      <c r="H4" s="355">
        <v>100</v>
      </c>
      <c r="I4" s="360" t="s">
        <v>177</v>
      </c>
      <c r="J4" s="53" t="s">
        <v>179</v>
      </c>
      <c r="K4" s="53"/>
      <c r="L4" s="53"/>
      <c r="M4" s="53"/>
      <c r="P4">
        <v>50</v>
      </c>
      <c r="Q4">
        <v>-30</v>
      </c>
      <c r="R4" t="s">
        <v>180</v>
      </c>
    </row>
    <row r="5" spans="2:18" x14ac:dyDescent="0.3">
      <c r="B5" s="358">
        <v>40</v>
      </c>
      <c r="C5" s="358">
        <v>90</v>
      </c>
      <c r="D5" s="359" t="s">
        <v>181</v>
      </c>
      <c r="E5" s="243" t="s">
        <v>182</v>
      </c>
      <c r="G5" s="355">
        <v>50</v>
      </c>
      <c r="H5" s="355"/>
      <c r="I5" s="360" t="s">
        <v>183</v>
      </c>
      <c r="J5" s="53" t="s">
        <v>184</v>
      </c>
      <c r="K5" s="53"/>
      <c r="L5" s="53"/>
      <c r="M5" s="53"/>
      <c r="P5">
        <v>50</v>
      </c>
      <c r="Q5">
        <v>-30</v>
      </c>
      <c r="R5" t="s">
        <v>180</v>
      </c>
    </row>
    <row r="6" spans="2:18" x14ac:dyDescent="0.3">
      <c r="B6" s="358">
        <v>40</v>
      </c>
      <c r="C6" s="358">
        <v>100</v>
      </c>
      <c r="D6" s="359" t="s">
        <v>185</v>
      </c>
      <c r="E6" s="243" t="s">
        <v>186</v>
      </c>
      <c r="G6" s="358">
        <v>50</v>
      </c>
      <c r="H6" s="358">
        <v>100</v>
      </c>
      <c r="I6" s="359" t="s">
        <v>185</v>
      </c>
      <c r="P6">
        <v>50</v>
      </c>
      <c r="Q6">
        <v>-30</v>
      </c>
      <c r="R6" t="s">
        <v>187</v>
      </c>
    </row>
    <row r="7" spans="2:18" x14ac:dyDescent="0.3">
      <c r="B7" s="358">
        <v>40</v>
      </c>
      <c r="C7" s="358">
        <v>150</v>
      </c>
      <c r="D7" s="359" t="s">
        <v>188</v>
      </c>
      <c r="E7" s="243" t="s">
        <v>189</v>
      </c>
      <c r="G7" s="358">
        <v>50</v>
      </c>
      <c r="H7" s="358"/>
      <c r="I7" s="359" t="s">
        <v>188</v>
      </c>
      <c r="P7">
        <v>50</v>
      </c>
      <c r="Q7">
        <v>-30</v>
      </c>
      <c r="R7" t="s">
        <v>190</v>
      </c>
    </row>
    <row r="8" spans="2:18" x14ac:dyDescent="0.3">
      <c r="B8" s="358">
        <v>40</v>
      </c>
      <c r="C8" s="358">
        <v>100</v>
      </c>
      <c r="D8" s="359" t="s">
        <v>191</v>
      </c>
      <c r="E8" s="243" t="s">
        <v>192</v>
      </c>
      <c r="G8" s="358">
        <v>50</v>
      </c>
      <c r="H8" s="358">
        <v>100</v>
      </c>
      <c r="I8" s="359" t="s">
        <v>191</v>
      </c>
      <c r="L8" s="442" t="s">
        <v>176</v>
      </c>
      <c r="M8" s="442"/>
      <c r="N8" s="442"/>
      <c r="P8">
        <v>50</v>
      </c>
      <c r="Q8">
        <v>-30</v>
      </c>
      <c r="R8" t="s">
        <v>193</v>
      </c>
    </row>
    <row r="9" spans="2:18" x14ac:dyDescent="0.3">
      <c r="B9" s="358">
        <v>40</v>
      </c>
      <c r="C9" s="358">
        <v>50</v>
      </c>
      <c r="D9" s="359" t="s">
        <v>194</v>
      </c>
      <c r="E9" s="243" t="s">
        <v>195</v>
      </c>
      <c r="G9" s="358">
        <v>50</v>
      </c>
      <c r="H9" s="358">
        <v>100</v>
      </c>
      <c r="I9" s="359" t="s">
        <v>196</v>
      </c>
      <c r="L9" s="356" t="s">
        <v>126</v>
      </c>
      <c r="M9" s="356" t="s">
        <v>11</v>
      </c>
      <c r="N9" s="356" t="s">
        <v>1</v>
      </c>
      <c r="P9">
        <v>50</v>
      </c>
      <c r="Q9">
        <v>0</v>
      </c>
      <c r="R9" t="s">
        <v>197</v>
      </c>
    </row>
    <row r="10" spans="2:18" x14ac:dyDescent="0.3">
      <c r="B10" s="358">
        <v>40</v>
      </c>
      <c r="C10" s="358">
        <v>80</v>
      </c>
      <c r="D10" s="359" t="s">
        <v>198</v>
      </c>
      <c r="E10" s="243" t="s">
        <v>199</v>
      </c>
      <c r="G10" s="358">
        <v>50</v>
      </c>
      <c r="H10" s="358"/>
      <c r="I10" s="359" t="s">
        <v>200</v>
      </c>
      <c r="L10" s="358">
        <v>50</v>
      </c>
      <c r="M10" s="358">
        <v>-30</v>
      </c>
      <c r="N10" s="359" t="s">
        <v>180</v>
      </c>
      <c r="P10">
        <v>50</v>
      </c>
      <c r="Q10">
        <v>0</v>
      </c>
      <c r="R10" t="s">
        <v>201</v>
      </c>
    </row>
    <row r="11" spans="2:18" x14ac:dyDescent="0.3">
      <c r="B11" s="358">
        <v>40</v>
      </c>
      <c r="C11" s="358">
        <v>60</v>
      </c>
      <c r="D11" s="359" t="s">
        <v>202</v>
      </c>
      <c r="E11" s="243" t="s">
        <v>203</v>
      </c>
      <c r="G11" s="358">
        <v>50</v>
      </c>
      <c r="H11" s="358">
        <v>100</v>
      </c>
      <c r="I11" s="359" t="s">
        <v>194</v>
      </c>
      <c r="L11" s="358">
        <v>50</v>
      </c>
      <c r="M11" s="358">
        <v>0</v>
      </c>
      <c r="N11" s="359" t="s">
        <v>204</v>
      </c>
      <c r="P11">
        <v>50</v>
      </c>
      <c r="Q11">
        <v>0</v>
      </c>
      <c r="R11" t="s">
        <v>205</v>
      </c>
    </row>
    <row r="12" spans="2:18" x14ac:dyDescent="0.3">
      <c r="B12" s="358">
        <v>40</v>
      </c>
      <c r="C12" s="358">
        <v>100</v>
      </c>
      <c r="D12" s="359" t="s">
        <v>206</v>
      </c>
      <c r="E12" s="243" t="s">
        <v>207</v>
      </c>
      <c r="G12" s="358">
        <v>50</v>
      </c>
      <c r="H12" s="358"/>
      <c r="I12" s="359" t="s">
        <v>198</v>
      </c>
      <c r="L12" s="358">
        <v>50</v>
      </c>
      <c r="M12" s="358">
        <v>-2</v>
      </c>
      <c r="N12" s="359" t="s">
        <v>208</v>
      </c>
      <c r="P12">
        <v>50</v>
      </c>
      <c r="Q12">
        <v>0</v>
      </c>
      <c r="R12" t="s">
        <v>209</v>
      </c>
    </row>
    <row r="13" spans="2:18" x14ac:dyDescent="0.3">
      <c r="B13" s="358">
        <v>40</v>
      </c>
      <c r="C13" s="358">
        <v>130</v>
      </c>
      <c r="D13" s="359" t="s">
        <v>210</v>
      </c>
      <c r="E13" s="243" t="s">
        <v>211</v>
      </c>
      <c r="G13" s="358">
        <v>50</v>
      </c>
      <c r="H13" s="358">
        <v>-30</v>
      </c>
      <c r="I13" s="359" t="s">
        <v>180</v>
      </c>
      <c r="P13">
        <v>50</v>
      </c>
      <c r="Q13">
        <v>0</v>
      </c>
      <c r="R13" t="s">
        <v>212</v>
      </c>
    </row>
    <row r="14" spans="2:18" x14ac:dyDescent="0.3">
      <c r="B14" s="358">
        <v>40</v>
      </c>
      <c r="C14" s="358">
        <v>150</v>
      </c>
      <c r="D14" s="359" t="s">
        <v>187</v>
      </c>
      <c r="E14" s="243"/>
      <c r="G14" s="358">
        <v>50</v>
      </c>
      <c r="H14" s="358">
        <v>-30</v>
      </c>
      <c r="I14" s="359" t="s">
        <v>187</v>
      </c>
    </row>
    <row r="15" spans="2:18" x14ac:dyDescent="0.3">
      <c r="B15" s="358">
        <v>40</v>
      </c>
      <c r="C15" s="358">
        <v>150</v>
      </c>
      <c r="D15" s="359" t="s">
        <v>213</v>
      </c>
      <c r="E15" s="243" t="s">
        <v>214</v>
      </c>
      <c r="G15" s="358">
        <v>50</v>
      </c>
      <c r="H15" s="358">
        <v>-30</v>
      </c>
      <c r="I15" s="359" t="s">
        <v>190</v>
      </c>
      <c r="P15">
        <v>50</v>
      </c>
      <c r="Q15">
        <v>0</v>
      </c>
      <c r="R15" t="s">
        <v>215</v>
      </c>
    </row>
    <row r="16" spans="2:18" x14ac:dyDescent="0.3">
      <c r="B16" s="358">
        <v>40</v>
      </c>
      <c r="C16" s="358">
        <v>130</v>
      </c>
      <c r="D16" s="359" t="s">
        <v>216</v>
      </c>
      <c r="E16" s="243" t="s">
        <v>217</v>
      </c>
      <c r="G16" s="358">
        <v>50</v>
      </c>
      <c r="H16" s="358">
        <v>-30</v>
      </c>
      <c r="I16" s="359" t="s">
        <v>218</v>
      </c>
      <c r="P16">
        <v>50</v>
      </c>
      <c r="Q16">
        <v>0</v>
      </c>
      <c r="R16" t="s">
        <v>219</v>
      </c>
    </row>
    <row r="17" spans="2:18" x14ac:dyDescent="0.3">
      <c r="B17" s="358">
        <v>40</v>
      </c>
      <c r="C17" s="358">
        <v>150</v>
      </c>
      <c r="D17" s="359" t="s">
        <v>205</v>
      </c>
      <c r="E17" s="243" t="s">
        <v>220</v>
      </c>
      <c r="G17" s="358">
        <v>50</v>
      </c>
      <c r="H17" s="358"/>
      <c r="I17" s="359" t="s">
        <v>205</v>
      </c>
      <c r="P17">
        <v>50</v>
      </c>
      <c r="Q17">
        <v>0</v>
      </c>
      <c r="R17" t="s">
        <v>221</v>
      </c>
    </row>
    <row r="18" spans="2:18" x14ac:dyDescent="0.3">
      <c r="B18" s="358">
        <v>140</v>
      </c>
      <c r="C18" s="358">
        <v>150</v>
      </c>
      <c r="D18" s="359" t="s">
        <v>209</v>
      </c>
      <c r="E18" s="243" t="s">
        <v>222</v>
      </c>
      <c r="G18" s="358">
        <v>50</v>
      </c>
      <c r="H18" s="358"/>
      <c r="I18" s="359" t="s">
        <v>209</v>
      </c>
      <c r="P18">
        <v>50</v>
      </c>
      <c r="Q18">
        <v>0</v>
      </c>
      <c r="R18" t="s">
        <v>223</v>
      </c>
    </row>
    <row r="19" spans="2:18" x14ac:dyDescent="0.3">
      <c r="B19" s="358">
        <v>150</v>
      </c>
      <c r="C19" s="358">
        <v>150</v>
      </c>
      <c r="D19" s="359" t="s">
        <v>212</v>
      </c>
      <c r="E19" s="243" t="s">
        <v>224</v>
      </c>
      <c r="G19" s="358">
        <v>50</v>
      </c>
      <c r="H19" s="358"/>
      <c r="I19" s="359" t="s">
        <v>212</v>
      </c>
      <c r="P19">
        <v>50</v>
      </c>
      <c r="Q19">
        <v>0</v>
      </c>
      <c r="R19" t="s">
        <v>225</v>
      </c>
    </row>
    <row r="20" spans="2:18" x14ac:dyDescent="0.3">
      <c r="B20" s="358">
        <v>40</v>
      </c>
      <c r="C20" s="358">
        <v>100</v>
      </c>
      <c r="D20" s="359" t="s">
        <v>226</v>
      </c>
      <c r="E20" s="243" t="s">
        <v>227</v>
      </c>
      <c r="G20" s="358">
        <v>50</v>
      </c>
      <c r="H20" s="358">
        <v>0</v>
      </c>
      <c r="I20" s="359" t="s">
        <v>226</v>
      </c>
      <c r="J20" s="53" t="s">
        <v>228</v>
      </c>
      <c r="K20" s="53"/>
      <c r="L20" s="53"/>
      <c r="M20" s="53"/>
      <c r="P20">
        <v>50</v>
      </c>
      <c r="Q20">
        <v>0</v>
      </c>
      <c r="R20" t="s">
        <v>229</v>
      </c>
    </row>
    <row r="21" spans="2:18" x14ac:dyDescent="0.3">
      <c r="B21" s="358">
        <v>100</v>
      </c>
      <c r="C21" s="358">
        <v>100</v>
      </c>
      <c r="D21" s="359" t="s">
        <v>230</v>
      </c>
      <c r="E21" s="243" t="s">
        <v>231</v>
      </c>
      <c r="G21" s="358">
        <v>50</v>
      </c>
      <c r="H21" s="358">
        <v>0</v>
      </c>
      <c r="I21" s="359" t="s">
        <v>230</v>
      </c>
      <c r="P21">
        <v>50</v>
      </c>
      <c r="Q21">
        <v>0</v>
      </c>
      <c r="R21" t="s">
        <v>232</v>
      </c>
    </row>
    <row r="22" spans="2:18" x14ac:dyDescent="0.3">
      <c r="B22" s="358">
        <v>100</v>
      </c>
      <c r="C22" s="358">
        <v>100</v>
      </c>
      <c r="D22" s="359" t="s">
        <v>215</v>
      </c>
      <c r="E22" s="243" t="s">
        <v>233</v>
      </c>
      <c r="G22" s="355"/>
      <c r="H22" s="355"/>
      <c r="I22" s="360" t="s">
        <v>215</v>
      </c>
      <c r="P22">
        <v>50</v>
      </c>
      <c r="Q22">
        <v>0</v>
      </c>
      <c r="R22" t="s">
        <v>234</v>
      </c>
    </row>
    <row r="23" spans="2:18" x14ac:dyDescent="0.3">
      <c r="B23" s="358">
        <v>40</v>
      </c>
      <c r="C23" s="358">
        <v>150</v>
      </c>
      <c r="D23" s="359" t="s">
        <v>219</v>
      </c>
      <c r="E23" s="243" t="s">
        <v>235</v>
      </c>
      <c r="G23" s="358">
        <v>50</v>
      </c>
      <c r="H23" s="358"/>
      <c r="I23" s="359" t="s">
        <v>219</v>
      </c>
      <c r="R23" t="s">
        <v>236</v>
      </c>
    </row>
    <row r="24" spans="2:18" x14ac:dyDescent="0.3">
      <c r="B24" s="358">
        <v>140</v>
      </c>
      <c r="C24" s="358">
        <v>150</v>
      </c>
      <c r="D24" s="359" t="s">
        <v>221</v>
      </c>
      <c r="E24" s="243" t="s">
        <v>237</v>
      </c>
      <c r="G24" s="358">
        <v>50</v>
      </c>
      <c r="H24" s="358"/>
      <c r="I24" s="359" t="s">
        <v>221</v>
      </c>
      <c r="R24" t="s">
        <v>238</v>
      </c>
    </row>
    <row r="25" spans="2:18" x14ac:dyDescent="0.3">
      <c r="B25" s="358">
        <v>150</v>
      </c>
      <c r="C25" s="358">
        <v>150</v>
      </c>
      <c r="D25" s="359" t="s">
        <v>223</v>
      </c>
      <c r="E25" s="243" t="s">
        <v>239</v>
      </c>
      <c r="G25" s="358">
        <v>50</v>
      </c>
      <c r="H25" s="358"/>
      <c r="I25" s="359" t="s">
        <v>223</v>
      </c>
      <c r="R25" t="s">
        <v>185</v>
      </c>
    </row>
    <row r="26" spans="2:18" x14ac:dyDescent="0.3">
      <c r="B26" s="358">
        <v>40</v>
      </c>
      <c r="C26" s="358">
        <v>77</v>
      </c>
      <c r="D26" s="359" t="s">
        <v>225</v>
      </c>
      <c r="E26" s="243" t="s">
        <v>240</v>
      </c>
      <c r="G26" s="358">
        <v>50</v>
      </c>
      <c r="H26" s="358"/>
      <c r="I26" s="359" t="s">
        <v>225</v>
      </c>
      <c r="R26" t="s">
        <v>188</v>
      </c>
    </row>
    <row r="27" spans="2:18" x14ac:dyDescent="0.3">
      <c r="B27" s="358">
        <v>110</v>
      </c>
      <c r="C27" s="358">
        <v>77</v>
      </c>
      <c r="D27" s="359" t="s">
        <v>229</v>
      </c>
      <c r="E27" s="243" t="s">
        <v>241</v>
      </c>
      <c r="G27" s="358">
        <v>50</v>
      </c>
      <c r="H27" s="358"/>
      <c r="I27" s="359" t="s">
        <v>229</v>
      </c>
      <c r="R27" t="s">
        <v>191</v>
      </c>
    </row>
    <row r="28" spans="2:18" x14ac:dyDescent="0.3">
      <c r="B28" s="358">
        <v>120</v>
      </c>
      <c r="C28" s="358">
        <v>77</v>
      </c>
      <c r="D28" s="359" t="s">
        <v>232</v>
      </c>
      <c r="E28" s="243" t="s">
        <v>242</v>
      </c>
      <c r="G28" s="358">
        <v>50</v>
      </c>
      <c r="H28" s="358"/>
      <c r="I28" s="359" t="s">
        <v>232</v>
      </c>
      <c r="R28" t="s">
        <v>196</v>
      </c>
    </row>
    <row r="29" spans="2:18" x14ac:dyDescent="0.3">
      <c r="B29" s="358">
        <v>40</v>
      </c>
      <c r="C29" s="358">
        <v>50</v>
      </c>
      <c r="D29" s="359" t="s">
        <v>234</v>
      </c>
      <c r="E29" s="243" t="s">
        <v>243</v>
      </c>
      <c r="G29" s="358">
        <v>50</v>
      </c>
      <c r="H29" s="358"/>
      <c r="I29" s="359" t="s">
        <v>234</v>
      </c>
      <c r="R29" t="s">
        <v>200</v>
      </c>
    </row>
    <row r="30" spans="2:18" x14ac:dyDescent="0.3">
      <c r="B30" s="358">
        <v>40</v>
      </c>
      <c r="C30" s="358">
        <v>60</v>
      </c>
      <c r="D30" s="359" t="s">
        <v>244</v>
      </c>
      <c r="E30" s="243" t="s">
        <v>245</v>
      </c>
      <c r="G30" s="358">
        <v>50</v>
      </c>
      <c r="H30" s="358"/>
      <c r="I30" s="359" t="s">
        <v>201</v>
      </c>
      <c r="R30" t="s">
        <v>194</v>
      </c>
    </row>
    <row r="31" spans="2:18" x14ac:dyDescent="0.3">
      <c r="B31" s="358">
        <v>40</v>
      </c>
      <c r="C31" s="358">
        <v>100</v>
      </c>
      <c r="D31" s="359" t="s">
        <v>197</v>
      </c>
      <c r="E31" s="243" t="s">
        <v>246</v>
      </c>
      <c r="G31" s="358">
        <v>50</v>
      </c>
      <c r="H31" s="358"/>
      <c r="I31" s="359" t="s">
        <v>197</v>
      </c>
      <c r="R31" t="s">
        <v>198</v>
      </c>
    </row>
    <row r="32" spans="2:18" x14ac:dyDescent="0.3">
      <c r="B32" s="358">
        <v>40</v>
      </c>
      <c r="C32" s="358">
        <v>60</v>
      </c>
      <c r="D32" s="359" t="s">
        <v>247</v>
      </c>
      <c r="E32" s="243" t="s">
        <v>248</v>
      </c>
      <c r="G32" s="358">
        <v>50</v>
      </c>
      <c r="H32" s="358"/>
      <c r="I32" s="359" t="s">
        <v>247</v>
      </c>
      <c r="R32" t="s">
        <v>249</v>
      </c>
    </row>
    <row r="33" spans="2:18" x14ac:dyDescent="0.3">
      <c r="B33" s="358">
        <v>40</v>
      </c>
      <c r="C33" s="358">
        <v>90</v>
      </c>
      <c r="D33" s="359" t="s">
        <v>250</v>
      </c>
      <c r="E33" s="243" t="s">
        <v>251</v>
      </c>
      <c r="G33" s="358">
        <v>50</v>
      </c>
      <c r="H33" s="358">
        <v>-2</v>
      </c>
      <c r="I33" s="359" t="s">
        <v>250</v>
      </c>
      <c r="R33" t="s">
        <v>252</v>
      </c>
    </row>
    <row r="34" spans="2:18" x14ac:dyDescent="0.3">
      <c r="B34" s="358">
        <v>40</v>
      </c>
      <c r="C34" s="358">
        <v>90</v>
      </c>
      <c r="D34" s="359" t="s">
        <v>253</v>
      </c>
      <c r="E34" s="243"/>
      <c r="G34" s="358">
        <v>50</v>
      </c>
      <c r="H34" s="358">
        <v>-2</v>
      </c>
      <c r="I34" s="359" t="s">
        <v>253</v>
      </c>
    </row>
    <row r="35" spans="2:18" x14ac:dyDescent="0.3">
      <c r="B35" s="358">
        <v>40</v>
      </c>
      <c r="C35" s="358">
        <v>90</v>
      </c>
      <c r="D35" s="359" t="s">
        <v>249</v>
      </c>
      <c r="E35" s="243" t="s">
        <v>254</v>
      </c>
      <c r="G35" s="358">
        <v>50</v>
      </c>
      <c r="H35" s="358">
        <v>-2</v>
      </c>
      <c r="I35" s="359" t="s">
        <v>249</v>
      </c>
      <c r="R35" t="s">
        <v>255</v>
      </c>
    </row>
    <row r="36" spans="2:18" x14ac:dyDescent="0.3">
      <c r="B36" s="361">
        <v>40</v>
      </c>
      <c r="C36" s="361">
        <v>90</v>
      </c>
      <c r="D36" s="362" t="s">
        <v>252</v>
      </c>
      <c r="G36" s="358">
        <v>50</v>
      </c>
      <c r="H36" s="358">
        <v>-2</v>
      </c>
      <c r="I36" s="359" t="s">
        <v>252</v>
      </c>
      <c r="R36" t="s">
        <v>250</v>
      </c>
    </row>
    <row r="37" spans="2:18" x14ac:dyDescent="0.3">
      <c r="B37" s="361">
        <v>40</v>
      </c>
      <c r="C37" s="361">
        <v>90</v>
      </c>
      <c r="D37" s="362" t="s">
        <v>255</v>
      </c>
      <c r="G37" s="358">
        <v>50</v>
      </c>
      <c r="H37" s="358">
        <v>-2</v>
      </c>
      <c r="I37" s="359" t="s">
        <v>255</v>
      </c>
      <c r="R37" t="s">
        <v>253</v>
      </c>
    </row>
    <row r="48" spans="2:18" x14ac:dyDescent="0.3">
      <c r="B48" s="358">
        <v>40</v>
      </c>
      <c r="C48" s="358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256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47" t="s">
        <v>257</v>
      </c>
      <c r="L3" s="447"/>
      <c r="M3" s="447" t="s">
        <v>258</v>
      </c>
      <c r="N3" s="447"/>
    </row>
    <row r="4" spans="1:14" ht="15.75" customHeight="1" x14ac:dyDescent="0.3">
      <c r="A4" s="137"/>
      <c r="B4" s="137"/>
      <c r="C4" s="363" t="s">
        <v>159</v>
      </c>
      <c r="D4" s="139" t="str">
        <f>IF('NOTA DE VENTA'!$G$8="","",'NOTA DE VENTA'!$G$8)</f>
        <v/>
      </c>
      <c r="E4" s="137"/>
      <c r="F4" s="137"/>
      <c r="G4" s="137"/>
      <c r="K4" t="s">
        <v>126</v>
      </c>
      <c r="L4" t="s">
        <v>11</v>
      </c>
      <c r="M4" t="s">
        <v>126</v>
      </c>
      <c r="N4" t="s">
        <v>11</v>
      </c>
    </row>
    <row r="5" spans="1:14" ht="18" customHeight="1" x14ac:dyDescent="0.3">
      <c r="A5" s="137"/>
      <c r="B5" s="137"/>
      <c r="C5" s="364" t="s">
        <v>259</v>
      </c>
      <c r="D5" s="365" t="str">
        <f>'NOTA DE VENTA'!$C$10</f>
        <v>GONZALO PEÑA</v>
      </c>
      <c r="E5" s="313"/>
      <c r="F5" s="313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66"/>
      <c r="D6" s="367"/>
      <c r="E6" s="137"/>
      <c r="F6" s="137"/>
      <c r="G6" s="137"/>
    </row>
    <row r="7" spans="1:14" ht="15.6" x14ac:dyDescent="0.3">
      <c r="A7" s="137"/>
      <c r="B7" s="137"/>
      <c r="C7" s="389" t="str">
        <f>'NOTA DE VENTA'!$F$10</f>
        <v>FECHA :</v>
      </c>
      <c r="D7" s="399">
        <f>'NOTA DE VENTA'!$G$10</f>
        <v>46029</v>
      </c>
      <c r="E7" s="137"/>
      <c r="F7" s="137"/>
      <c r="G7" s="137"/>
    </row>
    <row r="8" spans="1:14" ht="15.6" x14ac:dyDescent="0.3">
      <c r="A8" s="137"/>
      <c r="B8" s="137"/>
      <c r="C8" s="363" t="s">
        <v>260</v>
      </c>
      <c r="D8" s="398">
        <f>'NOTA DE VENTA'!$G$11</f>
        <v>46036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48" t="s">
        <v>257</v>
      </c>
      <c r="B10" s="448"/>
      <c r="C10" s="448"/>
      <c r="D10" s="448"/>
      <c r="E10" s="448"/>
      <c r="F10" s="448"/>
      <c r="G10" s="137"/>
    </row>
    <row r="11" spans="1:14" ht="15.6" x14ac:dyDescent="0.3">
      <c r="A11" s="137"/>
      <c r="B11" s="137"/>
      <c r="C11" s="369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26" t="s">
        <v>126</v>
      </c>
      <c r="E12" s="326" t="s">
        <v>11</v>
      </c>
      <c r="F12" s="137"/>
      <c r="G12" s="137"/>
    </row>
    <row r="13" spans="1:14" ht="15.6" x14ac:dyDescent="0.3">
      <c r="A13" s="326" t="s">
        <v>87</v>
      </c>
      <c r="B13" s="370" t="s">
        <v>96</v>
      </c>
      <c r="C13" s="370" t="s">
        <v>25</v>
      </c>
      <c r="D13" s="371">
        <v>80</v>
      </c>
      <c r="E13" s="371">
        <v>-30</v>
      </c>
      <c r="F13" s="370" t="s">
        <v>261</v>
      </c>
      <c r="G13" s="137"/>
      <c r="J13" s="372" t="s">
        <v>126</v>
      </c>
      <c r="K13" s="372" t="s">
        <v>11</v>
      </c>
    </row>
    <row r="14" spans="1:14" ht="15.6" x14ac:dyDescent="0.3">
      <c r="A14" s="373" t="s">
        <v>31</v>
      </c>
      <c r="B14" s="374">
        <f t="shared" ref="B14" si="0">I14</f>
        <v>1</v>
      </c>
      <c r="C14" s="374"/>
      <c r="D14" s="374">
        <f>LOOKUP(F14,REGLAS!$I$4:$I$37,REGLAS!$G$4:$G$37)+J14</f>
        <v>1850</v>
      </c>
      <c r="E14" s="375">
        <f>LOOKUP(F14,REGLAS!$I$4:$I$37,REGLAS!$H$4:$H$37)+K14</f>
        <v>470</v>
      </c>
      <c r="F14" s="376" t="str">
        <f>C27</f>
        <v>CUB C/R R8</v>
      </c>
      <c r="G14" s="137"/>
      <c r="I14" s="377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26"/>
      <c r="B15" s="51"/>
      <c r="C15" s="51"/>
      <c r="D15" s="51"/>
      <c r="E15" s="378"/>
      <c r="F15" s="51"/>
      <c r="G15" s="137"/>
      <c r="I15" s="379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48" t="s">
        <v>258</v>
      </c>
      <c r="B17" s="448"/>
      <c r="C17" s="448"/>
      <c r="D17" s="448"/>
      <c r="E17" s="448"/>
      <c r="F17" s="448"/>
      <c r="G17" s="137"/>
    </row>
    <row r="18" spans="1:11" ht="10.5" customHeight="1" x14ac:dyDescent="0.3">
      <c r="A18" s="137"/>
      <c r="B18" s="137"/>
      <c r="C18" s="369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26" t="s">
        <v>126</v>
      </c>
      <c r="E19" s="326" t="s">
        <v>11</v>
      </c>
      <c r="F19" s="137"/>
      <c r="G19" s="137"/>
    </row>
    <row r="20" spans="1:11" ht="15.6" x14ac:dyDescent="0.3">
      <c r="A20" s="326" t="s">
        <v>87</v>
      </c>
      <c r="B20" s="380" t="s">
        <v>96</v>
      </c>
      <c r="C20" s="380" t="s">
        <v>25</v>
      </c>
      <c r="D20" s="381">
        <v>40</v>
      </c>
      <c r="E20" s="381">
        <v>130</v>
      </c>
      <c r="F20" s="380" t="s">
        <v>261</v>
      </c>
      <c r="G20" s="137"/>
      <c r="J20" s="372" t="s">
        <v>126</v>
      </c>
      <c r="K20" s="372" t="s">
        <v>11</v>
      </c>
    </row>
    <row r="21" spans="1:11" ht="15.6" x14ac:dyDescent="0.3">
      <c r="A21" s="373" t="s">
        <v>262</v>
      </c>
      <c r="B21" s="382">
        <f t="shared" ref="B21" si="2">I21</f>
        <v>1</v>
      </c>
      <c r="C21" s="382"/>
      <c r="D21" s="382">
        <f>LOOKUP(F14,REGLAS!$D$4:$D$37,REGLAS!$B$4:$B$37)+J21</f>
        <v>1840</v>
      </c>
      <c r="E21" s="382">
        <f>LOOKUP(F14,REGLAS!$D$4:$D$37,REGLAS!$C$4:$C$37)+K21</f>
        <v>630</v>
      </c>
      <c r="F21" s="383" t="str">
        <f>C27</f>
        <v>CUB C/R R8</v>
      </c>
      <c r="G21" s="137"/>
      <c r="I21" s="377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84"/>
      <c r="B22" s="51"/>
      <c r="C22" s="51"/>
      <c r="D22" s="51"/>
      <c r="E22" s="51"/>
      <c r="F22" s="51"/>
      <c r="G22" s="137"/>
      <c r="I22" s="379"/>
      <c r="J22" s="6"/>
      <c r="K22" s="6"/>
    </row>
    <row r="23" spans="1:11" ht="16.2" thickBot="1" x14ac:dyDescent="0.35">
      <c r="A23" s="326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26"/>
      <c r="B24" s="385" t="s">
        <v>263</v>
      </c>
      <c r="C24" s="386"/>
      <c r="D24" s="386"/>
      <c r="E24" s="386"/>
      <c r="F24" s="387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26" t="s">
        <v>87</v>
      </c>
      <c r="B26" s="388" t="s">
        <v>96</v>
      </c>
      <c r="C26" s="388" t="s">
        <v>261</v>
      </c>
      <c r="D26" s="388" t="s">
        <v>126</v>
      </c>
      <c r="E26" s="388" t="s">
        <v>11</v>
      </c>
      <c r="F26" s="388" t="s">
        <v>8</v>
      </c>
      <c r="G26" s="137"/>
    </row>
    <row r="27" spans="1:11" ht="15.6" x14ac:dyDescent="0.3">
      <c r="A27" s="373" t="s">
        <v>31</v>
      </c>
      <c r="B27" s="374">
        <f>'[1]4637'!B21</f>
        <v>1</v>
      </c>
      <c r="C27" s="376" t="str">
        <f>'[1]4637'!C21</f>
        <v>CUB C/R R8</v>
      </c>
      <c r="D27" s="374">
        <f>'[1]4637'!D21</f>
        <v>1800</v>
      </c>
      <c r="E27" s="374">
        <f>'[1]4637'!E21</f>
        <v>500</v>
      </c>
      <c r="F27" s="374" t="str">
        <f>'[1]4637'!F21</f>
        <v>LATE 2167 MT</v>
      </c>
      <c r="G27" s="137"/>
    </row>
    <row r="28" spans="1:11" ht="15.6" x14ac:dyDescent="0.3">
      <c r="A28" s="384"/>
      <c r="B28" s="51"/>
      <c r="C28" s="51"/>
      <c r="D28" s="51"/>
      <c r="E28" s="51"/>
      <c r="F28" s="51"/>
      <c r="G28" s="137"/>
    </row>
    <row r="29" spans="1:11" ht="15.6" x14ac:dyDescent="0.3">
      <c r="A29" s="326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3" t="s">
        <v>159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64" t="s">
        <v>259</v>
      </c>
      <c r="D40" s="365" t="str">
        <f>'[1]4637'!C10</f>
        <v>FMR MAKING SPA</v>
      </c>
      <c r="E40" s="313"/>
      <c r="F40" s="313"/>
      <c r="G40" s="137"/>
    </row>
    <row r="41" spans="1:7" ht="4.5" customHeight="1" x14ac:dyDescent="0.3">
      <c r="A41" s="137"/>
      <c r="B41" s="137"/>
      <c r="C41" s="366"/>
      <c r="D41" s="367"/>
      <c r="E41" s="137"/>
      <c r="F41" s="137"/>
      <c r="G41" s="137"/>
    </row>
    <row r="42" spans="1:7" ht="15.6" x14ac:dyDescent="0.3">
      <c r="A42" s="137"/>
      <c r="B42" s="137"/>
      <c r="C42" s="389" t="str">
        <f>'[1]4637'!F11</f>
        <v>FECHA LIMITE :</v>
      </c>
      <c r="D42" s="368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48" t="s">
        <v>264</v>
      </c>
      <c r="B45" s="448"/>
      <c r="C45" s="448"/>
      <c r="D45" s="448"/>
      <c r="E45" s="448"/>
      <c r="F45" s="448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43" t="s">
        <v>95</v>
      </c>
      <c r="C47" s="444"/>
      <c r="D47" s="445"/>
      <c r="E47" s="445"/>
      <c r="F47" s="446"/>
      <c r="G47" s="137"/>
    </row>
    <row r="48" spans="1:7" s="58" customFormat="1" ht="12.75" customHeight="1" x14ac:dyDescent="0.3">
      <c r="A48" s="137"/>
      <c r="B48" s="380" t="s">
        <v>96</v>
      </c>
      <c r="C48" s="390" t="s">
        <v>25</v>
      </c>
      <c r="D48" s="391" t="s">
        <v>126</v>
      </c>
      <c r="E48" s="391" t="s">
        <v>11</v>
      </c>
      <c r="F48" s="392" t="s">
        <v>265</v>
      </c>
      <c r="G48" s="137"/>
    </row>
    <row r="49" spans="1:7" s="58" customFormat="1" ht="15" customHeight="1" x14ac:dyDescent="0.3">
      <c r="A49" s="373" t="s">
        <v>266</v>
      </c>
      <c r="B49" s="393">
        <f>'[1]4637'!B21</f>
        <v>1</v>
      </c>
      <c r="C49" s="394" t="str">
        <f>'[1]4637'!C21</f>
        <v>CUB C/R R8</v>
      </c>
      <c r="D49" s="395">
        <f>'[1]4637'!D21</f>
        <v>1800</v>
      </c>
      <c r="E49" s="395">
        <f>'[1]4637'!E21</f>
        <v>500</v>
      </c>
      <c r="F49" s="393" t="str">
        <f>'[1]4637'!F21</f>
        <v>LATE 2167 MT</v>
      </c>
      <c r="G49" s="137"/>
    </row>
    <row r="50" spans="1:7" s="58" customFormat="1" ht="15" customHeight="1" x14ac:dyDescent="0.3">
      <c r="A50" s="384"/>
      <c r="B50" s="326"/>
      <c r="C50" s="396"/>
      <c r="D50" s="326"/>
      <c r="E50" s="326"/>
      <c r="F50" s="326"/>
      <c r="G50" s="137"/>
    </row>
    <row r="51" spans="1:7" s="58" customFormat="1" ht="15" customHeight="1" x14ac:dyDescent="0.3">
      <c r="A51" s="138"/>
      <c r="B51" s="326"/>
      <c r="C51" s="326"/>
      <c r="D51" s="326"/>
      <c r="E51" s="326"/>
      <c r="F51" s="326"/>
      <c r="G51" s="137"/>
    </row>
    <row r="52" spans="1:7" ht="15.6" x14ac:dyDescent="0.3">
      <c r="A52" s="51"/>
      <c r="B52" s="51"/>
      <c r="C52" s="137"/>
      <c r="D52" s="51"/>
      <c r="E52" s="51"/>
      <c r="F52" s="366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397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09"/>
  </cols>
  <sheetData>
    <row r="1" spans="1:13" x14ac:dyDescent="0.3">
      <c r="A1" s="406" t="s">
        <v>267</v>
      </c>
      <c r="B1" s="407" t="s">
        <v>268</v>
      </c>
      <c r="C1" s="406" t="s">
        <v>269</v>
      </c>
      <c r="D1" s="406" t="s">
        <v>270</v>
      </c>
      <c r="E1" s="406" t="s">
        <v>271</v>
      </c>
      <c r="F1" s="406" t="s">
        <v>95</v>
      </c>
      <c r="G1" s="406" t="s">
        <v>8</v>
      </c>
      <c r="H1" s="408" t="s">
        <v>28</v>
      </c>
      <c r="I1" s="408" t="s">
        <v>51</v>
      </c>
      <c r="J1" s="408" t="s">
        <v>6</v>
      </c>
      <c r="K1" s="408" t="s">
        <v>272</v>
      </c>
      <c r="L1" s="408" t="s">
        <v>273</v>
      </c>
      <c r="M1" s="406" t="s">
        <v>274</v>
      </c>
    </row>
    <row r="2" spans="1:13" x14ac:dyDescent="0.3">
      <c r="A2">
        <f>'NOTA DE VENTA'!$G$8</f>
        <v>0</v>
      </c>
      <c r="B2" t="str">
        <f>'NOTA DE VENTA'!$D$8</f>
        <v>N° 11823</v>
      </c>
      <c r="C2" s="1">
        <f>'NOTA DE VENTA'!$G$10</f>
        <v>46029</v>
      </c>
      <c r="D2" s="1">
        <f>'NOTA DE VENTA'!$G$11</f>
        <v>46036</v>
      </c>
      <c r="E2" t="str">
        <f>'NOTA DE VENTA'!$C$10</f>
        <v>GONZALO PEÑA</v>
      </c>
      <c r="F2" t="str">
        <f>'NOTA DE VENTA'!$C$22</f>
        <v>PR6 / 2 FRENTES</v>
      </c>
      <c r="G2" t="e">
        <f>'NOTA DE VENTA'!$F$22</f>
        <v>#REF!</v>
      </c>
      <c r="H2" s="409">
        <f>'NOTA DE VENTA'!$H$25</f>
        <v>32941.103390454889</v>
      </c>
      <c r="I2" s="409">
        <f>H2*0.19</f>
        <v>6258.8096441864291</v>
      </c>
      <c r="J2" s="409">
        <f>I2+H2</f>
        <v>39199.913034641315</v>
      </c>
      <c r="L2" s="60">
        <f>J2-K2</f>
        <v>39199.913034641315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2025-12-18T01:04:17Z</cp:lastPrinted>
  <dcterms:created xsi:type="dcterms:W3CDTF">2013-03-18T13:35:42Z</dcterms:created>
  <dcterms:modified xsi:type="dcterms:W3CDTF">2026-01-12T13:22:43Z</dcterms:modified>
</cp:coreProperties>
</file>