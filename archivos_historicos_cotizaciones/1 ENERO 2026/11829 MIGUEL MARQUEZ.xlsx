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177C5325-C090-4E5C-B2B4-310636C7C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L22" i="1"/>
  <c r="M22" i="1"/>
  <c r="N22" i="1"/>
  <c r="O22" i="1"/>
  <c r="P22" i="1" s="1"/>
  <c r="S22" i="1"/>
  <c r="H23" i="1"/>
  <c r="K18" i="1"/>
  <c r="K19" i="1" s="1"/>
  <c r="K29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O35" i="1"/>
  <c r="R39" i="1"/>
  <c r="P31" i="1" l="1"/>
  <c r="M33" i="1" s="1"/>
  <c r="R40" i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2" i="1" s="1"/>
  <c r="D21" i="3"/>
  <c r="M43" i="3" s="1"/>
  <c r="D12" i="3" s="1"/>
  <c r="F20" i="3"/>
  <c r="F21" i="3" s="1"/>
  <c r="R22" i="1" l="1"/>
  <c r="G22" i="1"/>
  <c r="H22" i="1" s="1"/>
  <c r="O42" i="1"/>
  <c r="E15" i="3"/>
  <c r="Q21" i="1" l="1"/>
  <c r="G21" i="1" s="1"/>
  <c r="F15" i="3"/>
  <c r="R21" i="1" l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<sst xmlns="http://schemas.openxmlformats.org/spreadsheetml/2006/main" count="489" uniqueCount="297">
  <si>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</si>
  <si>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</si>
  <si>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</si>
  <si>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</si>
  <si>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</si>
  <si>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</si>
  <si>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</si>
  <si>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</si>
  <si>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</si>
  <si>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</si>
  <si>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</si>
  <si>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</si>
  <si>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</si>
  <si>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</si>
  <si>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</si>
  <si>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</si>
  <si>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</si>
  <si>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</si>
  <si>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</si>
  <si>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</si>
  <si>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</si>
  <si>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</si>
  <si>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</si>
  <si>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</si>
  <si>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</si>
  <si>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</si>
  <si>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</si>
  <si>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</si>
  <si>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</si>
  <si>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</si>
  <si>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</si>
  <si>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</si>
  <si>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</si>
  <si>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</si>
  <si>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</si>
  <si>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</si>
  <si>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</si>
  <si>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</si>
  <si>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</si>
  <si>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</si>
  <si>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</si>
  <si>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</si>
  <si>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</si>
  <si>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</si>
  <si>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</si>
  <si>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</si>
  <si>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</si>
  <si>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</si>
  <si>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</si>
  <si>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</si>
  <si>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</si>
  <si>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</si>
  <si>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</si>
  <si>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</si>
  <si>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</si>
  <si>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</si>
  <si>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</si>
  <si>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</si>
  <si>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</si>
  <si>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</si>
  <si>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</si>
  <si>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</si>
  <si>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</si>
  <si>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</si>
  <si>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</si>
  <si>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</si>
  <si>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</si>
  <si>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</si>
  <si>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</si>
  <si>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</si>
  <si>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</si>
  <si>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</si>
  <si>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</si>
  <si>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</si>
  <si>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</si>
  <si>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</si>
  <si>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</si>
  <si>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</si>
  <si>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</si>
  <si>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</si>
  <si>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</si>
  <si>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</si>
  <si>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</si>
  <si>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</si>
  <si>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</si>
  <si>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</si>
  <si>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</si>
  <si>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</si>
  <si>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</si>
  <si>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</si>
  <si>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</si>
  <si>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</si>
  <si>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</si>
  <si>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</si>
  <si>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</si>
  <si>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</si>
  <si>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</si>
  <si>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</si>
  <si>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</si>
  <si>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</si>
  <si>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</si>
  <si>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</si>
  <si>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</si>
  <si>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</si>
  <si>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</si>
  <si>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</si>
  <si>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</si>
  <si>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</si>
  <si>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</si>
  <si>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</si>
  <si>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</si>
  <si>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</si>
  <si>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</si>
  <si>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</si>
  <si>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</si>
  <si>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</si>
  <si>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</si>
  <si>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</si>
  <si>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</si>
  <si>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</si>
  <si>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</si>
  <si>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</si>
  <si>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</si>
  <si>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</si>
  <si>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</si>
  <si>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</si>
  <si>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</si>
  <si>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</si>
  <si>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</si>
  <si>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</si>
  <si>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</si>
  <si>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</si>
  <si>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</si>
  <si>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</si>
  <si>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</si>
  <si>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</si>
  <si>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</si>
  <si>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</si>
  <si>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</si>
  <si>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</si>
  <si>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</si>
  <si>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</si>
  <si>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</si>
  <si>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</si>
  <si>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</si>
  <si>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</si>
  <si>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</si>
  <si>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</si>
  <si>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</si>
  <si>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</si>
  <si>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</si>
  <si>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</si>
  <si>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</si>
  <si>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</si>
  <si>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</si>
  <si>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</si>
  <si>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</si>
  <si>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</si>
  <si>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</si>
  <si>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</si>
  <si>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</si>
  <si>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</si>
  <si>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</si>
  <si>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</si>
  <si>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</si>
  <si>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</si>
  <si>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</si>
  <si>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</si>
  <si>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</si>
  <si>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</si>
  <si>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</si>
  <si>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</si>
  <si>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</si>
  <si>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</si>
  <si>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</si>
  <si>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</si>
  <si>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</si>
  <si>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</si>
  <si>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</si>
  <si>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</si>
  <si>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</si>
  <si>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</si>
  <si>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</si>
  <si>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</si>
  <si>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</si>
  <si>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</si>
  <si>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</si>
  <si>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</si>
  <si>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</si>
  <si>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</si>
  <si>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</si>
  <si>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</si>
  <si>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</si>
  <si>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</si>
  <si>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</si>
  <si>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</si>
  <si>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</si>
  <si>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</si>
  <si>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</si>
  <si>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</si>
  <si>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</si>
  <si>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</si>
  <si>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</si>
  <si>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</si>
  <si>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</si>
  <si>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</si>
  <si>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</si>
  <si>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</si>
  <si>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</si>
  <si>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</si>
  <si>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</si>
  <si>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</si>
  <si>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</si>
  <si>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</si>
  <si>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</si>
  <si>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</si>
  <si>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</si>
  <si>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</si>
  <si>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</si>
  <si>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</si>
  <si>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</si>
  <si>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</si>
  <si>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</si>
  <si>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</si>
  <si>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</si>
  <si>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</si>
  <si>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</si>
  <si>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</si>
  <si>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</si>
  <si>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</si>
  <si>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</si>
  <si>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</si>
  <si>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</si>
  <si>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</si>
  <si>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</si>
  <si>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</si>
  <si>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</si>
  <si>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</si>
  <si>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</si>
  <si>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</si>
  <si>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</si>
  <si>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</si>
  <si>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</si>
  <si>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</si>
  <si>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</si>
  <si>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</si>
  <si>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</si>
  <si>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</si>
  <si>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</si>
  <si>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</si>
  <si>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</si>
  <si>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</si>
  <si>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</si>
  <si>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</si>
  <si>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</si>
  <si>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</si>
  <si>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</si>
  <si>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</si>
  <si>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</si>
  <si>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</si>
  <si>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</si>
  <si>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</si>
  <si>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</si>
  <si>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</si>
  <si>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</si>
  <si>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</si>
  <si>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</si>
  <si>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</si>
  <si>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</si>
  <si>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</si>
  <si>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</si>
  <si>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</si>
  <si>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</si>
  <si>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</si>
  <si>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</si>
  <si>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</si>
  <si>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</si>
  <si>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</si>
  <si>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</si>
  <si>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</si>
  <si>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</si>
  <si>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</si>
  <si>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</si>
  <si>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</si>
  <si>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</si>
  <si>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</si>
  <si>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</si>
  <si>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</si>
  <si>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10 DIAS HABILES</t>
  </si>
  <si>
    <t>SI</t>
  </si>
  <si>
    <t>CUB C/R 90°</t>
  </si>
  <si>
    <t>MIGUEL MARQUEZ</t>
  </si>
  <si>
    <t>+569 8235 6810</t>
  </si>
  <si>
    <t>DESFONDADO</t>
  </si>
  <si>
    <t xml:space="preserve">CENEFA </t>
  </si>
  <si>
    <t>N° 11829</t>
  </si>
  <si>
    <t>HAYA 1750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</si>
</sst>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7" zoomScale="93" zoomScaleNormal="93" workbookViewId="0">
      <selection activeCell="A7" sqref="A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291</v>
      </c>
      <c r="D10" s="243"/>
      <c r="E10" s="243"/>
      <c r="F10" s="418" t="s">
        <v>277</v>
      </c>
      <c r="G10" s="275">
        <v>46035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289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K17">
        <v>74</v>
      </c>
      <c r="T17" s="6"/>
      <c r="U17" s="6"/>
    </row>
    <row r="18" spans="2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67654.820977566487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58" t="s">
        <v>290</v>
      </c>
      <c r="D21" s="459">
        <v>2.57</v>
      </c>
      <c r="E21" s="459">
        <v>0.52</v>
      </c>
      <c r="F21" s="313" t="s">
        <v>296</v>
      </c>
      <c r="G21" s="314">
        <f>Q21</f>
        <v>93228.343307086616</v>
      </c>
      <c r="H21" s="460">
        <f>G21*B21</f>
        <v>93228.343307086616</v>
      </c>
      <c r="I21" s="306">
        <v>109849</v>
      </c>
      <c r="J21" s="264"/>
      <c r="K21" s="47">
        <v>15</v>
      </c>
      <c r="L21" s="47">
        <f>B21</f>
        <v>1</v>
      </c>
      <c r="M21" s="39">
        <f>D21+M$19</f>
        <v>2.65</v>
      </c>
      <c r="N21" s="39">
        <f>E21+$N$19</f>
        <v>0.52</v>
      </c>
      <c r="O21" s="260">
        <f t="shared" ref="O21" si="0">M21*N21</f>
        <v>1.3779999999999999</v>
      </c>
      <c r="P21" s="258">
        <f t="shared" ref="P21" si="1">O21*L21</f>
        <v>1.3779999999999999</v>
      </c>
      <c r="Q21" s="251">
        <f t="shared" ref="Q21" si="2">Q$20*O21</f>
        <v>93228.343307086616</v>
      </c>
      <c r="R21" s="305">
        <f t="shared" ref="R21" si="3">Q21+R$20</f>
        <v>96228.343307086616</v>
      </c>
      <c r="S21" s="290">
        <f>M21*L21</f>
        <v>2.65</v>
      </c>
      <c r="T21" s="46">
        <f>N21*2*L21*2</f>
        <v>2.08</v>
      </c>
      <c r="U21" s="9"/>
      <c r="X21" s="4"/>
    </row>
    <row r="22" spans="2:25" ht="17.399999999999999" x14ac:dyDescent="0.3">
      <c r="B22" s="461">
        <v>1</v>
      </c>
      <c r="C22" s="433" t="s">
        <v>294</v>
      </c>
      <c r="D22" s="430">
        <v>2.57</v>
      </c>
      <c r="E22" s="430">
        <v>0.115</v>
      </c>
      <c r="F22" s="429" t="s">
        <v>296</v>
      </c>
      <c r="G22" s="431">
        <f>Q22</f>
        <v>20617.806692913389</v>
      </c>
      <c r="H22" s="462">
        <f>G22*B22</f>
        <v>20617.806692913389</v>
      </c>
      <c r="I22" s="306"/>
      <c r="J22" s="264"/>
      <c r="K22" s="47"/>
      <c r="L22" s="47">
        <f>B22</f>
        <v>1</v>
      </c>
      <c r="M22" s="39">
        <f>D22+M$19</f>
        <v>2.65</v>
      </c>
      <c r="N22" s="39">
        <f>E22+$N$19</f>
        <v>0.115</v>
      </c>
      <c r="O22" s="260">
        <f t="shared" ref="O22" si="4">M22*N22</f>
        <v>0.30475000000000002</v>
      </c>
      <c r="P22" s="258">
        <f t="shared" ref="P22" si="5">O22*L22</f>
        <v>0.30475000000000002</v>
      </c>
      <c r="Q22" s="251">
        <f t="shared" ref="Q22" si="6">Q$20*O22</f>
        <v>20617.806692913389</v>
      </c>
      <c r="R22" s="305">
        <f t="shared" ref="R22" si="7">Q22+R$20</f>
        <v>23617.806692913389</v>
      </c>
      <c r="S22" s="290">
        <f>M22*L22</f>
        <v>2.65</v>
      </c>
      <c r="T22" s="46"/>
      <c r="U22" s="9"/>
      <c r="X22" s="4"/>
    </row>
    <row r="23" spans="2:25" ht="18" thickBot="1" x14ac:dyDescent="0.35">
      <c r="B23" s="463">
        <v>1</v>
      </c>
      <c r="C23" s="464" t="s">
        <v>293</v>
      </c>
      <c r="D23" s="465"/>
      <c r="E23" s="465"/>
      <c r="F23" s="466"/>
      <c r="G23" s="467">
        <v>10000</v>
      </c>
      <c r="H23" s="468">
        <f>G23*B23</f>
        <v>10000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123846.15000000001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SUM(T21:T24)</f>
        <v>2.08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23530.768500000002</v>
      </c>
      <c r="I28" s="308"/>
      <c r="J28" s="264"/>
      <c r="K28" s="47">
        <v>463</v>
      </c>
      <c r="L28" s="47"/>
      <c r="M28" s="39">
        <f>SUM(M21:M27)</f>
        <v>5.3</v>
      </c>
      <c r="N28" s="12"/>
      <c r="O28" s="12"/>
      <c r="P28" s="252">
        <f>SUM(P21:P22)</f>
        <v>1.68275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147376.9185</v>
      </c>
      <c r="I29" s="308"/>
      <c r="J29" s="264"/>
      <c r="K29" s="47">
        <f>K28*5</f>
        <v>2315</v>
      </c>
      <c r="L29" s="47"/>
      <c r="M29" s="39"/>
      <c r="N29" s="12"/>
      <c r="O29" s="12"/>
      <c r="P29" s="252">
        <f>P28</f>
        <v>1.68275</v>
      </c>
      <c r="Q29" s="14"/>
      <c r="R29" s="12"/>
      <c r="S29" s="239">
        <f>SUM(S21:S28)</f>
        <v>5.3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0.33655000000000002</v>
      </c>
      <c r="Q30" s="39" t="s">
        <v>129</v>
      </c>
      <c r="R30" s="42"/>
      <c r="S30" s="240">
        <f>S29+T27</f>
        <v>7.38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2.0192999999999999</v>
      </c>
      <c r="Q31" s="14"/>
      <c r="R31" s="14"/>
      <c r="S31" s="238">
        <f>S30*20%</f>
        <v>1.476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8.8559999999999999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2.0192999999999999</v>
      </c>
      <c r="N33" s="12">
        <v>2500</v>
      </c>
      <c r="O33" s="12">
        <f t="shared" ref="O33:O38" si="8">M33*N33</f>
        <v>5048.25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0.6</v>
      </c>
      <c r="N34" s="12">
        <v>23500</v>
      </c>
      <c r="O34" s="12">
        <f t="shared" si="8"/>
        <v>14100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8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</v>
      </c>
      <c r="N36" s="249">
        <v>30000</v>
      </c>
      <c r="O36" s="12">
        <f t="shared" si="8"/>
        <v>30000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8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2.6</v>
      </c>
      <c r="N38" s="12">
        <v>1000</v>
      </c>
      <c r="O38" s="12">
        <f t="shared" si="8"/>
        <v>2600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51748.25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113846.15000000001</v>
      </c>
      <c r="P40" s="14" t="s">
        <v>138</v>
      </c>
      <c r="Q40" s="14"/>
      <c r="R40" s="40">
        <f>P31/R39</f>
        <v>0.54446182053494385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67654.820977566487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46035</v>
      </c>
    </row>
    <row r="6" spans="2:31" ht="16.2" thickBot="1" x14ac:dyDescent="0.35">
      <c r="B6" s="140" t="s">
        <v>2</v>
      </c>
      <c r="C6" s="139" t="str">
        <f>'2229'!C10</f>
        <v>MIGUEL MARQUEZ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-7170.8812834541068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123846.15000000001</v>
      </c>
      <c r="E11" s="132">
        <f>D11*0.19</f>
        <v>23530.768500000002</v>
      </c>
      <c r="F11" s="131">
        <f>E11+D11</f>
        <v>147376.9185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98819.118716545898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48982.340787439614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80819.118716545898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74863.809212560387</v>
      </c>
      <c r="E13" s="221">
        <f>(D11/D12)-1</f>
        <v>1.5283836584583455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71819.118716545898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32819.11871654589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80820.862299275366</v>
      </c>
      <c r="F15" s="216">
        <f>E15-D12</f>
        <v>31838.521511835752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32819.11871654589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72819.118716545898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5048.25</v>
      </c>
      <c r="E20" s="121">
        <f>D20*0.19</f>
        <v>959.16750000000002</v>
      </c>
      <c r="F20" s="120">
        <f>SUM(D20:E20)</f>
        <v>6007.4174999999996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19148.25</v>
      </c>
      <c r="E21" s="116">
        <f>SUM(E18:E20)</f>
        <v>3638.1675</v>
      </c>
      <c r="F21" s="115">
        <f>SUM(F18:F20)</f>
        <v>22786.4175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19892.601000000002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123846.15000000001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19148.25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74863.809212560387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74863.809212560387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MIGUEL MARQUEZ</v>
      </c>
      <c r="D10" s="350"/>
      <c r="E10" s="350"/>
      <c r="F10" s="351" t="s">
        <v>167</v>
      </c>
      <c r="G10" s="352">
        <f>'2229'!G10</f>
        <v>46035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46042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+569 8235 6810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</v>
      </c>
      <c r="D22" s="321">
        <f>'2229'!D21*1000</f>
        <v>2570</v>
      </c>
      <c r="E22" s="321">
        <f>'2229'!E21*1000</f>
        <v>520</v>
      </c>
      <c r="F22" s="322" t="str">
        <f>'2229'!F21</f>
        <v>HAYA 1750 MT</v>
      </c>
      <c r="G22" s="314">
        <f>'2229'!G21</f>
        <v>93228.343307086616</v>
      </c>
      <c r="H22" s="323">
        <f>G22*B22</f>
        <v>93228.343307086616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93228.343307086616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17713.385228346458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110941.72853543307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MIGUEL MARQUEZ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46035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46042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11829</v>
      </c>
      <c r="C2" s="1">
        <f>'NOTA DE VENTA'!$G$10</f>
        <v>46035</v>
      </c>
      <c r="D2" s="1">
        <f>'NOTA DE VENTA'!$G$11</f>
        <v>46042</v>
      </c>
      <c r="E2" t="str">
        <f>'NOTA DE VENTA'!$C$10</f>
        <v>MIGUEL MARQUEZ</v>
      </c>
      <c r="F2" t="str">
        <f>'NOTA DE VENTA'!$C$22</f>
        <v>CUB C/R 90°</v>
      </c>
      <c r="G2" t="str">
        <f>'NOTA DE VENTA'!$F$22</f>
        <v>HAYA 1750 MT</v>
      </c>
      <c r="H2" s="416">
        <f>'NOTA DE VENTA'!$H$25</f>
        <v>93228.343307086616</v>
      </c>
      <c r="I2" s="416">
        <f>H2*0.19</f>
        <v>17713.385228346458</v>
      </c>
      <c r="J2" s="416">
        <f>I2+H2</f>
        <v>110941.72853543307</v>
      </c>
      <c r="L2" s="61">
        <f>J2-K2</f>
        <v>110941.72853543307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2026-01-13T17:38:12Z</cp:lastPrinted>
  <dcterms:created xsi:type="dcterms:W3CDTF">2013-03-18T13:35:42Z</dcterms:created>
  <dcterms:modified xsi:type="dcterms:W3CDTF">2026-01-13T18:07:39Z</dcterms:modified>
</cp:coreProperties>
</file>