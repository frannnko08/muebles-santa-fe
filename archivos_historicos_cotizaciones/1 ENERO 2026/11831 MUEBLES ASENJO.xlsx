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67AF3DBC-81F1-4F61-8378-6604017BC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O40" i="1"/>
  <c r="P28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L21" i="1"/>
  <c r="J43" i="1"/>
  <c r="K37" i="1"/>
  <c r="K38" i="1" s="1"/>
  <c r="H21" i="1" l="1"/>
  <c r="M21" i="1"/>
  <c r="S21" i="1" s="1"/>
  <c r="N21" i="1"/>
  <c r="J15" i="1"/>
  <c r="J10" i="1"/>
  <c r="O21" i="1" l="1"/>
  <c r="P21" i="1" s="1"/>
  <c r="S29" i="1"/>
  <c r="M28" i="1"/>
  <c r="T27" i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Q21" i="1"/>
  <c r="R21" i="1" s="1"/>
  <c r="O42" i="1"/>
  <c r="E15" i="3"/>
  <c r="F15" i="3" l="1"/>
  <c r="H27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<sst xmlns="http://schemas.openxmlformats.org/spreadsheetml/2006/main" count="236" uniqueCount="176">
  <si>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</si>
  <si>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</si>
  <si>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</si>
  <si>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</si>
  <si>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</si>
  <si>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</si>
  <si>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</si>
  <si>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</si>
  <si>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</si>
  <si>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</si>
  <si>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</si>
  <si>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</si>
  <si>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</si>
  <si>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</si>
  <si>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</si>
  <si>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</si>
  <si>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</si>
  <si>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</si>
  <si>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</si>
  <si>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</si>
  <si>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</si>
  <si>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</si>
  <si>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</si>
  <si>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</si>
  <si>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</si>
  <si>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</si>
  <si>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</si>
  <si>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</si>
  <si>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</si>
  <si>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</si>
  <si>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</si>
  <si>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</si>
  <si>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</si>
  <si>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</si>
  <si>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</si>
  <si>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</si>
  <si>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</si>
  <si>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</si>
  <si>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</si>
  <si>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</si>
  <si>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</si>
  <si>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</si>
  <si>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</si>
  <si>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</si>
  <si>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</si>
  <si>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</si>
  <si>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</si>
  <si>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</si>
  <si>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</si>
  <si>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</si>
  <si>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</si>
  <si>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</si>
  <si>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</si>
  <si>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</si>
  <si>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</si>
  <si>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</si>
  <si>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</si>
  <si>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</si>
  <si>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</si>
  <si>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</si>
  <si>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</si>
  <si>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</si>
  <si>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</si>
  <si>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</si>
  <si>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</si>
  <si>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</si>
  <si>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</si>
  <si>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</si>
  <si>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</si>
  <si>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</si>
  <si>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</si>
  <si>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</si>
  <si>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</si>
  <si>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</si>
  <si>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</si>
  <si>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</si>
  <si>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</si>
  <si>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</si>
  <si>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</si>
  <si>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</si>
  <si>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</si>
  <si>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</si>
  <si>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</si>
  <si>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</si>
  <si>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</si>
  <si>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</si>
  <si>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</si>
  <si>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</si>
  <si>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</si>
  <si>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</si>
  <si>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</si>
  <si>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</si>
  <si>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</si>
  <si>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</si>
  <si>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</si>
  <si>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</si>
  <si>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</si>
  <si>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</si>
  <si>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</si>
  <si>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</si>
  <si>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</si>
  <si>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</si>
  <si>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</si>
  <si>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</si>
  <si>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</si>
  <si>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</si>
  <si>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</si>
  <si>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</si>
  <si>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</si>
  <si>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</si>
  <si>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</si>
  <si>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</si>
  <si>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</si>
  <si>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</si>
  <si>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</si>
  <si>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</si>
  <si>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</si>
  <si>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</si>
  <si>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</si>
  <si>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</si>
  <si>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</si>
  <si>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</si>
  <si>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</si>
  <si>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</si>
  <si>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</si>
  <si>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</si>
  <si>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</si>
  <si>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</si>
  <si>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</si>
  <si>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</si>
  <si>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</si>
  <si>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</si>
  <si>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</si>
  <si>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</si>
  <si>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</si>
  <si>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</si>
  <si>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</si>
  <si>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</si>
  <si>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</si>
  <si>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</si>
  <si>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</si>
  <si>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</si>
  <si>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</si>
  <si>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</si>
  <si>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</si>
  <si>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</si>
  <si>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</si>
  <si>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</si>
  <si>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</si>
  <si>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</si>
  <si>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</si>
  <si>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</si>
  <si>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</si>
  <si>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</si>
  <si>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</si>
  <si>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</si>
  <si>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</si>
  <si>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</si>
  <si>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</si>
  <si>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</si>
  <si>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</si>
  <si>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</si>
  <si>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</si>
  <si>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</si>
  <si>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</si>
  <si>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</si>
  <si>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</si>
  <si>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</si>
  <si>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</si>
  <si>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</si>
  <si>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</si>
  <si>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</si>
  <si>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</si>
  <si>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CUB S/R 90° R8</t>
  </si>
  <si>
    <t>BLANCO MERINO OPACO</t>
  </si>
  <si>
    <t>N° 11831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</si>
</sst>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46035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168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49113.94355453852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172</v>
      </c>
      <c r="D21" s="333">
        <v>2.85</v>
      </c>
      <c r="E21" s="333">
        <v>0.6</v>
      </c>
      <c r="F21" s="330" t="s">
        <v>174</v>
      </c>
      <c r="G21" s="331">
        <v>86342</v>
      </c>
      <c r="H21" s="331">
        <f t="shared" ref="H21:H24" si="1">G21*B21</f>
        <v>86342</v>
      </c>
      <c r="I21" s="320"/>
      <c r="J21" s="265">
        <v>92285</v>
      </c>
      <c r="K21" s="47"/>
      <c r="L21" s="332">
        <f>B21</f>
        <v>1</v>
      </c>
      <c r="M21" s="39">
        <f t="shared" ref="M21" si="2">D21+M$19</f>
        <v>2.93</v>
      </c>
      <c r="N21" s="39">
        <f t="shared" ref="N21" si="3">E21+$N$19</f>
        <v>0.6</v>
      </c>
      <c r="O21" s="261">
        <f t="shared" ref="O21" si="4">M21*N21</f>
        <v>1.758</v>
      </c>
      <c r="P21" s="259">
        <f t="shared" ref="P21" si="5">O21*L21</f>
        <v>1.758</v>
      </c>
      <c r="Q21" s="252">
        <f t="shared" ref="Q21" si="6">Q$20*O21</f>
        <v>86342.312768878721</v>
      </c>
      <c r="R21" s="319">
        <f t="shared" ref="R21" si="7">Q21+R$20</f>
        <v>89342.312768878721</v>
      </c>
      <c r="S21" s="297">
        <f>L21*M21</f>
        <v>2.93</v>
      </c>
      <c r="T21" s="46"/>
      <c r="U21" s="9"/>
      <c r="X21" s="4"/>
    </row>
    <row r="22" spans="2:25" ht="17.399999999999999" x14ac:dyDescent="0.3">
      <c r="B22" s="330">
        <v>1</v>
      </c>
      <c r="C22" s="330" t="s">
        <v>172</v>
      </c>
      <c r="D22" s="333">
        <v>3</v>
      </c>
      <c r="E22" s="333">
        <v>0.6</v>
      </c>
      <c r="F22" s="330" t="s">
        <v>174</v>
      </c>
      <c r="G22" s="331">
        <v>90763</v>
      </c>
      <c r="H22" s="331">
        <f t="shared" si="1"/>
        <v>90763</v>
      </c>
      <c r="I22" s="320"/>
      <c r="J22" s="265"/>
      <c r="K22" s="47"/>
      <c r="L22" s="332">
        <f t="shared" ref="L22:L24" si="8">B22</f>
        <v>1</v>
      </c>
      <c r="M22" s="39">
        <f t="shared" ref="M22:M24" si="9">D22+M$19</f>
        <v>3.08</v>
      </c>
      <c r="N22" s="39">
        <f t="shared" ref="N22:N24" si="10">E22+$N$19</f>
        <v>0.6</v>
      </c>
      <c r="O22" s="261">
        <f t="shared" ref="O22:O24" si="11">M22*N22</f>
        <v>1.8479999999999999</v>
      </c>
      <c r="P22" s="259">
        <f t="shared" ref="P22:P24" si="12">O22*L22</f>
        <v>1.8479999999999999</v>
      </c>
      <c r="Q22" s="252">
        <f t="shared" ref="Q22:Q24" si="13">Q$20*O22</f>
        <v>90762.567688787181</v>
      </c>
      <c r="R22" s="319">
        <f t="shared" ref="R22:R24" si="14">Q22+R$20</f>
        <v>93762.567688787181</v>
      </c>
      <c r="S22" s="297">
        <f t="shared" ref="S22:S24" si="15">L22*M22</f>
        <v>3.08</v>
      </c>
      <c r="T22" s="46"/>
      <c r="U22" s="9"/>
      <c r="X22" s="4"/>
    </row>
    <row r="23" spans="2:25" ht="17.399999999999999" x14ac:dyDescent="0.3">
      <c r="B23" s="330">
        <v>1</v>
      </c>
      <c r="C23" s="330" t="s">
        <v>172</v>
      </c>
      <c r="D23" s="333">
        <v>1.07</v>
      </c>
      <c r="E23" s="333">
        <v>0.6</v>
      </c>
      <c r="F23" s="330" t="s">
        <v>174</v>
      </c>
      <c r="G23" s="331">
        <v>33889</v>
      </c>
      <c r="H23" s="331">
        <f t="shared" si="1"/>
        <v>33889</v>
      </c>
      <c r="I23" s="320"/>
      <c r="J23" s="265"/>
      <c r="K23" s="47"/>
      <c r="L23" s="332">
        <f t="shared" si="8"/>
        <v>1</v>
      </c>
      <c r="M23" s="39">
        <f t="shared" si="9"/>
        <v>1.1500000000000001</v>
      </c>
      <c r="N23" s="39">
        <f t="shared" si="10"/>
        <v>0.6</v>
      </c>
      <c r="O23" s="261">
        <f t="shared" si="11"/>
        <v>0.69000000000000006</v>
      </c>
      <c r="P23" s="259">
        <f t="shared" si="12"/>
        <v>0.69000000000000006</v>
      </c>
      <c r="Q23" s="252">
        <f t="shared" si="13"/>
        <v>33888.621052631584</v>
      </c>
      <c r="R23" s="319">
        <f t="shared" si="14"/>
        <v>36888.621052631584</v>
      </c>
      <c r="S23" s="297">
        <f t="shared" si="15"/>
        <v>1.1500000000000001</v>
      </c>
      <c r="T23" s="46"/>
      <c r="U23" s="9"/>
      <c r="X23" s="4"/>
    </row>
    <row r="24" spans="2:25" ht="17.399999999999999" x14ac:dyDescent="0.3">
      <c r="B24" s="330">
        <v>2</v>
      </c>
      <c r="C24" s="330" t="s">
        <v>173</v>
      </c>
      <c r="D24" s="333">
        <v>2.2999999999999998</v>
      </c>
      <c r="E24" s="333">
        <v>0.75</v>
      </c>
      <c r="F24" s="330" t="s">
        <v>174</v>
      </c>
      <c r="G24" s="331">
        <v>87668</v>
      </c>
      <c r="H24" s="331">
        <f t="shared" si="1"/>
        <v>175336</v>
      </c>
      <c r="I24" s="320"/>
      <c r="J24" s="265"/>
      <c r="K24" s="47"/>
      <c r="L24" s="332">
        <f t="shared" si="8"/>
        <v>2</v>
      </c>
      <c r="M24" s="39">
        <f t="shared" si="9"/>
        <v>2.38</v>
      </c>
      <c r="N24" s="39">
        <f t="shared" si="10"/>
        <v>0.75</v>
      </c>
      <c r="O24" s="261">
        <f t="shared" si="11"/>
        <v>1.7849999999999999</v>
      </c>
      <c r="P24" s="259">
        <f t="shared" si="12"/>
        <v>3.57</v>
      </c>
      <c r="Q24" s="252">
        <f t="shared" si="13"/>
        <v>87668.389244851249</v>
      </c>
      <c r="R24" s="319">
        <f t="shared" si="14"/>
        <v>90668.389244851249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332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386330</v>
      </c>
      <c r="I27" s="322"/>
      <c r="J27" s="265">
        <v>442955</v>
      </c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73402.7</v>
      </c>
      <c r="I28" s="322"/>
      <c r="J28" s="265"/>
      <c r="K28" s="47"/>
      <c r="L28" s="47"/>
      <c r="M28" s="39">
        <f>SUM(M21:M27)</f>
        <v>9.5399999999999991</v>
      </c>
      <c r="N28" s="12"/>
      <c r="O28" s="12"/>
      <c r="P28" s="253">
        <f>SUM(P21:P26)</f>
        <v>7.8659999999999997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459732.7</v>
      </c>
      <c r="I29" s="322"/>
      <c r="J29" s="265"/>
      <c r="K29" s="47"/>
      <c r="L29" s="47"/>
      <c r="M29" s="39"/>
      <c r="N29" s="12"/>
      <c r="O29" s="12"/>
      <c r="P29" s="253">
        <f>P28</f>
        <v>7.8659999999999997</v>
      </c>
      <c r="Q29" s="14"/>
      <c r="R29" s="12"/>
      <c r="S29" s="239">
        <f>SUM(S21:S28)</f>
        <v>7.16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1.5731999999999999</v>
      </c>
      <c r="Q30" s="39" t="s">
        <v>130</v>
      </c>
      <c r="R30" s="42"/>
      <c r="S30" s="240">
        <f>S29+T27</f>
        <v>7.16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9.4391999999999996</v>
      </c>
      <c r="Q31" s="14"/>
      <c r="R31" s="14"/>
      <c r="S31" s="238">
        <f>S30*20%</f>
        <v>1.4320000000000002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8.5920000000000005</v>
      </c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P31*2</f>
        <v>18.878399999999999</v>
      </c>
      <c r="N33" s="12">
        <v>2000</v>
      </c>
      <c r="O33" s="12">
        <f t="shared" ref="O33:O38" si="16">M33*N33</f>
        <v>37756.799999999996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2.2999999999999998</v>
      </c>
      <c r="N34" s="12">
        <v>23500</v>
      </c>
      <c r="O34" s="12">
        <f t="shared" si="16"/>
        <v>54049.999999999993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>
        <v>1220</v>
      </c>
      <c r="L35" s="250"/>
      <c r="M35" s="14"/>
      <c r="N35" s="250">
        <v>23500</v>
      </c>
      <c r="O35" s="12">
        <f t="shared" si="16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143</v>
      </c>
      <c r="C36"/>
      <c r="D36"/>
      <c r="E36"/>
      <c r="F36"/>
      <c r="J36" s="262">
        <v>32859</v>
      </c>
      <c r="K36" s="232">
        <v>230</v>
      </c>
      <c r="L36" s="250"/>
      <c r="M36" s="14">
        <v>5</v>
      </c>
      <c r="N36" s="250">
        <v>17000</v>
      </c>
      <c r="O36" s="12">
        <f t="shared" si="16"/>
        <v>85000</v>
      </c>
      <c r="P36" s="14" t="s">
        <v>170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>
        <f>K35/K36</f>
        <v>5.3043478260869561</v>
      </c>
      <c r="L37" s="250"/>
      <c r="M37" s="249"/>
      <c r="N37" s="250">
        <v>15700</v>
      </c>
      <c r="O37" s="12">
        <f t="shared" si="16"/>
        <v>0</v>
      </c>
      <c r="P37" s="14" t="s">
        <v>32</v>
      </c>
      <c r="Q37" s="14"/>
      <c r="R37" s="230">
        <v>1.83</v>
      </c>
      <c r="S37" s="238"/>
      <c r="T37" s="238"/>
    </row>
    <row r="38" spans="1:24" s="230" customFormat="1" ht="17.399999999999999" x14ac:dyDescent="0.35">
      <c r="J38" s="293"/>
      <c r="K38" s="260" t="e">
        <f>#REF!/K37</f>
        <v>#REF!</v>
      </c>
      <c r="L38" s="250"/>
      <c r="M38" s="266">
        <v>7.16</v>
      </c>
      <c r="N38" s="12">
        <v>1000</v>
      </c>
      <c r="O38" s="12">
        <f t="shared" si="16"/>
        <v>7160</v>
      </c>
      <c r="P38" s="14" t="s">
        <v>22</v>
      </c>
      <c r="Q38" s="14"/>
      <c r="R38">
        <v>2.5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183966.8</v>
      </c>
      <c r="P39" s="39" t="s">
        <v>23</v>
      </c>
      <c r="Q39" s="14"/>
      <c r="R39">
        <f>R37*R38</f>
        <v>4.5750000000000002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O39*2.1</f>
        <v>386330.27999999997</v>
      </c>
      <c r="P40" s="14" t="s">
        <v>140</v>
      </c>
      <c r="Q40" s="14"/>
      <c r="R40" s="40">
        <f>P31/R39</f>
        <v>2.0632131147540984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v>22475</v>
      </c>
      <c r="K41" s="230">
        <v>40000</v>
      </c>
      <c r="L41" s="250"/>
      <c r="M41" s="14"/>
      <c r="N41" s="12"/>
      <c r="O41" s="12">
        <f>O40/P29</f>
        <v>49113.94355453852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J42" s="230">
        <v>6</v>
      </c>
      <c r="K42" s="230">
        <f>K41/1.19</f>
        <v>33613.445378151264</v>
      </c>
      <c r="L42" s="250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J43" s="260">
        <f>J41*J42</f>
        <v>134850</v>
      </c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-30937.088366787444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386330</v>
      </c>
      <c r="E11" s="132">
        <f>D11*0.19</f>
        <v>73402.7</v>
      </c>
      <c r="F11" s="131">
        <f>E11+D11</f>
        <v>459732.7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75052.911633212556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121640.8907874396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57052.911633212556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264689.1092125604</v>
      </c>
      <c r="E13" s="221">
        <f>(D11/D12)-1</f>
        <v>2.1759879223105103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48052.911633212556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9052.9116332125559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200707.46979927534</v>
      </c>
      <c r="F15" s="216">
        <f>E15-D12</f>
        <v>79066.57901183574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9052.9116332125559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49052.911633212556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54049.999999999993</v>
      </c>
      <c r="E19" s="123">
        <f>D19*0.19</f>
        <v>10269.499999999998</v>
      </c>
      <c r="F19" s="120">
        <f>SUM(D19:E19)</f>
        <v>64319.499999999993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37756.799999999996</v>
      </c>
      <c r="E20" s="121">
        <f>D20*0.19</f>
        <v>7173.7919999999995</v>
      </c>
      <c r="F20" s="120">
        <f>SUM(D20:E20)</f>
        <v>44930.591999999997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91806.799999999988</v>
      </c>
      <c r="E21" s="116">
        <f>SUM(E18:E20)</f>
        <v>17443.291999999998</v>
      </c>
      <c r="F21" s="115">
        <f>SUM(F18:F20)</f>
        <v>109250.09199999999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55959.407999999996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386330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91806.799999999988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264689.1092125604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264689.1092125604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2025-11-10T20:44:42Z</cp:lastPrinted>
  <dcterms:created xsi:type="dcterms:W3CDTF">2013-03-18T13:35:42Z</dcterms:created>
  <dcterms:modified xsi:type="dcterms:W3CDTF">2026-01-13T21:54:19Z</dcterms:modified>
</cp:coreProperties>
</file>