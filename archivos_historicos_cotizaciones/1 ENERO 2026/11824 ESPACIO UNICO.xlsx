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 ENERO 2026\"/>
    </mc:Choice>
  </mc:AlternateContent>
  <xr:revisionPtr revIDLastSave="0" documentId="13_ncr:1_{A975DFF9-67CF-42BF-A863-647D498A5A07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K22" i="1"/>
  <c r="K29" i="1"/>
  <c r="L21" i="1"/>
  <c r="M22" i="1" l="1"/>
  <c r="N22" i="1"/>
  <c r="H22" i="1"/>
  <c r="N5" i="6"/>
  <c r="A2" i="7"/>
  <c r="O22" i="1" l="1"/>
  <c r="P22" i="1" s="1"/>
  <c r="S22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8" i="1" l="1"/>
  <c r="S21" i="1"/>
  <c r="S29" i="1" s="1"/>
  <c r="T21" i="1"/>
  <c r="T27" i="1" s="1"/>
  <c r="O21" i="1"/>
  <c r="P21" i="1" s="1"/>
  <c r="P28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R22" i="1" s="1"/>
  <c r="O42" i="1"/>
  <c r="E15" i="3"/>
  <c r="Q21" i="1" l="1"/>
  <c r="F15" i="3"/>
  <c r="R21" i="1" l="1"/>
  <c r="H21" i="1" l="1"/>
  <c r="H27" i="1" s="1"/>
  <c r="H28" i="1" l="1"/>
  <c r="H29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<sst xmlns="http://schemas.openxmlformats.org/spreadsheetml/2006/main" count="489" uniqueCount="298">
  <si>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</si>
  <si>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</si>
  <si>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</si>
  <si>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</si>
  <si>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</si>
  <si>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</si>
  <si>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</si>
  <si>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</si>
  <si>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</si>
  <si>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</si>
  <si>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</si>
  <si>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</si>
  <si>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</si>
  <si>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</si>
  <si>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</si>
  <si>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</si>
  <si>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</si>
  <si>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</si>
  <si>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</si>
  <si>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</si>
  <si>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</si>
  <si>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</si>
  <si>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</si>
  <si>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</si>
  <si>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</si>
  <si>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</si>
  <si>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</si>
  <si>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</si>
  <si>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</si>
  <si>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</si>
  <si>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</si>
  <si>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</si>
  <si>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</si>
  <si>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</si>
  <si>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</si>
  <si>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</si>
  <si>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</si>
  <si>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</si>
  <si>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</si>
  <si>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</si>
  <si>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</si>
  <si>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</si>
  <si>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</si>
  <si>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</si>
  <si>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</si>
  <si>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</si>
  <si>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</si>
  <si>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</si>
  <si>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</si>
  <si>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</si>
  <si>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</si>
  <si>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</si>
  <si>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</si>
  <si>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</si>
  <si>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</si>
  <si>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</si>
  <si>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</si>
  <si>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</si>
  <si>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</si>
  <si>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</si>
  <si>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</si>
  <si>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</si>
  <si>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</si>
  <si>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</si>
  <si>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</si>
  <si>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</si>
  <si>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</si>
  <si>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</si>
  <si>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</si>
  <si>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</si>
  <si>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</si>
  <si>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</si>
  <si>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</si>
  <si>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</si>
  <si>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</si>
  <si>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</si>
  <si>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</si>
  <si>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</si>
  <si>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</si>
  <si>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</si>
  <si>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</si>
  <si>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</si>
  <si>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</si>
  <si>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</si>
  <si>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</si>
  <si>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</si>
  <si>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</si>
  <si>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</si>
  <si>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</si>
  <si>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</si>
  <si>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</si>
  <si>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</si>
  <si>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</si>
  <si>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</si>
  <si>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</si>
  <si>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</si>
  <si>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</si>
  <si>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</si>
  <si>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</si>
  <si>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</si>
  <si>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</si>
  <si>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</si>
  <si>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</si>
  <si>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</si>
  <si>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</si>
  <si>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</si>
  <si>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</si>
  <si>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</si>
  <si>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</si>
  <si>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</si>
  <si>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</si>
  <si>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</si>
  <si>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</si>
  <si>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</si>
  <si>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</si>
  <si>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</si>
  <si>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</si>
  <si>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</si>
  <si>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</si>
  <si>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</si>
  <si>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</si>
  <si>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</si>
  <si>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</si>
  <si>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</si>
  <si>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</si>
  <si>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</si>
  <si>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</si>
  <si>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</si>
  <si>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</si>
  <si>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</si>
  <si>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</si>
  <si>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</si>
  <si>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</si>
  <si>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</si>
  <si>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</si>
  <si>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</si>
  <si>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</si>
  <si>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</si>
  <si>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</si>
  <si>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</si>
  <si>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</si>
  <si>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</si>
  <si>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</si>
  <si>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</si>
  <si>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</si>
  <si>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</si>
  <si>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</si>
  <si>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</si>
  <si>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</si>
  <si>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</si>
  <si>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</si>
  <si>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</si>
  <si>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</si>
  <si>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</si>
  <si>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</si>
  <si>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</si>
  <si>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</si>
  <si>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</si>
  <si>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</si>
  <si>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</si>
  <si>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</si>
  <si>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</si>
  <si>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</si>
  <si>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</si>
  <si>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</si>
  <si>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</si>
  <si>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</si>
  <si>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</si>
  <si>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</si>
  <si>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</si>
  <si>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</si>
  <si>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</si>
  <si>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</si>
  <si>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</si>
  <si>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</si>
  <si>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</si>
  <si>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</si>
  <si>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</si>
  <si>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</si>
  <si>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</si>
  <si>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</si>
  <si>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</si>
  <si>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</si>
  <si>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</si>
  <si>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</si>
  <si>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</si>
  <si>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</si>
  <si>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</si>
  <si>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</si>
  <si>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</si>
  <si>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</si>
  <si>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</si>
  <si>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</si>
  <si>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</si>
  <si>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</si>
  <si>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</si>
  <si>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</si>
  <si>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</si>
  <si>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</si>
  <si>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</si>
  <si>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</si>
  <si>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</si>
  <si>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</si>
  <si>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</si>
  <si>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</si>
  <si>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</si>
  <si>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</si>
  <si>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</si>
  <si>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</si>
  <si>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</si>
  <si>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</si>
  <si>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</si>
  <si>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</si>
  <si>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</si>
  <si>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</si>
  <si>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</si>
  <si>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</si>
  <si>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</si>
  <si>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</si>
  <si>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</si>
  <si>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</si>
  <si>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</si>
  <si>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</si>
  <si>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</si>
  <si>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</si>
  <si>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</si>
  <si>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</si>
  <si>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</si>
  <si>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</si>
  <si>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</si>
  <si>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</si>
  <si>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</si>
  <si>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</si>
  <si>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</si>
  <si>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</si>
  <si>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</si>
  <si>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</si>
  <si>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</si>
  <si>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</si>
  <si>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</si>
  <si>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</si>
  <si>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</si>
  <si>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</si>
  <si>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</si>
  <si>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</si>
  <si>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</si>
  <si>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</si>
  <si>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</si>
  <si>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</si>
  <si>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</si>
  <si>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</si>
  <si>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</si>
  <si>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</si>
  <si>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</si>
  <si>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</si>
  <si>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</si>
  <si>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</si>
  <si>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</si>
  <si>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</si>
  <si>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</si>
  <si>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</si>
  <si>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</si>
  <si>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</si>
  <si>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</si>
  <si>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</si>
  <si>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</si>
  <si>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</si>
  <si>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</si>
  <si>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</si>
  <si>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</si>
  <si>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</si>
  <si>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</si>
  <si>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</si>
  <si>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</si>
  <si>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</si>
  <si>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</si>
  <si>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</si>
  <si>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</si>
  <si>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</si>
  <si>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</si>
  <si>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</si>
  <si>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</si>
  <si>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</si>
  <si>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</si>
  <si>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</si>
  <si>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</si>
  <si>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</si>
  <si>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</si>
  <si>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FCA DE MUEBLES</t>
  </si>
  <si>
    <t>ESPACIO UNICO</t>
  </si>
  <si>
    <t>SANTA AMALIA 3500 OF 33F LA FLORIDA</t>
  </si>
  <si>
    <t>ANDRES VELANDIA</t>
  </si>
  <si>
    <t>10 DIAS HABILES</t>
  </si>
  <si>
    <t>SI</t>
  </si>
  <si>
    <t>CUB C/R FRENTE 90°</t>
  </si>
  <si>
    <t>GRAFITO 2174 MT</t>
  </si>
  <si>
    <t>SERVICIO CORTE Y ENCHAPE</t>
  </si>
  <si>
    <t>N° 11824A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</si>
</sst>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CORTADAS A LA MEDIDA Y ENCHAPADAS AMBOS LADOS SIN REGRUESO</a:t>
          </a:r>
        </a:p>
        <a:p>
          <a:pPr algn="l"/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13" zoomScale="93" zoomScaleNormal="93" workbookViewId="0">
      <selection activeCell="E30" sqref="E3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289</v>
      </c>
      <c r="D10" s="243"/>
      <c r="E10" s="243"/>
      <c r="F10" s="418" t="s">
        <v>277</v>
      </c>
      <c r="G10" s="275">
        <v>46029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292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288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293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>
        <v>56990472713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290</v>
      </c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44259.437869724214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29">
        <v>74</v>
      </c>
      <c r="C21" s="433" t="s">
        <v>294</v>
      </c>
      <c r="D21" s="430">
        <v>0.71</v>
      </c>
      <c r="E21" s="430">
        <v>0.51500000000000001</v>
      </c>
      <c r="F21" s="429" t="s">
        <v>295</v>
      </c>
      <c r="G21" s="431">
        <f>Q21</f>
        <v>18006.952297297295</v>
      </c>
      <c r="H21" s="431">
        <f>G21*B21</f>
        <v>1332514.47</v>
      </c>
      <c r="I21" s="306"/>
      <c r="J21" s="264"/>
      <c r="K21" s="47">
        <v>15</v>
      </c>
      <c r="L21" s="47">
        <f>B21</f>
        <v>74</v>
      </c>
      <c r="M21" s="39">
        <f>D21+M$19</f>
        <v>0.78999999999999992</v>
      </c>
      <c r="N21" s="39">
        <f>E21+$N$19</f>
        <v>0.51500000000000001</v>
      </c>
      <c r="O21" s="260">
        <f t="shared" ref="O21" si="0">M21*N21</f>
        <v>0.40684999999999999</v>
      </c>
      <c r="P21" s="258">
        <f t="shared" ref="P21" si="1">O21*L21</f>
        <v>30.1069</v>
      </c>
      <c r="Q21" s="251">
        <f t="shared" ref="Q21" si="2">Q$20*O21</f>
        <v>18006.952297297295</v>
      </c>
      <c r="R21" s="305">
        <f t="shared" ref="R21" si="3">Q21+R$20</f>
        <v>21006.952297297295</v>
      </c>
      <c r="S21" s="290">
        <f>M21*L21</f>
        <v>58.459999999999994</v>
      </c>
      <c r="T21" s="46">
        <f>N21*2*L21*2</f>
        <v>152.44</v>
      </c>
      <c r="U21" s="9"/>
      <c r="X21" s="4"/>
    </row>
    <row r="22" spans="2:25" ht="17.399999999999999" x14ac:dyDescent="0.3">
      <c r="B22" s="429">
        <v>74</v>
      </c>
      <c r="C22" s="433" t="s">
        <v>296</v>
      </c>
      <c r="D22" s="430"/>
      <c r="E22" s="430"/>
      <c r="F22" s="429"/>
      <c r="G22" s="431">
        <v>2000</v>
      </c>
      <c r="H22" s="431">
        <f t="shared" ref="H22" si="4">G22*B22</f>
        <v>148000</v>
      </c>
      <c r="I22" s="306"/>
      <c r="J22" s="264"/>
      <c r="K22" s="47">
        <f>K21/5</f>
        <v>3</v>
      </c>
      <c r="L22" s="47"/>
      <c r="M22" s="39">
        <f t="shared" ref="M22" si="5">D22+M$19</f>
        <v>0.08</v>
      </c>
      <c r="N22" s="39">
        <f t="shared" ref="N22" si="6">E22+$N$19</f>
        <v>0</v>
      </c>
      <c r="O22" s="260">
        <f t="shared" ref="O22" si="7">M22*N22</f>
        <v>0</v>
      </c>
      <c r="P22" s="258">
        <f t="shared" ref="P22" si="8">O22*L22</f>
        <v>0</v>
      </c>
      <c r="Q22" s="251">
        <f t="shared" ref="Q22" si="9">Q$20*O22</f>
        <v>0</v>
      </c>
      <c r="R22" s="305">
        <f t="shared" ref="R22" si="10">Q22+R$20</f>
        <v>3000</v>
      </c>
      <c r="S22" s="290">
        <f t="shared" ref="S22" si="11">M22*L22</f>
        <v>0</v>
      </c>
      <c r="T22" s="46"/>
      <c r="U22" s="9"/>
      <c r="X22" s="4"/>
    </row>
    <row r="23" spans="2:25" ht="17.399999999999999" x14ac:dyDescent="0.3">
      <c r="B23" s="283"/>
      <c r="C23" s="325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7.399999999999999" x14ac:dyDescent="0.3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8" thickBot="1" x14ac:dyDescent="0.35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SUM(H21:H24)</f>
        <v>1480514.47</v>
      </c>
      <c r="I27" s="308"/>
      <c r="J27" s="264"/>
      <c r="K27" s="47"/>
      <c r="L27" s="47"/>
      <c r="M27" s="39"/>
      <c r="N27" s="39"/>
      <c r="O27" s="260"/>
      <c r="P27" s="258"/>
      <c r="Q27" s="251"/>
      <c r="R27" s="257"/>
      <c r="S27" s="290"/>
      <c r="T27" s="46">
        <f>SUM(T21:T24)</f>
        <v>152.44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>
        <f>H27*19%</f>
        <v>281297.74930000002</v>
      </c>
      <c r="I28" s="308"/>
      <c r="J28" s="264"/>
      <c r="K28" s="47">
        <v>463</v>
      </c>
      <c r="L28" s="47"/>
      <c r="M28" s="39">
        <f>SUM(M21:M27)</f>
        <v>0.86999999999999988</v>
      </c>
      <c r="N28" s="12"/>
      <c r="O28" s="12"/>
      <c r="P28" s="252">
        <f>SUM(P21:P22)</f>
        <v>30.1069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1761812.2193</v>
      </c>
      <c r="I29" s="308"/>
      <c r="J29" s="264"/>
      <c r="K29" s="47">
        <f>K28*5</f>
        <v>2315</v>
      </c>
      <c r="L29" s="47"/>
      <c r="M29" s="39"/>
      <c r="N29" s="12"/>
      <c r="O29" s="12"/>
      <c r="P29" s="252">
        <f>P28</f>
        <v>30.1069</v>
      </c>
      <c r="Q29" s="14"/>
      <c r="R29" s="12"/>
      <c r="S29" s="239">
        <f>SUM(S21:S28)</f>
        <v>58.459999999999994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6.0213800000000006</v>
      </c>
      <c r="Q30" s="39" t="s">
        <v>129</v>
      </c>
      <c r="R30" s="42"/>
      <c r="S30" s="240">
        <f>S29+T27</f>
        <v>210.89999999999998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36.128280000000004</v>
      </c>
      <c r="Q31" s="14"/>
      <c r="R31" s="14"/>
      <c r="S31" s="238">
        <f>S30*20%</f>
        <v>42.18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253.07999999999998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36.128280000000004</v>
      </c>
      <c r="N33" s="12">
        <v>2500</v>
      </c>
      <c r="O33" s="12">
        <f t="shared" ref="O33:O38" si="12">M33*N33</f>
        <v>90320.700000000012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7.5</v>
      </c>
      <c r="N34" s="12">
        <v>23500</v>
      </c>
      <c r="O34" s="12">
        <f t="shared" si="12"/>
        <v>176250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58860</v>
      </c>
      <c r="O35" s="12">
        <f t="shared" si="12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10</v>
      </c>
      <c r="N36" s="249">
        <v>30950</v>
      </c>
      <c r="O36" s="12">
        <f t="shared" si="12"/>
        <v>309500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12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>
        <v>58.46</v>
      </c>
      <c r="N38" s="12">
        <v>1000</v>
      </c>
      <c r="O38" s="12">
        <f t="shared" si="12"/>
        <v>58460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634530.69999999995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O39*2.1</f>
        <v>1332514.47</v>
      </c>
      <c r="P40" s="14" t="s">
        <v>138</v>
      </c>
      <c r="Q40" s="14"/>
      <c r="R40" s="40">
        <f>P31/R39</f>
        <v>9.7412316652286464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42800</v>
      </c>
      <c r="L41" s="249"/>
      <c r="M41" s="14"/>
      <c r="N41" s="12"/>
      <c r="O41" s="12">
        <f>O40/P29</f>
        <v>44259.437869724214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35966.386554621851</v>
      </c>
      <c r="L42" s="249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46029</v>
      </c>
    </row>
    <row r="6" spans="2:31" ht="16.2" thickBot="1" x14ac:dyDescent="0.35">
      <c r="B6" s="140" t="s">
        <v>2</v>
      </c>
      <c r="C6" s="139" t="str">
        <f>'2229'!C10</f>
        <v>ESPACIO UNICO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11824A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-165241.09420012074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1480514.47</v>
      </c>
      <c r="E11" s="132">
        <f>D11*0.19</f>
        <v>281297.74930000002</v>
      </c>
      <c r="F11" s="131">
        <f>E11+D11</f>
        <v>1761812.2193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-59251.094200120744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296404.79078743968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-77251.094200120744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1184109.6792125604</v>
      </c>
      <c r="E13" s="221">
        <f>(D11/D12)-1</f>
        <v>3.9949073564796702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-86251.094200120744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-125251.09420012074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489067.90479927545</v>
      </c>
      <c r="F15" s="216">
        <f>E15-D12</f>
        <v>192663.11401183577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-125251.09420012074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-85251.094200120744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176250</v>
      </c>
      <c r="E19" s="123">
        <f>D19*0.19</f>
        <v>33487.5</v>
      </c>
      <c r="F19" s="120">
        <f>SUM(D19:E19)</f>
        <v>209737.5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90320.700000000012</v>
      </c>
      <c r="E20" s="121">
        <f>D20*0.19</f>
        <v>17160.933000000001</v>
      </c>
      <c r="F20" s="120">
        <f>SUM(D20:E20)</f>
        <v>107481.63300000002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266570.7</v>
      </c>
      <c r="E21" s="116">
        <f>SUM(E18:E20)</f>
        <v>50648.433000000005</v>
      </c>
      <c r="F21" s="115">
        <f>SUM(F18:F20)</f>
        <v>317219.13300000003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230649.31630000001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1480514.47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266570.7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1184109.6792125604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1184109.6792125604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11824A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ESPACIO UNICO</v>
      </c>
      <c r="D10" s="350"/>
      <c r="E10" s="350"/>
      <c r="F10" s="351" t="s">
        <v>167</v>
      </c>
      <c r="G10" s="352">
        <f>'2229'!G10</f>
        <v>46029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46036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>FCA DE MUEBLES</v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ANDRES VELANDIA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IF('2229'!C15="","",'2229'!C15)</f>
        <v>56990472713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SANTA AMALIA 3500 OF 33F LA FLORIDA</v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74</v>
      </c>
      <c r="C22" s="313" t="str">
        <f>'2229'!C21</f>
        <v>CUB C/R FRENTE 90°</v>
      </c>
      <c r="D22" s="321">
        <f>'2229'!D21*1000</f>
        <v>710</v>
      </c>
      <c r="E22" s="321">
        <f>'2229'!E21*1000</f>
        <v>515</v>
      </c>
      <c r="F22" s="322" t="str">
        <f>'2229'!F21</f>
        <v>GRAFITO 2174 MT</v>
      </c>
      <c r="G22" s="314">
        <f>'2229'!G21</f>
        <v>18006.952297297295</v>
      </c>
      <c r="H22" s="323">
        <f>G22*B22</f>
        <v>1332514.47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1332514.47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253177.7493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1585692.2193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ESPACIO UNICO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46029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46036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11824A</v>
      </c>
      <c r="C2" s="1">
        <f>'NOTA DE VENTA'!$G$10</f>
        <v>46029</v>
      </c>
      <c r="D2" s="1">
        <f>'NOTA DE VENTA'!$G$11</f>
        <v>46036</v>
      </c>
      <c r="E2" t="str">
        <f>'NOTA DE VENTA'!$C$10</f>
        <v>ESPACIO UNICO</v>
      </c>
      <c r="F2" t="str">
        <f>'NOTA DE VENTA'!$C$22</f>
        <v>CUB C/R FRENTE 90°</v>
      </c>
      <c r="G2" t="str">
        <f>'NOTA DE VENTA'!$F$22</f>
        <v>GRAFITO 2174 MT</v>
      </c>
      <c r="H2" s="416">
        <f>'NOTA DE VENTA'!$H$25</f>
        <v>1332514.47</v>
      </c>
      <c r="I2" s="416">
        <f>H2*0.19</f>
        <v>253177.7493</v>
      </c>
      <c r="J2" s="416">
        <f>I2+H2</f>
        <v>1585692.2193</v>
      </c>
      <c r="L2" s="61">
        <f>J2-K2</f>
        <v>1585692.2193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2026-02-23T18:53:54Z</cp:lastPrinted>
  <dcterms:created xsi:type="dcterms:W3CDTF">2013-03-18T13:35:42Z</dcterms:created>
  <dcterms:modified xsi:type="dcterms:W3CDTF">2026-02-23T18:55:59Z</dcterms:modified>
</cp:coreProperties>
</file>