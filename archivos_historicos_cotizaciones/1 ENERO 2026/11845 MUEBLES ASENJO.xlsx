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6\"/>
    </mc:Choice>
  </mc:AlternateContent>
  <xr:revisionPtr revIDLastSave="0" documentId="13_ncr:1_{66622985-6611-447D-8242-C75338A21B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1" l="1"/>
  <c r="M23" i="1"/>
  <c r="N23" i="1"/>
  <c r="O23" i="1"/>
  <c r="P23" i="1" s="1"/>
  <c r="S23" i="1"/>
  <c r="L24" i="1"/>
  <c r="M24" i="1"/>
  <c r="N24" i="1"/>
  <c r="O24" i="1"/>
  <c r="P24" i="1" s="1"/>
  <c r="S24" i="1"/>
  <c r="L25" i="1"/>
  <c r="M25" i="1"/>
  <c r="N25" i="1"/>
  <c r="O25" i="1"/>
  <c r="P25" i="1" s="1"/>
  <c r="S25" i="1"/>
  <c r="L26" i="1"/>
  <c r="M26" i="1"/>
  <c r="N26" i="1"/>
  <c r="O26" i="1"/>
  <c r="P26" i="1" s="1"/>
  <c r="S26" i="1"/>
  <c r="L22" i="1"/>
  <c r="M22" i="1"/>
  <c r="N22" i="1"/>
  <c r="L21" i="1"/>
  <c r="J44" i="1"/>
  <c r="K38" i="1"/>
  <c r="K39" i="1" s="1"/>
  <c r="O22" i="1" l="1"/>
  <c r="S22" i="1"/>
  <c r="P22" i="1"/>
  <c r="M21" i="1"/>
  <c r="N21" i="1"/>
  <c r="J15" i="1"/>
  <c r="J10" i="1"/>
  <c r="O21" i="1" l="1"/>
  <c r="P21" i="1" s="1"/>
  <c r="P29" i="1" s="1"/>
  <c r="S30" i="1"/>
  <c r="M29" i="1"/>
  <c r="T28" i="1"/>
  <c r="K43" i="1"/>
  <c r="S31" i="1" l="1"/>
  <c r="S32" i="1" s="1"/>
  <c r="S33" i="1" s="1"/>
  <c r="V36" i="1"/>
  <c r="V37" i="1" s="1"/>
  <c r="O35" i="1" l="1"/>
  <c r="P30" i="1" l="1"/>
  <c r="N20" i="1"/>
  <c r="L20" i="1"/>
  <c r="P31" i="1" l="1"/>
  <c r="P32" i="1" s="1"/>
  <c r="M34" i="1" s="1"/>
  <c r="O36" i="1"/>
  <c r="R40" i="1"/>
  <c r="R41" i="1" l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O41" i="1" s="1"/>
  <c r="D20" i="3" l="1"/>
  <c r="E20" i="3" s="1"/>
  <c r="E21" i="3" s="1"/>
  <c r="O42" i="1" l="1"/>
  <c r="Q20" i="1" s="1"/>
  <c r="D21" i="3"/>
  <c r="M43" i="3" s="1"/>
  <c r="D12" i="3" s="1"/>
  <c r="F20" i="3"/>
  <c r="F21" i="3" s="1"/>
  <c r="Q23" i="1" l="1"/>
  <c r="Q24" i="1"/>
  <c r="Q25" i="1"/>
  <c r="Q26" i="1"/>
  <c r="R26" i="1" s="1"/>
  <c r="Q22" i="1"/>
  <c r="Q21" i="1"/>
  <c r="O43" i="1"/>
  <c r="E15" i="3"/>
  <c r="R25" i="1" l="1"/>
  <c r="G25" i="1"/>
  <c r="H25" i="1" s="1"/>
  <c r="R21" i="1"/>
  <c r="G21" i="1"/>
  <c r="H21" i="1" s="1"/>
  <c r="R24" i="1"/>
  <c r="G24" i="1"/>
  <c r="H24" i="1" s="1"/>
  <c r="R22" i="1"/>
  <c r="G22" i="1"/>
  <c r="H22" i="1" s="1"/>
  <c r="R23" i="1"/>
  <c r="G23" i="1"/>
  <c r="H23" i="1" s="1"/>
  <c r="F15" i="3"/>
  <c r="H28" i="1" l="1"/>
  <c r="H29" i="1"/>
  <c r="H30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<sst xmlns="http://schemas.openxmlformats.org/spreadsheetml/2006/main" count="238" uniqueCount="176">
  <si>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</si>
  <si>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</si>
  <si>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</si>
  <si>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</si>
  <si>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</si>
  <si>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</si>
  <si>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</si>
  <si>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</si>
  <si>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</si>
  <si>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</si>
  <si>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</si>
  <si>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</si>
  <si>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</si>
  <si>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</si>
  <si>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</si>
  <si>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</si>
  <si>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</si>
  <si>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</si>
  <si>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</si>
  <si>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</si>
  <si>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</si>
  <si>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</si>
  <si>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</si>
  <si>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</si>
  <si>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</si>
  <si>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</si>
  <si>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</si>
  <si>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</si>
  <si>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</si>
  <si>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</si>
  <si>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</si>
  <si>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</si>
  <si>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</si>
  <si>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</si>
  <si>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</si>
  <si>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</si>
  <si>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</si>
  <si>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</si>
  <si>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</si>
  <si>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</si>
  <si>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</si>
  <si>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</si>
  <si>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</si>
  <si>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</si>
  <si>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</si>
  <si>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</si>
  <si>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</si>
  <si>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</si>
  <si>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</si>
  <si>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</si>
  <si>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</si>
  <si>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</si>
  <si>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</si>
  <si>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</si>
  <si>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</si>
  <si>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</si>
  <si>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</si>
  <si>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</si>
  <si>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</si>
  <si>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</si>
  <si>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</si>
  <si>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</si>
  <si>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</si>
  <si>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</si>
  <si>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</si>
  <si>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</si>
  <si>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</si>
  <si>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</si>
  <si>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</si>
  <si>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</si>
  <si>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</si>
  <si>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</si>
  <si>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</si>
  <si>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</si>
  <si>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</si>
  <si>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</si>
  <si>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</si>
  <si>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</si>
  <si>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</si>
  <si>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</si>
  <si>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</si>
  <si>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</si>
  <si>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</si>
  <si>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</si>
  <si>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</si>
  <si>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</si>
  <si>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</si>
  <si>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</si>
  <si>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</si>
  <si>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</si>
  <si>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</si>
  <si>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</si>
  <si>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</si>
  <si>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</si>
  <si>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</si>
  <si>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</si>
  <si>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</si>
  <si>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</si>
  <si>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</si>
  <si>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</si>
  <si>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</si>
  <si>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</si>
  <si>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</si>
  <si>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</si>
  <si>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</si>
  <si>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</si>
  <si>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</si>
  <si>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</si>
  <si>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</si>
  <si>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</si>
  <si>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</si>
  <si>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</si>
  <si>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</si>
  <si>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</si>
  <si>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</si>
  <si>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</si>
  <si>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</si>
  <si>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</si>
  <si>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</si>
  <si>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</si>
  <si>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</si>
  <si>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</si>
  <si>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</si>
  <si>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</si>
  <si>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</si>
  <si>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</si>
  <si>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</si>
  <si>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</si>
  <si>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</si>
  <si>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</si>
  <si>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</si>
  <si>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</si>
  <si>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</si>
  <si>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</si>
  <si>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</si>
  <si>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</si>
  <si>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</si>
  <si>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</si>
  <si>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</si>
  <si>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</si>
  <si>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</si>
  <si>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</si>
  <si>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</si>
  <si>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</si>
  <si>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</si>
  <si>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</si>
  <si>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</si>
  <si>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</si>
  <si>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</si>
  <si>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</si>
  <si>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</si>
  <si>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</si>
  <si>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</si>
  <si>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</si>
  <si>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</si>
  <si>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</si>
  <si>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</si>
  <si>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</si>
  <si>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</si>
  <si>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</si>
  <si>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</si>
  <si>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</si>
  <si>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</si>
  <si>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</si>
  <si>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</si>
  <si>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</si>
  <si>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</si>
  <si>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</si>
  <si>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</si>
  <si>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</si>
  <si>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</si>
  <si>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5 DIAS HABILES</t>
  </si>
  <si>
    <t>CUB C/R 90° R8</t>
  </si>
  <si>
    <t>N° 11845</t>
  </si>
  <si>
    <t>GLACIAL WHITE 22191 SF</t>
  </si>
  <si>
    <t>CUB MESA  90° R8 2 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</si>
</sst>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topLeftCell="B6" zoomScale="93" zoomScaleNormal="93" workbookViewId="0">
      <selection activeCell="C22" sqref="C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173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46045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169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  <c r="J15">
        <f>SUM(J12:J14)</f>
        <v>158</v>
      </c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2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O42</f>
        <v>49545.091319717212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5</v>
      </c>
      <c r="C21" s="330" t="s">
        <v>175</v>
      </c>
      <c r="D21" s="333">
        <v>2.2999999999999998</v>
      </c>
      <c r="E21" s="333">
        <v>1.2</v>
      </c>
      <c r="F21" s="330" t="s">
        <v>174</v>
      </c>
      <c r="G21" s="331">
        <f>Q21</f>
        <v>141500.78080911236</v>
      </c>
      <c r="H21" s="331">
        <f t="shared" ref="H21" si="1">G21*B21</f>
        <v>707503.90404556179</v>
      </c>
      <c r="I21" s="320"/>
      <c r="J21" s="265">
        <v>92285</v>
      </c>
      <c r="K21" s="47"/>
      <c r="L21" s="332">
        <f>B21</f>
        <v>5</v>
      </c>
      <c r="M21" s="39">
        <f t="shared" ref="M21" si="2">D21+M$19</f>
        <v>2.38</v>
      </c>
      <c r="N21" s="39">
        <f t="shared" ref="N21" si="3">E21+$N$19</f>
        <v>1.2</v>
      </c>
      <c r="O21" s="261">
        <f t="shared" ref="O21" si="4">M21*N21</f>
        <v>2.8559999999999999</v>
      </c>
      <c r="P21" s="259">
        <f t="shared" ref="P21" si="5">O21*L21</f>
        <v>14.28</v>
      </c>
      <c r="Q21" s="252">
        <f t="shared" ref="Q21" si="6">Q$20*O21</f>
        <v>141500.78080911236</v>
      </c>
      <c r="R21" s="319">
        <f t="shared" ref="R21" si="7">Q21+R$20</f>
        <v>144500.78080911236</v>
      </c>
      <c r="S21" s="297"/>
      <c r="T21" s="46"/>
      <c r="U21" s="9"/>
      <c r="X21" s="4"/>
    </row>
    <row r="22" spans="2:25" ht="17.399999999999999" x14ac:dyDescent="0.3">
      <c r="B22" s="330">
        <v>1</v>
      </c>
      <c r="C22" s="330" t="s">
        <v>172</v>
      </c>
      <c r="D22" s="333">
        <v>2.46</v>
      </c>
      <c r="E22" s="333">
        <v>0.7</v>
      </c>
      <c r="F22" s="330" t="s">
        <v>174</v>
      </c>
      <c r="G22" s="331">
        <f t="shared" ref="G22:G25" si="8">Q22</f>
        <v>88091.172366457191</v>
      </c>
      <c r="H22" s="331">
        <f t="shared" ref="H22:H25" si="9">G22*B22</f>
        <v>88091.172366457191</v>
      </c>
      <c r="I22" s="320"/>
      <c r="J22" s="265"/>
      <c r="K22" s="47"/>
      <c r="L22" s="332">
        <f t="shared" ref="L22" si="10">B22</f>
        <v>1</v>
      </c>
      <c r="M22" s="39">
        <f t="shared" ref="M22" si="11">D22+M$19</f>
        <v>2.54</v>
      </c>
      <c r="N22" s="39">
        <f t="shared" ref="N22" si="12">E22+$N$19</f>
        <v>0.7</v>
      </c>
      <c r="O22" s="261">
        <f t="shared" ref="O22" si="13">M22*N22</f>
        <v>1.7779999999999998</v>
      </c>
      <c r="P22" s="259">
        <f t="shared" ref="P22" si="14">O22*L22</f>
        <v>1.7779999999999998</v>
      </c>
      <c r="Q22" s="252">
        <f t="shared" ref="Q22" si="15">Q$20*O22</f>
        <v>88091.172366457191</v>
      </c>
      <c r="R22" s="319">
        <f t="shared" ref="R22" si="16">Q22+R$20</f>
        <v>91091.172366457191</v>
      </c>
      <c r="S22" s="297">
        <f t="shared" ref="S22" si="17">L22*M22</f>
        <v>2.54</v>
      </c>
      <c r="T22" s="46"/>
      <c r="U22" s="9"/>
      <c r="X22" s="4"/>
    </row>
    <row r="23" spans="2:25" ht="17.399999999999999" x14ac:dyDescent="0.3">
      <c r="B23" s="330">
        <v>1</v>
      </c>
      <c r="C23" s="330" t="s">
        <v>172</v>
      </c>
      <c r="D23" s="333">
        <v>2.2200000000000002</v>
      </c>
      <c r="E23" s="333">
        <v>0.7</v>
      </c>
      <c r="F23" s="330" t="s">
        <v>174</v>
      </c>
      <c r="G23" s="331">
        <f t="shared" si="8"/>
        <v>79767.597024744711</v>
      </c>
      <c r="H23" s="331">
        <f t="shared" si="9"/>
        <v>79767.597024744711</v>
      </c>
      <c r="I23" s="320"/>
      <c r="J23" s="265"/>
      <c r="K23" s="47"/>
      <c r="L23" s="332">
        <f t="shared" ref="L23:L26" si="18">B23</f>
        <v>1</v>
      </c>
      <c r="M23" s="39">
        <f t="shared" ref="M23:M26" si="19">D23+M$19</f>
        <v>2.3000000000000003</v>
      </c>
      <c r="N23" s="39">
        <f t="shared" ref="N23:N26" si="20">E23+$N$19</f>
        <v>0.7</v>
      </c>
      <c r="O23" s="261">
        <f t="shared" ref="O23:O26" si="21">M23*N23</f>
        <v>1.61</v>
      </c>
      <c r="P23" s="259">
        <f t="shared" ref="P23:P26" si="22">O23*L23</f>
        <v>1.61</v>
      </c>
      <c r="Q23" s="252">
        <f t="shared" ref="Q23:Q26" si="23">Q$20*O23</f>
        <v>79767.597024744711</v>
      </c>
      <c r="R23" s="319">
        <f t="shared" ref="R23:R26" si="24">Q23+R$20</f>
        <v>82767.597024744711</v>
      </c>
      <c r="S23" s="297">
        <f t="shared" ref="S23:S26" si="25">L23*M23</f>
        <v>2.3000000000000003</v>
      </c>
      <c r="T23" s="46"/>
      <c r="U23" s="9"/>
      <c r="X23" s="4"/>
    </row>
    <row r="24" spans="2:25" ht="17.399999999999999" x14ac:dyDescent="0.3">
      <c r="B24" s="330">
        <v>1</v>
      </c>
      <c r="C24" s="330" t="s">
        <v>172</v>
      </c>
      <c r="D24" s="333">
        <v>2.6040000000000001</v>
      </c>
      <c r="E24" s="333">
        <v>0.6</v>
      </c>
      <c r="F24" s="330" t="s">
        <v>174</v>
      </c>
      <c r="G24" s="331">
        <f t="shared" si="8"/>
        <v>79787.415061272608</v>
      </c>
      <c r="H24" s="331">
        <f t="shared" si="9"/>
        <v>79787.415061272608</v>
      </c>
      <c r="I24" s="320"/>
      <c r="J24" s="265"/>
      <c r="K24" s="47"/>
      <c r="L24" s="332">
        <f t="shared" si="18"/>
        <v>1</v>
      </c>
      <c r="M24" s="39">
        <f t="shared" si="19"/>
        <v>2.6840000000000002</v>
      </c>
      <c r="N24" s="39">
        <f t="shared" si="20"/>
        <v>0.6</v>
      </c>
      <c r="O24" s="261">
        <f t="shared" si="21"/>
        <v>1.6104000000000001</v>
      </c>
      <c r="P24" s="259">
        <f t="shared" si="22"/>
        <v>1.6104000000000001</v>
      </c>
      <c r="Q24" s="252">
        <f t="shared" si="23"/>
        <v>79787.415061272608</v>
      </c>
      <c r="R24" s="319">
        <f t="shared" si="24"/>
        <v>82787.415061272608</v>
      </c>
      <c r="S24" s="297">
        <f t="shared" si="25"/>
        <v>2.6840000000000002</v>
      </c>
      <c r="T24" s="46"/>
      <c r="U24" s="9"/>
      <c r="X24" s="4"/>
    </row>
    <row r="25" spans="2:25" ht="17.399999999999999" x14ac:dyDescent="0.3">
      <c r="B25" s="330">
        <v>1</v>
      </c>
      <c r="C25" s="330" t="s">
        <v>172</v>
      </c>
      <c r="D25" s="333">
        <v>1.736</v>
      </c>
      <c r="E25" s="333">
        <v>0.6</v>
      </c>
      <c r="F25" s="330" t="s">
        <v>174</v>
      </c>
      <c r="G25" s="331">
        <f t="shared" si="8"/>
        <v>53984.331501963869</v>
      </c>
      <c r="H25" s="331">
        <f t="shared" si="9"/>
        <v>53984.331501963869</v>
      </c>
      <c r="I25" s="320"/>
      <c r="J25" s="265"/>
      <c r="K25" s="47"/>
      <c r="L25" s="332">
        <f t="shared" si="18"/>
        <v>1</v>
      </c>
      <c r="M25" s="39">
        <f t="shared" si="19"/>
        <v>1.8160000000000001</v>
      </c>
      <c r="N25" s="39">
        <f t="shared" si="20"/>
        <v>0.6</v>
      </c>
      <c r="O25" s="261">
        <f t="shared" si="21"/>
        <v>1.0895999999999999</v>
      </c>
      <c r="P25" s="259">
        <f t="shared" si="22"/>
        <v>1.0895999999999999</v>
      </c>
      <c r="Q25" s="252">
        <f t="shared" si="23"/>
        <v>53984.331501963869</v>
      </c>
      <c r="R25" s="319">
        <f t="shared" si="24"/>
        <v>56984.331501963869</v>
      </c>
      <c r="S25" s="297">
        <f t="shared" si="25"/>
        <v>1.8160000000000001</v>
      </c>
      <c r="T25" s="46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0"/>
      <c r="H26" s="320"/>
      <c r="I26" s="320"/>
      <c r="J26" s="265"/>
      <c r="K26" s="47"/>
      <c r="L26" s="332">
        <f t="shared" si="18"/>
        <v>0</v>
      </c>
      <c r="M26" s="39">
        <f t="shared" si="19"/>
        <v>0.08</v>
      </c>
      <c r="N26" s="39">
        <f t="shared" si="20"/>
        <v>0</v>
      </c>
      <c r="O26" s="261">
        <f t="shared" si="21"/>
        <v>0</v>
      </c>
      <c r="P26" s="259">
        <f t="shared" si="22"/>
        <v>0</v>
      </c>
      <c r="Q26" s="252">
        <f t="shared" si="23"/>
        <v>0</v>
      </c>
      <c r="R26" s="319">
        <f t="shared" si="24"/>
        <v>3000</v>
      </c>
      <c r="S26" s="297">
        <f t="shared" si="25"/>
        <v>0</v>
      </c>
      <c r="T26" s="46"/>
      <c r="U26" s="9"/>
      <c r="X26" s="4"/>
    </row>
    <row r="27" spans="2:25" ht="18" thickBot="1" x14ac:dyDescent="0.35">
      <c r="B27" s="285"/>
      <c r="C27" s="285"/>
      <c r="D27" s="286"/>
      <c r="E27" s="286"/>
      <c r="F27" s="285"/>
      <c r="G27" s="265"/>
      <c r="H27" s="321"/>
      <c r="I27" s="323"/>
      <c r="J27" s="233"/>
      <c r="K27" s="47"/>
      <c r="L27" s="47"/>
      <c r="M27" s="39"/>
      <c r="N27" s="39"/>
      <c r="O27" s="261"/>
      <c r="P27" s="259"/>
      <c r="Q27" s="252"/>
      <c r="R27" s="258"/>
      <c r="S27" s="297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4" t="s">
        <v>28</v>
      </c>
      <c r="H28" s="325">
        <f>SUM(H21:H27)</f>
        <v>1009134.4200000002</v>
      </c>
      <c r="I28" s="322"/>
      <c r="J28" s="265">
        <v>1143967</v>
      </c>
      <c r="K28" s="47"/>
      <c r="L28" s="47"/>
      <c r="M28" s="39"/>
      <c r="N28" s="39"/>
      <c r="O28" s="261"/>
      <c r="P28" s="259"/>
      <c r="Q28" s="252"/>
      <c r="R28" s="258"/>
      <c r="S28" s="297"/>
      <c r="T28" s="46">
        <f>SUM(T21:T27)</f>
        <v>0</v>
      </c>
      <c r="U28" s="9"/>
      <c r="X28" s="4"/>
    </row>
    <row r="29" spans="2:25" ht="17.399999999999999" x14ac:dyDescent="0.3">
      <c r="B29" s="279"/>
      <c r="C29" s="282"/>
      <c r="D29" s="283"/>
      <c r="E29" s="283"/>
      <c r="F29" s="284"/>
      <c r="G29" s="296" t="s">
        <v>51</v>
      </c>
      <c r="H29" s="294">
        <f>H28*19%</f>
        <v>191735.53980000003</v>
      </c>
      <c r="I29" s="322"/>
      <c r="J29" s="265"/>
      <c r="K29" s="47"/>
      <c r="L29" s="47"/>
      <c r="M29" s="39">
        <f>SUM(M21:M28)</f>
        <v>11.8</v>
      </c>
      <c r="N29" s="12"/>
      <c r="O29" s="12"/>
      <c r="P29" s="253">
        <f>SUM(P21:P27)</f>
        <v>20.367999999999999</v>
      </c>
      <c r="Q29" s="14"/>
      <c r="R29" s="12"/>
      <c r="S29" s="239"/>
      <c r="T29" s="46"/>
      <c r="U29" s="9"/>
      <c r="X29" s="4"/>
    </row>
    <row r="30" spans="2:25" ht="18" thickBot="1" x14ac:dyDescent="0.35">
      <c r="B30" s="275"/>
      <c r="C30" s="281"/>
      <c r="D30" s="272"/>
      <c r="E30" s="272"/>
      <c r="F30" s="273"/>
      <c r="G30" s="280" t="s">
        <v>6</v>
      </c>
      <c r="H30" s="295">
        <f>H28+H29</f>
        <v>1200869.9598000003</v>
      </c>
      <c r="I30" s="322"/>
      <c r="J30" s="265"/>
      <c r="K30" s="47"/>
      <c r="L30" s="47"/>
      <c r="M30" s="39"/>
      <c r="N30" s="12"/>
      <c r="O30" s="12"/>
      <c r="P30" s="253">
        <f>P29</f>
        <v>20.367999999999999</v>
      </c>
      <c r="Q30" s="14"/>
      <c r="R30" s="12"/>
      <c r="S30" s="239">
        <f>SUM(S21:S29)</f>
        <v>9.34</v>
      </c>
      <c r="T30" s="46"/>
      <c r="U30" s="9"/>
      <c r="X30" s="4"/>
    </row>
    <row r="31" spans="2:25" ht="17.399999999999999" x14ac:dyDescent="0.3">
      <c r="B31" s="275"/>
      <c r="C31" s="271"/>
      <c r="D31" s="272"/>
      <c r="E31" s="272"/>
      <c r="F31" s="273"/>
      <c r="J31" s="265"/>
      <c r="K31" s="47"/>
      <c r="L31" s="47"/>
      <c r="M31" s="14"/>
      <c r="N31" s="12"/>
      <c r="O31" s="12"/>
      <c r="P31" s="39">
        <f>P30*20%</f>
        <v>4.0735999999999999</v>
      </c>
      <c r="Q31" s="39" t="s">
        <v>130</v>
      </c>
      <c r="R31" s="42"/>
      <c r="S31" s="240">
        <f>S30+T28</f>
        <v>9.34</v>
      </c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4"/>
      <c r="I32" s="274"/>
      <c r="J32" s="265"/>
      <c r="K32" s="47"/>
      <c r="L32" s="47"/>
      <c r="M32" s="14"/>
      <c r="N32" s="12"/>
      <c r="O32" s="12"/>
      <c r="P32" s="46">
        <f>P30+P31</f>
        <v>24.441599999999998</v>
      </c>
      <c r="Q32" s="14"/>
      <c r="R32" s="14"/>
      <c r="S32" s="238">
        <f>S31*20%</f>
        <v>1.8680000000000001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4"/>
      <c r="J33" s="265"/>
      <c r="K33" s="47"/>
      <c r="L33" s="47"/>
      <c r="M33" s="14"/>
      <c r="N33" s="14"/>
      <c r="O33" s="14"/>
      <c r="P33" s="14"/>
      <c r="Q33" s="14"/>
      <c r="R33" s="14"/>
      <c r="S33" s="240">
        <f>S31+S32</f>
        <v>11.208</v>
      </c>
      <c r="T33" s="14"/>
      <c r="U33" s="302" t="s">
        <v>21</v>
      </c>
      <c r="V33" s="299" t="s">
        <v>151</v>
      </c>
      <c r="W33" s="303">
        <v>44971</v>
      </c>
      <c r="X33" s="304"/>
    </row>
    <row r="34" spans="1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39">
        <f>P32</f>
        <v>24.441599999999998</v>
      </c>
      <c r="N34" s="12">
        <v>2000</v>
      </c>
      <c r="O34" s="12">
        <f t="shared" ref="O34:O39" si="26">M34*N34</f>
        <v>48883.199999999997</v>
      </c>
      <c r="P34" s="14" t="s">
        <v>21</v>
      </c>
      <c r="Q34" s="14"/>
      <c r="R34" s="14"/>
      <c r="S34" s="241"/>
      <c r="T34" s="14"/>
      <c r="U34" s="302" t="s">
        <v>152</v>
      </c>
      <c r="V34" s="299">
        <v>3625</v>
      </c>
      <c r="W34" s="59" t="s">
        <v>153</v>
      </c>
      <c r="X34" s="304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5"/>
      <c r="K35" s="47"/>
      <c r="L35" s="47"/>
      <c r="M35" s="249">
        <v>7</v>
      </c>
      <c r="N35" s="12">
        <v>23500</v>
      </c>
      <c r="O35" s="12">
        <f t="shared" si="26"/>
        <v>164500</v>
      </c>
      <c r="P35" s="39" t="s">
        <v>31</v>
      </c>
      <c r="Q35" s="42"/>
      <c r="R35" s="14"/>
      <c r="S35" s="240"/>
      <c r="T35" s="14"/>
      <c r="U35" s="302"/>
      <c r="V35" s="59">
        <v>906.25</v>
      </c>
      <c r="W35" s="59" t="s">
        <v>154</v>
      </c>
      <c r="X35" s="304"/>
    </row>
    <row r="36" spans="1:24" s="230" customFormat="1" ht="17.399999999999999" x14ac:dyDescent="0.35">
      <c r="B36" s="24" t="s">
        <v>150</v>
      </c>
      <c r="J36" s="262"/>
      <c r="K36" s="232">
        <v>1220</v>
      </c>
      <c r="L36" s="250"/>
      <c r="M36" s="14"/>
      <c r="N36" s="250">
        <v>23500</v>
      </c>
      <c r="O36" s="12">
        <f t="shared" si="26"/>
        <v>0</v>
      </c>
      <c r="P36" s="39" t="s">
        <v>30</v>
      </c>
      <c r="Q36" s="42"/>
      <c r="S36" s="240"/>
      <c r="T36" s="256"/>
      <c r="U36" s="59"/>
      <c r="V36" s="59">
        <f>V35*20%</f>
        <v>181.25</v>
      </c>
      <c r="W36" s="304" t="s">
        <v>155</v>
      </c>
      <c r="X36" s="59"/>
    </row>
    <row r="37" spans="1:24" s="230" customFormat="1" ht="17.399999999999999" x14ac:dyDescent="0.35">
      <c r="B37" s="24" t="s">
        <v>143</v>
      </c>
      <c r="C37"/>
      <c r="D37"/>
      <c r="E37"/>
      <c r="F37"/>
      <c r="J37" s="262">
        <v>32859</v>
      </c>
      <c r="K37" s="232">
        <v>230</v>
      </c>
      <c r="L37" s="250"/>
      <c r="M37" s="14">
        <v>7</v>
      </c>
      <c r="N37" s="250">
        <v>36831</v>
      </c>
      <c r="O37" s="12">
        <f t="shared" si="26"/>
        <v>257817</v>
      </c>
      <c r="P37" s="14" t="s">
        <v>170</v>
      </c>
      <c r="Q37" s="17"/>
      <c r="S37" s="238"/>
      <c r="T37" s="256"/>
      <c r="U37" s="59"/>
      <c r="V37" s="59">
        <f>V35+V36</f>
        <v>1087.5</v>
      </c>
      <c r="W37" s="304" t="s">
        <v>156</v>
      </c>
      <c r="X37" s="59"/>
    </row>
    <row r="38" spans="1:24" s="230" customFormat="1" ht="17.399999999999999" x14ac:dyDescent="0.35">
      <c r="B38" s="29" t="s">
        <v>125</v>
      </c>
      <c r="C38"/>
      <c r="D38"/>
      <c r="E38"/>
      <c r="F38" s="229" t="s">
        <v>15</v>
      </c>
      <c r="J38" s="262"/>
      <c r="K38" s="260">
        <f>K36/K37</f>
        <v>5.3043478260869561</v>
      </c>
      <c r="L38" s="250"/>
      <c r="M38" s="249"/>
      <c r="N38" s="250">
        <v>15700</v>
      </c>
      <c r="O38" s="12">
        <f t="shared" si="26"/>
        <v>0</v>
      </c>
      <c r="P38" s="14" t="s">
        <v>32</v>
      </c>
      <c r="Q38" s="14"/>
      <c r="R38" s="230">
        <v>1.83</v>
      </c>
      <c r="S38" s="238"/>
      <c r="T38" s="238"/>
    </row>
    <row r="39" spans="1:24" s="230" customFormat="1" ht="17.399999999999999" x14ac:dyDescent="0.35">
      <c r="J39" s="293"/>
      <c r="K39" s="260" t="e">
        <f>#REF!/K38</f>
        <v>#REF!</v>
      </c>
      <c r="L39" s="250"/>
      <c r="M39" s="266">
        <v>9.34</v>
      </c>
      <c r="N39" s="12">
        <v>1000</v>
      </c>
      <c r="O39" s="12">
        <f t="shared" si="26"/>
        <v>9340</v>
      </c>
      <c r="P39" s="14" t="s">
        <v>22</v>
      </c>
      <c r="Q39" s="14"/>
      <c r="R39">
        <v>2.5</v>
      </c>
      <c r="S39"/>
      <c r="T39" s="238"/>
      <c r="X39" s="231"/>
    </row>
    <row r="40" spans="1:24" s="230" customFormat="1" ht="17.399999999999999" x14ac:dyDescent="0.35">
      <c r="K40" s="260"/>
      <c r="L40" s="250"/>
      <c r="M40" s="14"/>
      <c r="N40" s="12"/>
      <c r="O40" s="12">
        <f>SUM(O34:O39)</f>
        <v>480540.2</v>
      </c>
      <c r="P40" s="39" t="s">
        <v>23</v>
      </c>
      <c r="Q40" s="14"/>
      <c r="R40">
        <f>R38*R39</f>
        <v>4.5750000000000002</v>
      </c>
      <c r="S40"/>
      <c r="T40" s="238"/>
      <c r="X40" s="231"/>
    </row>
    <row r="41" spans="1:24" s="230" customFormat="1" ht="17.399999999999999" x14ac:dyDescent="0.35">
      <c r="L41" s="250"/>
      <c r="M41" s="254" t="s">
        <v>33</v>
      </c>
      <c r="N41" s="12"/>
      <c r="O41" s="255">
        <f>O40*2.1</f>
        <v>1009134.42</v>
      </c>
      <c r="P41" s="14" t="s">
        <v>140</v>
      </c>
      <c r="Q41" s="14"/>
      <c r="R41" s="40">
        <f>P32/R40</f>
        <v>5.3424262295081961</v>
      </c>
      <c r="S41"/>
      <c r="T41" s="257"/>
    </row>
    <row r="42" spans="1:24" s="230" customFormat="1" ht="17.399999999999999" x14ac:dyDescent="0.35">
      <c r="G42"/>
      <c r="H42" s="260"/>
      <c r="I42" s="260"/>
      <c r="J42" s="260">
        <v>22475</v>
      </c>
      <c r="K42" s="230">
        <v>40000</v>
      </c>
      <c r="L42" s="250"/>
      <c r="M42" s="14"/>
      <c r="N42" s="12"/>
      <c r="O42" s="12">
        <f>O41/P30</f>
        <v>49545.091319717212</v>
      </c>
      <c r="P42" s="45" t="s">
        <v>24</v>
      </c>
      <c r="Q42" s="14"/>
      <c r="R42" s="14"/>
      <c r="S42"/>
      <c r="T42" s="238"/>
      <c r="U42" s="59" t="s">
        <v>157</v>
      </c>
      <c r="V42" s="299">
        <v>43650</v>
      </c>
    </row>
    <row r="43" spans="1:24" s="230" customFormat="1" ht="17.399999999999999" x14ac:dyDescent="0.35">
      <c r="G43"/>
      <c r="J43" s="230">
        <v>6</v>
      </c>
      <c r="K43" s="230">
        <f>K42/1.19</f>
        <v>33613.445378151264</v>
      </c>
      <c r="L43" s="250"/>
      <c r="M43" s="13"/>
      <c r="N43" s="14"/>
      <c r="O43" s="17">
        <f>O41/O40</f>
        <v>2.1</v>
      </c>
      <c r="P43" s="15"/>
      <c r="Q43"/>
      <c r="R43"/>
      <c r="S43"/>
      <c r="T43" s="238"/>
      <c r="U43" s="59" t="s">
        <v>159</v>
      </c>
      <c r="V43" s="300" t="s">
        <v>158</v>
      </c>
      <c r="W43" s="59">
        <v>2.4</v>
      </c>
    </row>
    <row r="44" spans="1:24" s="230" customFormat="1" ht="17.399999999999999" x14ac:dyDescent="0.35">
      <c r="G44" s="23"/>
      <c r="J44" s="260">
        <f>J42*J43</f>
        <v>134850</v>
      </c>
      <c r="L44" s="12"/>
      <c r="T44" s="238"/>
      <c r="U44" s="59" t="s">
        <v>160</v>
      </c>
      <c r="V44" s="301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155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50"/>
    </row>
    <row r="48" spans="1:24" x14ac:dyDescent="0.3">
      <c r="L48" s="250"/>
      <c r="T48" s="270"/>
    </row>
    <row r="49" spans="12:20" x14ac:dyDescent="0.3">
      <c r="L49" s="250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147</v>
      </c>
    </row>
    <row r="78" spans="3:15" x14ac:dyDescent="0.3">
      <c r="C78" t="s">
        <v>146</v>
      </c>
    </row>
    <row r="81" spans="3:3" x14ac:dyDescent="0.3">
      <c r="C81" t="s">
        <v>146</v>
      </c>
    </row>
    <row r="158" spans="3:3" x14ac:dyDescent="0.3">
      <c r="C158" t="s">
        <v>146</v>
      </c>
    </row>
    <row r="159" spans="3:3" x14ac:dyDescent="0.3">
      <c r="C159" t="s">
        <v>148</v>
      </c>
    </row>
    <row r="160" spans="3:3" x14ac:dyDescent="0.3">
      <c r="C160" t="s">
        <v>149</v>
      </c>
    </row>
    <row r="585" spans="3:3" x14ac:dyDescent="0.3">
      <c r="C585" t="s">
        <v>146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46045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11845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-101304.31503345414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'2229'!H28</f>
        <v>1009134.4200000002</v>
      </c>
      <c r="E11" s="132">
        <f>D11*0.19</f>
        <v>191735.53980000003</v>
      </c>
      <c r="F11" s="131">
        <f>E11+D11</f>
        <v>1200869.9598000003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4685.6849665458576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243217.29078743962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-13314.315033454142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765917.1292125606</v>
      </c>
      <c r="E13" s="221">
        <f>(D11/D12)-1</f>
        <v>3.1491064090584571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-22314.315033454142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-61314.315033454142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401308.52979927533</v>
      </c>
      <c r="F15" s="216">
        <f>E15-D12</f>
        <v>158091.23901183571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-61314.315033454142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-21314.315033454142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'2229'!O35</f>
        <v>164500</v>
      </c>
      <c r="E19" s="123">
        <f>D19*0.19</f>
        <v>31255</v>
      </c>
      <c r="F19" s="120">
        <f>SUM(D19:E19)</f>
        <v>195755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'2229'!O34</f>
        <v>48883.199999999997</v>
      </c>
      <c r="E20" s="121">
        <f>D20*0.19</f>
        <v>9287.8079999999991</v>
      </c>
      <c r="F20" s="120">
        <f>SUM(D20:E20)</f>
        <v>58171.007999999994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213383.2</v>
      </c>
      <c r="E21" s="116">
        <f>SUM(E18:E20)</f>
        <v>40542.807999999997</v>
      </c>
      <c r="F21" s="115">
        <f>SUM(F18:F20)</f>
        <v>253926.008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151192.73180000004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1009134.4200000002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213383.2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765917.1292125606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765917.1292125606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2026-01-23T11:43:18Z</cp:lastPrinted>
  <dcterms:created xsi:type="dcterms:W3CDTF">2013-03-18T13:35:42Z</dcterms:created>
  <dcterms:modified xsi:type="dcterms:W3CDTF">2026-01-29T19:53:00Z</dcterms:modified>
</cp:coreProperties>
</file>