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 ENERO 2026\"/>
    </mc:Choice>
  </mc:AlternateContent>
  <xr:revisionPtr revIDLastSave="0" documentId="13_ncr:1_{127748A4-CD3B-4512-A5A6-376623B315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  <sheet name="NOTA DE VENTA" sheetId="4" r:id="rId3"/>
    <sheet name="REGLAS" sheetId="5" r:id="rId4"/>
    <sheet name="PRODUCCION" sheetId="6" r:id="rId5"/>
    <sheet name="SEGUIMIENTO" sheetId="7" r:id="rId6"/>
  </sheets>
  <externalReferences>
    <externalReference r:id="rId7"/>
  </externalReference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" l="1"/>
  <c r="N24" i="1"/>
  <c r="O24" i="1" s="1"/>
  <c r="S24" i="1"/>
  <c r="M23" i="1"/>
  <c r="M24" i="1"/>
  <c r="L23" i="1"/>
  <c r="L24" i="1"/>
  <c r="M28" i="1"/>
  <c r="H22" i="1"/>
  <c r="H23" i="1"/>
  <c r="H24" i="1"/>
  <c r="M22" i="1"/>
  <c r="N22" i="1"/>
  <c r="S22" i="1"/>
  <c r="N23" i="1"/>
  <c r="K37" i="1"/>
  <c r="P24" i="1" l="1"/>
  <c r="O22" i="1"/>
  <c r="P22" i="1" s="1"/>
  <c r="O23" i="1"/>
  <c r="P23" i="1" s="1"/>
  <c r="S23" i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T21" i="1" l="1"/>
  <c r="T27" i="1" s="1"/>
  <c r="S21" i="1"/>
  <c r="S29" i="1" s="1"/>
  <c r="O21" i="1"/>
  <c r="P21" i="1" s="1"/>
  <c r="P28" i="1" s="1"/>
  <c r="K42" i="1"/>
  <c r="S30" i="1" l="1"/>
  <c r="S31" i="1" s="1"/>
  <c r="S32" i="1" s="1"/>
  <c r="V35" i="1"/>
  <c r="V36" i="1" s="1"/>
  <c r="P29" i="1" l="1"/>
  <c r="N20" i="1"/>
  <c r="L20" i="1"/>
  <c r="P30" i="1" l="1"/>
  <c r="P31" i="1" s="1"/>
  <c r="M33" i="1" s="1"/>
  <c r="O35" i="1"/>
  <c r="R39" i="1"/>
  <c r="O34" i="1" l="1"/>
  <c r="O36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8" i="1"/>
  <c r="O37" i="1"/>
  <c r="F18" i="3" l="1"/>
  <c r="O33" i="1" l="1"/>
  <c r="O39" i="1" s="1"/>
  <c r="O40" i="1" s="1"/>
  <c r="D20" i="3" l="1"/>
  <c r="E20" i="3" s="1"/>
  <c r="E21" i="3" s="1"/>
  <c r="O41" i="1" l="1"/>
  <c r="Q20" i="1" s="1"/>
  <c r="Q24" i="1" s="1"/>
  <c r="R24" i="1" s="1"/>
  <c r="D21" i="3"/>
  <c r="M43" i="3" s="1"/>
  <c r="D12" i="3" s="1"/>
  <c r="F20" i="3"/>
  <c r="F21" i="3" s="1"/>
  <c r="Q23" i="1" l="1"/>
  <c r="R23" i="1" s="1"/>
  <c r="Q22" i="1"/>
  <c r="R22" i="1" s="1"/>
  <c r="O42" i="1"/>
  <c r="E15" i="3"/>
  <c r="Q21" i="1" l="1"/>
  <c r="F15" i="3"/>
  <c r="R21" i="1" l="1"/>
  <c r="H21" i="1" l="1"/>
  <c r="H27" i="1" s="1"/>
  <c r="H28" i="1" s="1"/>
  <c r="G22" i="4" l="1"/>
  <c r="H22" i="4" s="1"/>
  <c r="H25" i="4" s="1"/>
  <c r="H29" i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<sst xmlns="http://schemas.openxmlformats.org/spreadsheetml/2006/main" count="492" uniqueCount="295">
  <si>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</si>
  <si>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</si>
  <si>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</si>
  <si>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</si>
  <si>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</si>
  <si>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</si>
  <si>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</si>
  <si>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</si>
  <si>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</si>
  <si>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</si>
  <si>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</si>
  <si>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</si>
  <si>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</si>
  <si>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</si>
  <si>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</si>
  <si>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</si>
  <si>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</si>
  <si>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</si>
  <si>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</si>
  <si>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</si>
  <si>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</si>
  <si>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</si>
  <si>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</si>
  <si>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</si>
  <si>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</si>
  <si>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</si>
  <si>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</si>
  <si>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</si>
  <si>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</si>
  <si>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</si>
  <si>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</si>
  <si>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</si>
  <si>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</si>
  <si>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</si>
  <si>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</si>
  <si>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</si>
  <si>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</si>
  <si>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</si>
  <si>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</si>
  <si>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</si>
  <si>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</si>
  <si>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</si>
  <si>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</si>
  <si>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</si>
  <si>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</si>
  <si>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</si>
  <si>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</si>
  <si>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</si>
  <si>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</si>
  <si>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</si>
  <si>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</si>
  <si>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</si>
  <si>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</si>
  <si>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</si>
  <si>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</si>
  <si>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</si>
  <si>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</si>
  <si>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</si>
  <si>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</si>
  <si>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</si>
  <si>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</si>
  <si>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</si>
  <si>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</si>
  <si>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</si>
  <si>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</si>
  <si>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</si>
  <si>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</si>
  <si>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</si>
  <si>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</si>
  <si>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</si>
  <si>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</si>
  <si>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</si>
  <si>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</si>
  <si>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</si>
  <si>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</si>
  <si>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</si>
  <si>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</si>
  <si>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</si>
  <si>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</si>
  <si>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</si>
  <si>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</si>
  <si>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</si>
  <si>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</si>
  <si>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</si>
  <si>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</si>
  <si>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</si>
  <si>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</si>
  <si>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</si>
  <si>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</si>
  <si>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</si>
  <si>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</si>
  <si>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</si>
  <si>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</si>
  <si>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</si>
  <si>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</si>
  <si>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</si>
  <si>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</si>
  <si>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</si>
  <si>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</si>
  <si>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</si>
  <si>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</si>
  <si>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</si>
  <si>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</si>
  <si>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</si>
  <si>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</si>
  <si>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</si>
  <si>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</si>
  <si>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</si>
  <si>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</si>
  <si>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</si>
  <si>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</si>
  <si>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</si>
  <si>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</si>
  <si>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</si>
  <si>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</si>
  <si>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</si>
  <si>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</si>
  <si>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</si>
  <si>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</si>
  <si>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</si>
  <si>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</si>
  <si>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</si>
  <si>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</si>
  <si>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</si>
  <si>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</si>
  <si>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</si>
  <si>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</si>
  <si>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</si>
  <si>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</si>
  <si>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</si>
  <si>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</si>
  <si>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</si>
  <si>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</si>
  <si>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</si>
  <si>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</si>
  <si>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</si>
  <si>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</si>
  <si>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</si>
  <si>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</si>
  <si>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</si>
  <si>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</si>
  <si>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</si>
  <si>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</si>
  <si>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</si>
  <si>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</si>
  <si>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</si>
  <si>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</si>
  <si>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</si>
  <si>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</si>
  <si>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</si>
  <si>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</si>
  <si>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</si>
  <si>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</si>
  <si>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</si>
  <si>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</si>
  <si>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</si>
  <si>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</si>
  <si>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</si>
  <si>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</si>
  <si>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</si>
  <si>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</si>
  <si>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SANTIAGO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</si>
  <si>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</si>
  <si>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</si>
  <si>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</si>
  <si>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</si>
  <si>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</si>
  <si>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</si>
  <si>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</si>
  <si>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</si>
  <si>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</si>
  <si>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</si>
  <si>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</si>
  <si>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</si>
  <si>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</si>
  <si>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</si>
  <si>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</si>
  <si>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</si>
  <si>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</si>
  <si>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</si>
  <si>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</si>
  <si>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</si>
  <si>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</si>
  <si>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</si>
  <si>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</si>
  <si>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</si>
  <si>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</si>
  <si>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</si>
  <si>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</si>
  <si>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</si>
  <si>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</si>
  <si>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</si>
  <si>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</si>
  <si>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</si>
  <si>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</si>
  <si>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</si>
  <si>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</si>
  <si>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</si>
  <si>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</si>
  <si>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</si>
  <si>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</si>
  <si>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</si>
  <si>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</si>
  <si>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</si>
  <si>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</si>
  <si>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</si>
  <si>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</si>
  <si>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</si>
  <si>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</si>
  <si>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</si>
  <si>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</si>
  <si>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</si>
  <si>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</si>
  <si>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</si>
  <si>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</si>
  <si>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</si>
  <si>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</si>
  <si>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</si>
  <si>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</si>
  <si>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</si>
  <si>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</si>
  <si>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</si>
  <si>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</si>
  <si>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</si>
  <si>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</si>
  <si>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</si>
  <si>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</si>
  <si>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</si>
  <si>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</si>
  <si>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</si>
  <si>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</si>
  <si>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</si>
  <si>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</si>
  <si>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</si>
  <si>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</si>
  <si>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</si>
  <si>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</si>
  <si>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</si>
  <si>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</si>
  <si>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</si>
  <si>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</si>
  <si>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</si>
  <si>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</si>
  <si>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</si>
  <si>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</si>
  <si>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</si>
  <si>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</si>
  <si>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</si>
  <si>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</si>
  <si>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</si>
  <si>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</si>
  <si>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</si>
  <si>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</si>
  <si>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</si>
  <si>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</si>
  <si>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</si>
  <si>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</si>
  <si>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</si>
  <si>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</si>
  <si>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</si>
  <si>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</si>
  <si>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</si>
  <si>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</si>
  <si>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</si>
  <si>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</si>
  <si>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</si>
  <si>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</si>
  <si>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</si>
  <si>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</si>
  <si>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</si>
  <si>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</si>
  <si>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</si>
  <si>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</si>
  <si>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</si>
  <si>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</si>
  <si>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</si>
  <si>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</si>
  <si>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</si>
  <si>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</si>
  <si>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</si>
  <si>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</si>
  <si>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</si>
  <si>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</si>
  <si>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</si>
  <si>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</si>
  <si>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</si>
  <si>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5 DIAS HABILES</t>
  </si>
  <si>
    <t>CUENTA CORRIENTE BANCO SANTANDER Nº 87316181 A NOMBRE DE MUEBLES SANTA FE SPA</t>
  </si>
  <si>
    <t>RUT : 77.054.606-0 CORREO: FDONOSO@TOPMOBILI.CL</t>
  </si>
  <si>
    <t>N° 11844</t>
  </si>
  <si>
    <t>MARCOS CORTEZ ZAMORANO</t>
  </si>
  <si>
    <t>569 9986 2557</t>
  </si>
  <si>
    <t>CUB C/R 180°</t>
  </si>
  <si>
    <t>GRANITINO NEGRO 3014 BR</t>
  </si>
  <si>
    <t>BLANCO BRILLO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</si>
</sst>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i/>
      <sz val="12"/>
      <color rgb="FF1F497D"/>
      <name val="Arial"/>
      <family val="2"/>
    </font>
    <font>
      <b/>
      <sz val="14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8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1" fontId="7" fillId="2" borderId="0" xfId="0" applyNumberFormat="1" applyFont="1" applyFill="1" applyAlignment="1">
      <alignment horizontal="left"/>
    </xf>
    <xf numFmtId="0" fontId="7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4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1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9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6" fillId="0" borderId="0" xfId="0" applyFont="1"/>
    <xf numFmtId="42" fontId="0" fillId="0" borderId="0" xfId="6" applyFont="1" applyFill="1"/>
    <xf numFmtId="42" fontId="0" fillId="0" borderId="0" xfId="0" applyNumberFormat="1"/>
    <xf numFmtId="42" fontId="7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7" fillId="9" borderId="7" xfId="6" applyFont="1" applyFill="1" applyBorder="1"/>
    <xf numFmtId="0" fontId="13" fillId="9" borderId="18" xfId="0" applyFont="1" applyFill="1" applyBorder="1" applyAlignment="1">
      <alignment horizontal="center"/>
    </xf>
    <xf numFmtId="41" fontId="14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7" fillId="11" borderId="7" xfId="0" applyNumberFormat="1" applyFont="1" applyFill="1" applyBorder="1"/>
    <xf numFmtId="0" fontId="7" fillId="11" borderId="19" xfId="0" applyFont="1" applyFill="1" applyBorder="1" applyAlignment="1">
      <alignment horizontal="center"/>
    </xf>
    <xf numFmtId="0" fontId="7" fillId="10" borderId="24" xfId="0" applyFont="1" applyFill="1" applyBorder="1"/>
    <xf numFmtId="0" fontId="0" fillId="0" borderId="10" xfId="0" applyBorder="1"/>
    <xf numFmtId="0" fontId="7" fillId="0" borderId="25" xfId="0" applyFont="1" applyBorder="1" applyAlignment="1">
      <alignment horizontal="center"/>
    </xf>
    <xf numFmtId="0" fontId="7" fillId="0" borderId="0" xfId="0" applyFont="1"/>
    <xf numFmtId="42" fontId="7" fillId="11" borderId="7" xfId="6" applyFont="1" applyFill="1" applyBorder="1" applyAlignment="1">
      <alignment horizontal="right"/>
    </xf>
    <xf numFmtId="0" fontId="7" fillId="11" borderId="5" xfId="0" applyFont="1" applyFill="1" applyBorder="1"/>
    <xf numFmtId="42" fontId="0" fillId="0" borderId="20" xfId="0" applyNumberFormat="1" applyBorder="1"/>
    <xf numFmtId="0" fontId="7" fillId="0" borderId="26" xfId="0" applyFont="1" applyBorder="1" applyAlignment="1">
      <alignment horizontal="center"/>
    </xf>
    <xf numFmtId="0" fontId="12" fillId="0" borderId="0" xfId="0" applyFont="1"/>
    <xf numFmtId="42" fontId="0" fillId="0" borderId="27" xfId="0" applyNumberFormat="1" applyBorder="1"/>
    <xf numFmtId="0" fontId="7" fillId="0" borderId="28" xfId="0" applyFont="1" applyBorder="1" applyAlignment="1">
      <alignment horizontal="center"/>
    </xf>
    <xf numFmtId="0" fontId="7" fillId="11" borderId="2" xfId="0" applyFont="1" applyFill="1" applyBorder="1"/>
    <xf numFmtId="42" fontId="0" fillId="0" borderId="29" xfId="6" applyFont="1" applyBorder="1" applyAlignment="1">
      <alignment horizontal="center"/>
    </xf>
    <xf numFmtId="42" fontId="7" fillId="12" borderId="7" xfId="6" applyFont="1" applyFill="1" applyBorder="1"/>
    <xf numFmtId="41" fontId="7" fillId="12" borderId="18" xfId="0" applyNumberFormat="1" applyFont="1" applyFill="1" applyBorder="1" applyAlignment="1">
      <alignment horizontal="left" indent="1"/>
    </xf>
    <xf numFmtId="42" fontId="7" fillId="12" borderId="18" xfId="0" applyNumberFormat="1" applyFont="1" applyFill="1" applyBorder="1"/>
    <xf numFmtId="0" fontId="7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7" fillId="0" borderId="31" xfId="0" applyFont="1" applyBorder="1" applyAlignment="1">
      <alignment horizontal="center"/>
    </xf>
    <xf numFmtId="0" fontId="15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7" fillId="0" borderId="5" xfId="0" applyNumberFormat="1" applyFont="1" applyBorder="1"/>
    <xf numFmtId="42" fontId="15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7" fillId="12" borderId="7" xfId="0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 vertical="center"/>
    </xf>
    <xf numFmtId="41" fontId="7" fillId="12" borderId="18" xfId="4" applyFont="1" applyFill="1" applyBorder="1" applyAlignment="1">
      <alignment horizontal="center" vertical="center"/>
    </xf>
    <xf numFmtId="0" fontId="7" fillId="12" borderId="18" xfId="0" applyFont="1" applyFill="1" applyBorder="1" applyAlignment="1">
      <alignment horizontal="center"/>
    </xf>
    <xf numFmtId="0" fontId="7" fillId="12" borderId="19" xfId="0" applyFont="1" applyFill="1" applyBorder="1"/>
    <xf numFmtId="42" fontId="7" fillId="13" borderId="7" xfId="6" applyFont="1" applyFill="1" applyBorder="1"/>
    <xf numFmtId="42" fontId="7" fillId="13" borderId="18" xfId="6" applyFont="1" applyFill="1" applyBorder="1"/>
    <xf numFmtId="42" fontId="0" fillId="13" borderId="9" xfId="0" applyNumberFormat="1" applyFill="1" applyBorder="1"/>
    <xf numFmtId="41" fontId="7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7" fillId="0" borderId="35" xfId="0" applyFont="1" applyBorder="1" applyAlignment="1">
      <alignment horizontal="center"/>
    </xf>
    <xf numFmtId="173" fontId="0" fillId="0" borderId="0" xfId="0" applyNumberFormat="1"/>
    <xf numFmtId="0" fontId="7" fillId="3" borderId="7" xfId="0" applyFont="1" applyFill="1" applyBorder="1" applyAlignment="1">
      <alignment horizontal="center"/>
    </xf>
    <xf numFmtId="41" fontId="7" fillId="3" borderId="18" xfId="4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9" xfId="0" applyFont="1" applyFill="1" applyBorder="1"/>
    <xf numFmtId="42" fontId="10" fillId="0" borderId="7" xfId="6" applyFont="1" applyFill="1" applyBorder="1"/>
    <xf numFmtId="42" fontId="10" fillId="0" borderId="18" xfId="6" applyFont="1" applyFill="1" applyBorder="1"/>
    <xf numFmtId="42" fontId="10" fillId="0" borderId="38" xfId="6" applyFont="1" applyFill="1" applyBorder="1"/>
    <xf numFmtId="0" fontId="7" fillId="0" borderId="41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2" fontId="7" fillId="0" borderId="7" xfId="0" applyNumberFormat="1" applyFont="1" applyBorder="1"/>
    <xf numFmtId="0" fontId="5" fillId="15" borderId="19" xfId="0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7" fillId="0" borderId="22" xfId="0" applyFont="1" applyBorder="1"/>
    <xf numFmtId="0" fontId="7" fillId="0" borderId="16" xfId="0" applyFont="1" applyBorder="1"/>
    <xf numFmtId="14" fontId="10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42" fontId="7" fillId="9" borderId="7" xfId="6" applyFont="1" applyFill="1" applyBorder="1" applyAlignment="1">
      <alignment horizontal="center"/>
    </xf>
    <xf numFmtId="42" fontId="12" fillId="0" borderId="0" xfId="0" applyNumberFormat="1" applyFont="1"/>
    <xf numFmtId="0" fontId="7" fillId="0" borderId="42" xfId="0" applyFont="1" applyBorder="1" applyAlignment="1">
      <alignment horizontal="center"/>
    </xf>
    <xf numFmtId="0" fontId="7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7" fillId="9" borderId="2" xfId="0" quotePrefix="1" applyFont="1" applyFill="1" applyBorder="1" applyAlignment="1">
      <alignment horizontal="left"/>
    </xf>
    <xf numFmtId="0" fontId="7" fillId="9" borderId="9" xfId="0" quotePrefix="1" applyFont="1" applyFill="1" applyBorder="1" applyAlignment="1">
      <alignment horizontal="left"/>
    </xf>
    <xf numFmtId="0" fontId="7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6" fillId="0" borderId="0" xfId="1" applyFont="1" applyFill="1" applyBorder="1" applyAlignment="1">
      <alignment horizontal="center"/>
    </xf>
    <xf numFmtId="41" fontId="6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7" fillId="9" borderId="9" xfId="0" applyFont="1" applyFill="1" applyBorder="1"/>
    <xf numFmtId="0" fontId="7" fillId="0" borderId="13" xfId="0" applyFont="1" applyBorder="1" applyAlignment="1">
      <alignment horizontal="center"/>
    </xf>
    <xf numFmtId="0" fontId="7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7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7" fillId="9" borderId="47" xfId="0" applyFont="1" applyFill="1" applyBorder="1" applyAlignment="1">
      <alignment horizontal="center"/>
    </xf>
    <xf numFmtId="0" fontId="7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0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7" fillId="0" borderId="0" xfId="0" applyNumberFormat="1" applyFont="1"/>
    <xf numFmtId="42" fontId="7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5" fillId="0" borderId="40" xfId="0" applyFont="1" applyBorder="1"/>
    <xf numFmtId="14" fontId="5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7" fillId="7" borderId="9" xfId="0" applyNumberFormat="1" applyFont="1" applyFill="1" applyBorder="1"/>
    <xf numFmtId="0" fontId="5" fillId="14" borderId="19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7" xfId="0" applyFont="1" applyFill="1" applyBorder="1" applyAlignment="1">
      <alignment horizontal="center"/>
    </xf>
    <xf numFmtId="9" fontId="5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7" fillId="0" borderId="12" xfId="0" applyFont="1" applyBorder="1" applyAlignment="1">
      <alignment horizontal="center"/>
    </xf>
    <xf numFmtId="0" fontId="18" fillId="0" borderId="0" xfId="0" applyFont="1" applyAlignment="1">
      <alignment horizontal="center" vertical="center"/>
    </xf>
    <xf numFmtId="0" fontId="9" fillId="0" borderId="0" xfId="3" applyFont="1" applyFill="1" applyBorder="1" applyAlignment="1">
      <alignment vertical="center"/>
    </xf>
    <xf numFmtId="0" fontId="20" fillId="0" borderId="0" xfId="0" applyFont="1"/>
    <xf numFmtId="1" fontId="20" fillId="0" borderId="0" xfId="0" applyNumberFormat="1" applyFont="1"/>
    <xf numFmtId="3" fontId="20" fillId="0" borderId="0" xfId="0" applyNumberFormat="1" applyFont="1"/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right" indent="15"/>
    </xf>
    <xf numFmtId="0" fontId="20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5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0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0" fillId="0" borderId="0" xfId="0" applyFont="1" applyAlignment="1">
      <alignment horizontal="left" vertical="center"/>
    </xf>
    <xf numFmtId="171" fontId="0" fillId="0" borderId="0" xfId="0" applyNumberFormat="1"/>
    <xf numFmtId="0" fontId="22" fillId="0" borderId="0" xfId="0" applyFont="1" applyAlignment="1">
      <alignment horizontal="center" vertical="center"/>
    </xf>
    <xf numFmtId="166" fontId="22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/>
    </xf>
    <xf numFmtId="167" fontId="24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14" fontId="25" fillId="8" borderId="46" xfId="0" applyNumberFormat="1" applyFont="1" applyFill="1" applyBorder="1" applyAlignment="1">
      <alignment horizontal="left"/>
    </xf>
    <xf numFmtId="0" fontId="25" fillId="8" borderId="0" xfId="0" applyFont="1" applyFill="1" applyAlignment="1">
      <alignment horizontal="left"/>
    </xf>
    <xf numFmtId="0" fontId="7" fillId="8" borderId="46" xfId="0" applyFont="1" applyFill="1" applyBorder="1"/>
    <xf numFmtId="0" fontId="27" fillId="0" borderId="0" xfId="0" applyFont="1" applyAlignment="1">
      <alignment horizontal="left" vertical="center"/>
    </xf>
    <xf numFmtId="0" fontId="10" fillId="0" borderId="31" xfId="0" applyFont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166" fontId="25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8" fillId="0" borderId="0" xfId="0" applyFont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42" fontId="20" fillId="0" borderId="0" xfId="0" applyNumberFormat="1" applyFont="1"/>
    <xf numFmtId="42" fontId="29" fillId="18" borderId="20" xfId="8" applyFont="1" applyFill="1" applyBorder="1"/>
    <xf numFmtId="42" fontId="29" fillId="0" borderId="29" xfId="8" applyFont="1" applyFill="1" applyBorder="1"/>
    <xf numFmtId="3" fontId="10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6" fillId="0" borderId="0" xfId="4" applyFont="1"/>
    <xf numFmtId="41" fontId="6" fillId="0" borderId="0" xfId="4" applyFont="1" applyAlignment="1">
      <alignment horizontal="right"/>
    </xf>
    <xf numFmtId="175" fontId="6" fillId="0" borderId="0" xfId="4" applyNumberFormat="1" applyFont="1"/>
    <xf numFmtId="1" fontId="6" fillId="0" borderId="0" xfId="0" applyNumberFormat="1" applyFont="1" applyAlignment="1">
      <alignment horizontal="center"/>
    </xf>
    <xf numFmtId="14" fontId="6" fillId="0" borderId="0" xfId="0" applyNumberFormat="1" applyFont="1"/>
    <xf numFmtId="1" fontId="6" fillId="0" borderId="0" xfId="0" applyNumberFormat="1" applyFont="1"/>
    <xf numFmtId="0" fontId="0" fillId="8" borderId="47" xfId="0" applyFill="1" applyBorder="1"/>
    <xf numFmtId="0" fontId="31" fillId="8" borderId="0" xfId="0" applyFont="1" applyFill="1"/>
    <xf numFmtId="0" fontId="25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4" fillId="8" borderId="0" xfId="0" applyFont="1" applyFill="1"/>
    <xf numFmtId="0" fontId="6" fillId="8" borderId="54" xfId="0" applyFont="1" applyFill="1" applyBorder="1"/>
    <xf numFmtId="0" fontId="13" fillId="8" borderId="0" xfId="0" applyFont="1" applyFill="1"/>
    <xf numFmtId="0" fontId="26" fillId="8" borderId="0" xfId="0" applyFont="1" applyFill="1"/>
    <xf numFmtId="41" fontId="10" fillId="2" borderId="0" xfId="4" applyFont="1" applyFill="1" applyBorder="1" applyAlignment="1">
      <alignment horizontal="center"/>
    </xf>
    <xf numFmtId="167" fontId="10" fillId="0" borderId="0" xfId="2" applyNumberFormat="1" applyFont="1" applyFill="1" applyBorder="1" applyAlignment="1">
      <alignment horizontal="center" vertical="center"/>
    </xf>
    <xf numFmtId="41" fontId="20" fillId="0" borderId="0" xfId="4" applyFont="1" applyBorder="1" applyAlignment="1">
      <alignment horizontal="center" vertical="center"/>
    </xf>
    <xf numFmtId="42" fontId="29" fillId="0" borderId="0" xfId="8" applyFont="1" applyFill="1" applyBorder="1"/>
    <xf numFmtId="41" fontId="20" fillId="0" borderId="0" xfId="4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/>
    </xf>
    <xf numFmtId="42" fontId="29" fillId="0" borderId="27" xfId="8" applyFont="1" applyFill="1" applyBorder="1"/>
    <xf numFmtId="0" fontId="28" fillId="0" borderId="28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167" fontId="10" fillId="0" borderId="36" xfId="2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 indent="1"/>
    </xf>
    <xf numFmtId="0" fontId="5" fillId="0" borderId="9" xfId="0" applyFont="1" applyBorder="1"/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8" borderId="0" xfId="0" applyFont="1" applyFill="1"/>
    <xf numFmtId="1" fontId="28" fillId="0" borderId="36" xfId="0" applyNumberFormat="1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42" fontId="28" fillId="0" borderId="1" xfId="8" applyFont="1" applyBorder="1" applyAlignment="1">
      <alignment horizontal="center" vertical="center"/>
    </xf>
    <xf numFmtId="42" fontId="28" fillId="0" borderId="0" xfId="8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28" xfId="0" applyFont="1" applyBorder="1" applyAlignment="1">
      <alignment horizontal="center"/>
    </xf>
    <xf numFmtId="167" fontId="5" fillId="0" borderId="27" xfId="2" applyNumberFormat="1" applyFont="1" applyFill="1" applyBorder="1"/>
    <xf numFmtId="3" fontId="5" fillId="8" borderId="26" xfId="0" applyNumberFormat="1" applyFont="1" applyFill="1" applyBorder="1" applyAlignment="1">
      <alignment horizontal="center"/>
    </xf>
    <xf numFmtId="167" fontId="5" fillId="0" borderId="20" xfId="2" applyNumberFormat="1" applyFont="1" applyFill="1" applyBorder="1"/>
    <xf numFmtId="0" fontId="5" fillId="0" borderId="31" xfId="0" applyFont="1" applyBorder="1" applyAlignment="1">
      <alignment horizontal="center"/>
    </xf>
    <xf numFmtId="167" fontId="5" fillId="0" borderId="29" xfId="2" applyNumberFormat="1" applyFont="1" applyFill="1" applyBorder="1"/>
    <xf numFmtId="0" fontId="5" fillId="0" borderId="0" xfId="0" applyFont="1" applyAlignment="1">
      <alignment horizontal="center"/>
    </xf>
    <xf numFmtId="167" fontId="5" fillId="0" borderId="0" xfId="2" applyNumberFormat="1" applyFont="1" applyFill="1" applyBorder="1"/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39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1" fillId="20" borderId="40" xfId="0" applyFont="1" applyFill="1" applyBorder="1" applyAlignment="1">
      <alignment horizontal="center" vertical="center"/>
    </xf>
    <xf numFmtId="0" fontId="41" fillId="20" borderId="39" xfId="0" applyFont="1" applyFill="1" applyBorder="1" applyAlignment="1">
      <alignment horizontal="center" vertical="center"/>
    </xf>
    <xf numFmtId="0" fontId="41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2" fillId="21" borderId="1" xfId="0" applyFont="1" applyFill="1" applyBorder="1" applyAlignment="1">
      <alignment horizontal="center"/>
    </xf>
    <xf numFmtId="0" fontId="42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3" fillId="0" borderId="0" xfId="0" applyFont="1" applyAlignment="1">
      <alignment horizontal="left" indent="1"/>
    </xf>
    <xf numFmtId="0" fontId="33" fillId="8" borderId="0" xfId="0" applyFont="1" applyFill="1" applyAlignment="1">
      <alignment horizontal="left" indent="1"/>
    </xf>
    <xf numFmtId="0" fontId="34" fillId="8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5" fillId="0" borderId="0" xfId="0" applyNumberFormat="1" applyFont="1" applyAlignment="1">
      <alignment horizontal="left" wrapText="1" shrinkToFit="1"/>
    </xf>
    <xf numFmtId="0" fontId="34" fillId="0" borderId="0" xfId="0" applyFont="1"/>
    <xf numFmtId="0" fontId="34" fillId="0" borderId="57" xfId="0" applyFont="1" applyBorder="1" applyAlignment="1">
      <alignment horizontal="center"/>
    </xf>
    <xf numFmtId="0" fontId="10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0" fillId="0" borderId="1" xfId="0" applyFont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0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4" fillId="0" borderId="59" xfId="0" applyFont="1" applyBorder="1" applyAlignment="1">
      <alignment horizontal="center"/>
    </xf>
    <xf numFmtId="0" fontId="10" fillId="22" borderId="59" xfId="0" applyFont="1" applyFill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4" fillId="0" borderId="2" xfId="0" applyFont="1" applyBorder="1"/>
    <xf numFmtId="0" fontId="34" fillId="0" borderId="9" xfId="0" applyFont="1" applyBorder="1"/>
    <xf numFmtId="0" fontId="34" fillId="0" borderId="3" xfId="0" applyFont="1" applyBorder="1"/>
    <xf numFmtId="0" fontId="34" fillId="0" borderId="1" xfId="0" applyFont="1" applyBorder="1" applyAlignment="1">
      <alignment horizontal="center" vertical="center"/>
    </xf>
    <xf numFmtId="14" fontId="33" fillId="0" borderId="0" xfId="0" applyNumberFormat="1" applyFont="1" applyAlignment="1">
      <alignment horizontal="left" indent="1"/>
    </xf>
    <xf numFmtId="0" fontId="34" fillId="0" borderId="61" xfId="0" applyFont="1" applyBorder="1" applyAlignment="1">
      <alignment horizontal="center"/>
    </xf>
    <xf numFmtId="0" fontId="34" fillId="0" borderId="1" xfId="0" applyFont="1" applyBorder="1" applyAlignment="1">
      <alignment horizontal="center"/>
    </xf>
    <xf numFmtId="0" fontId="34" fillId="0" borderId="63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43" fillId="0" borderId="59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43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14" fontId="5" fillId="0" borderId="0" xfId="0" applyNumberFormat="1" applyFont="1" applyAlignment="1">
      <alignment horizontal="left"/>
    </xf>
    <xf numFmtId="14" fontId="5" fillId="0" borderId="0" xfId="0" applyNumberFormat="1" applyFont="1" applyAlignment="1">
      <alignment horizontal="left" vertical="top" wrapText="1" shrinkToFit="1"/>
    </xf>
    <xf numFmtId="0" fontId="44" fillId="20" borderId="2" xfId="0" applyFont="1" applyFill="1" applyBorder="1" applyAlignment="1">
      <alignment horizontal="left" indent="1"/>
    </xf>
    <xf numFmtId="0" fontId="45" fillId="20" borderId="9" xfId="0" applyFont="1" applyFill="1" applyBorder="1"/>
    <xf numFmtId="0" fontId="44" fillId="20" borderId="3" xfId="0" applyFont="1" applyFill="1" applyBorder="1" applyAlignment="1">
      <alignment horizontal="center"/>
    </xf>
    <xf numFmtId="0" fontId="46" fillId="20" borderId="40" xfId="0" applyFont="1" applyFill="1" applyBorder="1" applyAlignment="1">
      <alignment horizontal="center" vertical="center"/>
    </xf>
    <xf numFmtId="0" fontId="46" fillId="20" borderId="39" xfId="0" applyFont="1" applyFill="1" applyBorder="1" applyAlignment="1">
      <alignment horizontal="center" vertical="center"/>
    </xf>
    <xf numFmtId="0" fontId="46" fillId="20" borderId="43" xfId="0" applyFont="1" applyFill="1" applyBorder="1" applyAlignment="1">
      <alignment horizontal="center" vertical="center"/>
    </xf>
    <xf numFmtId="0" fontId="32" fillId="24" borderId="0" xfId="0" applyFont="1" applyFill="1" applyAlignment="1">
      <alignment horizontal="center"/>
    </xf>
    <xf numFmtId="0" fontId="32" fillId="24" borderId="0" xfId="0" applyFont="1" applyFill="1" applyAlignment="1">
      <alignment horizontal="left"/>
    </xf>
    <xf numFmtId="42" fontId="32" fillId="24" borderId="0" xfId="8" applyFont="1" applyFill="1" applyAlignment="1">
      <alignment horizontal="center"/>
    </xf>
    <xf numFmtId="42" fontId="0" fillId="0" borderId="0" xfId="8" applyFont="1"/>
    <xf numFmtId="0" fontId="47" fillId="8" borderId="0" xfId="0" applyFont="1" applyFill="1"/>
    <xf numFmtId="0" fontId="4" fillId="8" borderId="46" xfId="0" applyFont="1" applyFill="1" applyBorder="1" applyAlignment="1">
      <alignment horizontal="left"/>
    </xf>
    <xf numFmtId="0" fontId="0" fillId="0" borderId="54" xfId="0" applyBorder="1"/>
    <xf numFmtId="0" fontId="31" fillId="0" borderId="0" xfId="0" applyFont="1"/>
    <xf numFmtId="14" fontId="25" fillId="0" borderId="0" xfId="0" applyNumberFormat="1" applyFont="1" applyAlignment="1">
      <alignment horizontal="left"/>
    </xf>
    <xf numFmtId="0" fontId="0" fillId="0" borderId="55" xfId="0" applyBorder="1"/>
    <xf numFmtId="0" fontId="25" fillId="0" borderId="0" xfId="0" applyFont="1"/>
    <xf numFmtId="0" fontId="21" fillId="0" borderId="0" xfId="0" applyFont="1"/>
    <xf numFmtId="0" fontId="0" fillId="0" borderId="44" xfId="0" applyBorder="1"/>
    <xf numFmtId="0" fontId="17" fillId="0" borderId="37" xfId="0" applyFont="1" applyBorder="1"/>
    <xf numFmtId="0" fontId="17" fillId="0" borderId="56" xfId="0" applyFont="1" applyBorder="1"/>
    <xf numFmtId="0" fontId="8" fillId="8" borderId="0" xfId="3" applyFill="1"/>
    <xf numFmtId="0" fontId="28" fillId="0" borderId="1" xfId="0" applyFont="1" applyBorder="1" applyAlignment="1">
      <alignment horizontal="center" vertical="center"/>
    </xf>
    <xf numFmtId="166" fontId="28" fillId="0" borderId="1" xfId="0" applyNumberFormat="1" applyFont="1" applyBorder="1" applyAlignment="1">
      <alignment horizontal="center" vertical="center"/>
    </xf>
    <xf numFmtId="167" fontId="10" fillId="0" borderId="1" xfId="2" applyNumberFormat="1" applyFont="1" applyFill="1" applyBorder="1" applyAlignment="1">
      <alignment horizontal="center" vertical="center"/>
    </xf>
    <xf numFmtId="0" fontId="48" fillId="0" borderId="0" xfId="0" quotePrefix="1" applyFont="1" applyAlignment="1">
      <alignment horizontal="left"/>
    </xf>
    <xf numFmtId="0" fontId="49" fillId="0" borderId="0" xfId="0" applyFont="1" applyAlignment="1">
      <alignment horizontal="left" vertical="center"/>
    </xf>
    <xf numFmtId="0" fontId="15" fillId="23" borderId="40" xfId="0" applyFont="1" applyFill="1" applyBorder="1" applyAlignment="1">
      <alignment horizontal="center" vertical="center"/>
    </xf>
    <xf numFmtId="0" fontId="15" fillId="23" borderId="39" xfId="0" applyFont="1" applyFill="1" applyBorder="1" applyAlignment="1">
      <alignment horizontal="center" vertical="center"/>
    </xf>
    <xf numFmtId="0" fontId="15" fillId="23" borderId="43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11" borderId="48" xfId="0" applyFont="1" applyFill="1" applyBorder="1" applyAlignment="1">
      <alignment horizontal="center"/>
    </xf>
    <xf numFmtId="0" fontId="7" fillId="11" borderId="51" xfId="0" applyFont="1" applyFill="1" applyBorder="1" applyAlignment="1">
      <alignment horizontal="center"/>
    </xf>
    <xf numFmtId="0" fontId="7" fillId="11" borderId="52" xfId="0" applyFont="1" applyFill="1" applyBorder="1" applyAlignment="1">
      <alignment horizontal="center"/>
    </xf>
    <xf numFmtId="0" fontId="7" fillId="16" borderId="2" xfId="0" applyFont="1" applyFill="1" applyBorder="1" applyAlignment="1">
      <alignment horizontal="center"/>
    </xf>
    <xf numFmtId="0" fontId="7" fillId="16" borderId="9" xfId="0" applyFont="1" applyFill="1" applyBorder="1" applyAlignment="1">
      <alignment horizontal="center"/>
    </xf>
    <xf numFmtId="0" fontId="7" fillId="16" borderId="3" xfId="0" applyFont="1" applyFill="1" applyBorder="1" applyAlignment="1">
      <alignment horizontal="center"/>
    </xf>
    <xf numFmtId="0" fontId="40" fillId="17" borderId="37" xfId="0" applyFont="1" applyFill="1" applyBorder="1" applyAlignment="1">
      <alignment horizontal="left"/>
    </xf>
    <xf numFmtId="0" fontId="40" fillId="17" borderId="56" xfId="0" applyFont="1" applyFill="1" applyBorder="1" applyAlignment="1">
      <alignment horizontal="left"/>
    </xf>
    <xf numFmtId="0" fontId="34" fillId="8" borderId="2" xfId="0" applyFont="1" applyFill="1" applyBorder="1" applyAlignment="1">
      <alignment horizontal="center" vertical="center"/>
    </xf>
    <xf numFmtId="0" fontId="34" fillId="8" borderId="9" xfId="0" applyFont="1" applyFill="1" applyBorder="1" applyAlignment="1">
      <alignment horizontal="center" vertical="center"/>
    </xf>
    <xf numFmtId="0" fontId="34" fillId="8" borderId="3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4" fillId="8" borderId="60" xfId="0" applyFont="1" applyFill="1" applyBorder="1" applyAlignment="1">
      <alignment horizontal="left" vertical="top" indent="28"/>
    </xf>
    <xf numFmtId="0" fontId="34" fillId="8" borderId="61" xfId="0" applyFont="1" applyFill="1" applyBorder="1" applyAlignment="1">
      <alignment horizontal="left" vertical="top" indent="28"/>
    </xf>
    <xf numFmtId="0" fontId="34" fillId="8" borderId="62" xfId="0" applyFont="1" applyFill="1" applyBorder="1" applyAlignment="1">
      <alignment horizontal="left" vertical="top" indent="28"/>
    </xf>
    <xf numFmtId="0" fontId="34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4" fillId="0" borderId="0" xfId="0" applyFont="1" applyAlignment="1">
      <alignment horizontal="center"/>
    </xf>
    <xf numFmtId="170" fontId="0" fillId="0" borderId="0" xfId="0" applyNumberFormat="1" applyFont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30</xdr:row>
      <xdr:rowOff>8194</xdr:rowOff>
    </xdr:from>
    <xdr:to>
      <xdr:col>8</xdr:col>
      <xdr:colOff>8193</xdr:colOff>
      <xdr:row>33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1745226</xdr:colOff>
      <xdr:row>33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25</xdr:row>
      <xdr:rowOff>214364</xdr:rowOff>
    </xdr:from>
    <xdr:to>
      <xdr:col>5</xdr:col>
      <xdr:colOff>1728839</xdr:colOff>
      <xdr:row>28</xdr:row>
      <xdr:rowOff>221226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56945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</a:t>
          </a:r>
          <a:r>
            <a:rPr lang="es-CL" sz="1200" b="1" baseline="0"/>
            <a:t> SE ENTREGA CON SOBRE MEDIDA YEN EL LARGO, LAS PUERTAS SE ENTREGAN CORTADAS A LA MEDIDA Y ENCHAPADAS CON TAPACANTO PVC 0,45MM</a:t>
          </a:r>
        </a:p>
        <a:p>
          <a:pPr algn="l"/>
          <a:r>
            <a:rPr lang="es-CL" sz="12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2</xdr:col>
      <xdr:colOff>2116700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4"/>
  <sheetViews>
    <sheetView tabSelected="1" topLeftCell="A6" zoomScale="93" zoomScaleNormal="93" workbookViewId="0">
      <selection activeCell="A25" sqref="A25"/>
    </sheetView>
  </sheetViews>
  <sheetFormatPr baseColWidth="10" defaultRowHeight="14.4" x14ac:dyDescent="0.3"/>
  <cols>
    <col min="1" max="1" width="6" customWidth="1"/>
    <col min="2" max="2" width="10.5546875" customWidth="1"/>
    <col min="3" max="3" width="39.44140625" customWidth="1"/>
    <col min="4" max="4" width="11.109375" customWidth="1"/>
    <col min="5" max="5" width="10.5546875" customWidth="1"/>
    <col min="6" max="6" width="30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1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8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8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8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8" t="s">
        <v>160</v>
      </c>
      <c r="O6" s="32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8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289</v>
      </c>
      <c r="F8" s="58"/>
      <c r="K8" s="51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6" t="s">
        <v>158</v>
      </c>
      <c r="C10" s="276" t="s">
        <v>290</v>
      </c>
      <c r="D10" s="242"/>
      <c r="E10" s="242"/>
      <c r="F10" s="417" t="s">
        <v>276</v>
      </c>
      <c r="G10" s="274">
        <v>46045</v>
      </c>
      <c r="H10" s="243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8" t="s">
        <v>285</v>
      </c>
      <c r="G11" s="420" t="s">
        <v>286</v>
      </c>
      <c r="H11" s="421"/>
      <c r="Q11" s="19"/>
      <c r="R11" s="24" t="s">
        <v>18</v>
      </c>
      <c r="S11" s="19"/>
    </row>
    <row r="12" spans="2:24" x14ac:dyDescent="0.3">
      <c r="B12" s="244" t="s">
        <v>142</v>
      </c>
      <c r="C12" s="416"/>
      <c r="D12" s="245"/>
      <c r="E12" s="245"/>
      <c r="F12" s="300" t="s">
        <v>126</v>
      </c>
      <c r="G12" s="275" t="s">
        <v>133</v>
      </c>
      <c r="H12" s="246"/>
      <c r="Q12" s="19"/>
      <c r="R12" s="24"/>
      <c r="S12" s="19"/>
    </row>
    <row r="13" spans="2:24" x14ac:dyDescent="0.3">
      <c r="B13" s="418" t="s">
        <v>143</v>
      </c>
      <c r="F13" s="28" t="s">
        <v>134</v>
      </c>
      <c r="G13" s="422" t="s">
        <v>133</v>
      </c>
      <c r="H13" s="421"/>
      <c r="Q13" s="19"/>
      <c r="R13" s="24"/>
      <c r="S13" s="19"/>
    </row>
    <row r="14" spans="2:24" x14ac:dyDescent="0.3">
      <c r="B14" s="244" t="s">
        <v>137</v>
      </c>
      <c r="C14" s="427"/>
      <c r="D14" s="245"/>
      <c r="E14" s="245"/>
      <c r="F14" s="300" t="s">
        <v>284</v>
      </c>
      <c r="G14" s="422" t="s">
        <v>133</v>
      </c>
      <c r="H14" s="246"/>
      <c r="K14" s="28"/>
      <c r="Q14" s="20"/>
      <c r="R14" s="25" t="s">
        <v>17</v>
      </c>
      <c r="S14" s="20"/>
    </row>
    <row r="15" spans="2:24" ht="15.6" x14ac:dyDescent="0.3">
      <c r="B15" s="418" t="s">
        <v>4</v>
      </c>
      <c r="C15" s="431" t="s">
        <v>291</v>
      </c>
      <c r="D15" s="423"/>
      <c r="F15" s="28" t="s">
        <v>283</v>
      </c>
      <c r="G15" s="422" t="s">
        <v>133</v>
      </c>
      <c r="H15" s="421"/>
    </row>
    <row r="16" spans="2:24" ht="16.8" x14ac:dyDescent="0.4">
      <c r="B16" s="301" t="s">
        <v>3</v>
      </c>
      <c r="C16" s="297"/>
      <c r="D16" s="245"/>
      <c r="E16" s="245"/>
      <c r="F16" s="302" t="s">
        <v>128</v>
      </c>
      <c r="G16" s="303" t="s">
        <v>159</v>
      </c>
      <c r="H16" s="246"/>
    </row>
    <row r="17" spans="2:25" ht="15" thickBot="1" x14ac:dyDescent="0.35">
      <c r="B17" s="424" t="s">
        <v>13</v>
      </c>
      <c r="C17" s="298" t="s">
        <v>161</v>
      </c>
      <c r="D17" s="299"/>
      <c r="E17" s="118"/>
      <c r="F17" s="425" t="s">
        <v>178</v>
      </c>
      <c r="G17" s="425" t="s">
        <v>179</v>
      </c>
      <c r="H17" s="426"/>
      <c r="I17" s="261"/>
      <c r="J17" s="261"/>
      <c r="T17" s="6"/>
      <c r="U17" s="6"/>
    </row>
    <row r="18" spans="2:25" ht="15.75" customHeight="1" thickBot="1" x14ac:dyDescent="0.35">
      <c r="J18" s="46"/>
      <c r="K18" s="5"/>
      <c r="V18" s="9"/>
      <c r="X18" s="6"/>
      <c r="Y18" s="6"/>
    </row>
    <row r="19" spans="2:25" ht="13.5" customHeight="1" thickBot="1" x14ac:dyDescent="0.35">
      <c r="B19" s="433" t="s">
        <v>95</v>
      </c>
      <c r="C19" s="434"/>
      <c r="D19" s="434"/>
      <c r="E19" s="434"/>
      <c r="F19" s="434"/>
      <c r="G19" s="434"/>
      <c r="H19" s="435"/>
      <c r="I19" s="262"/>
      <c r="J19" s="262"/>
      <c r="K19" s="5"/>
      <c r="L19" s="248"/>
      <c r="M19" s="14">
        <v>0.08</v>
      </c>
      <c r="N19" s="14"/>
      <c r="O19" s="14"/>
      <c r="P19" s="249" t="s">
        <v>6</v>
      </c>
      <c r="Q19" s="35" t="s">
        <v>20</v>
      </c>
      <c r="R19" s="36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3"/>
      <c r="J20" s="263"/>
      <c r="K20" s="46"/>
      <c r="L20" s="266" t="str">
        <f>B20</f>
        <v>UNIDAD</v>
      </c>
      <c r="M20" s="265" t="s">
        <v>130</v>
      </c>
      <c r="N20" s="38" t="str">
        <f>E20</f>
        <v>ANCHO</v>
      </c>
      <c r="O20" s="259" t="s">
        <v>131</v>
      </c>
      <c r="P20" s="257" t="s">
        <v>16</v>
      </c>
      <c r="Q20" s="250">
        <f>O41</f>
        <v>59765.634805110793</v>
      </c>
      <c r="R20" s="256">
        <v>3000</v>
      </c>
      <c r="S20" s="37"/>
      <c r="T20" s="14" t="s">
        <v>127</v>
      </c>
      <c r="U20" s="9"/>
      <c r="X20" s="4"/>
    </row>
    <row r="21" spans="2:25" ht="17.399999999999999" x14ac:dyDescent="0.3">
      <c r="B21" s="428">
        <v>1</v>
      </c>
      <c r="C21" s="428" t="s">
        <v>292</v>
      </c>
      <c r="D21" s="429">
        <v>3</v>
      </c>
      <c r="E21" s="429">
        <v>0.55000000000000004</v>
      </c>
      <c r="F21" s="428" t="s">
        <v>293</v>
      </c>
      <c r="G21" s="430">
        <v>128809</v>
      </c>
      <c r="H21" s="430">
        <f>G21*B21</f>
        <v>128809</v>
      </c>
      <c r="I21" s="305"/>
      <c r="J21" s="263"/>
      <c r="K21" s="46"/>
      <c r="L21" s="46"/>
      <c r="M21" s="38">
        <f>D21+M$19</f>
        <v>3.08</v>
      </c>
      <c r="N21" s="38">
        <f>E21+$N$19</f>
        <v>0.55000000000000004</v>
      </c>
      <c r="O21" s="259">
        <f t="shared" ref="O21" si="0">M21*N21</f>
        <v>1.6940000000000002</v>
      </c>
      <c r="P21" s="257">
        <f t="shared" ref="P21" si="1">O21*L21</f>
        <v>0</v>
      </c>
      <c r="Q21" s="250">
        <f t="shared" ref="Q21" si="2">Q$20*O21</f>
        <v>101242.98535985769</v>
      </c>
      <c r="R21" s="304">
        <f t="shared" ref="R21" si="3">Q21+R$20</f>
        <v>104242.98535985769</v>
      </c>
      <c r="S21" s="289">
        <f>L21*M21*2</f>
        <v>0</v>
      </c>
      <c r="T21" s="45">
        <f>N21*2*L21*2</f>
        <v>0</v>
      </c>
      <c r="U21" s="9"/>
      <c r="X21" s="4"/>
    </row>
    <row r="22" spans="2:25" ht="17.399999999999999" x14ac:dyDescent="0.3">
      <c r="B22" s="428">
        <v>1</v>
      </c>
      <c r="C22" s="428" t="s">
        <v>292</v>
      </c>
      <c r="D22" s="429">
        <v>1.8</v>
      </c>
      <c r="E22" s="429">
        <v>0.55000000000000004</v>
      </c>
      <c r="F22" s="428" t="s">
        <v>293</v>
      </c>
      <c r="G22" s="430">
        <v>83546</v>
      </c>
      <c r="H22" s="430">
        <f t="shared" ref="H22:H24" si="4">G22*B22</f>
        <v>83546</v>
      </c>
      <c r="I22" s="305"/>
      <c r="J22" s="263"/>
      <c r="K22" s="46"/>
      <c r="L22" s="46"/>
      <c r="M22" s="38">
        <f t="shared" ref="M22:M24" si="5">D22+M$19</f>
        <v>1.8800000000000001</v>
      </c>
      <c r="N22" s="38">
        <f t="shared" ref="N22:N23" si="6">E22+$N$19</f>
        <v>0.55000000000000004</v>
      </c>
      <c r="O22" s="259">
        <f t="shared" ref="O22:O23" si="7">M22*N22</f>
        <v>1.0340000000000003</v>
      </c>
      <c r="P22" s="257">
        <f t="shared" ref="P22:P23" si="8">O22*L22</f>
        <v>0</v>
      </c>
      <c r="Q22" s="250">
        <f t="shared" ref="Q22:Q23" si="9">Q$20*O22</f>
        <v>61797.666388484577</v>
      </c>
      <c r="R22" s="304">
        <f t="shared" ref="R22:R23" si="10">Q22+R$20</f>
        <v>64797.666388484577</v>
      </c>
      <c r="S22" s="289">
        <f t="shared" ref="S22:S23" si="11">L22*M22*2</f>
        <v>0</v>
      </c>
      <c r="T22" s="45"/>
      <c r="U22" s="9"/>
      <c r="X22" s="4"/>
    </row>
    <row r="23" spans="2:25" ht="17.399999999999999" x14ac:dyDescent="0.3">
      <c r="B23" s="428">
        <v>5</v>
      </c>
      <c r="C23" s="428" t="s">
        <v>259</v>
      </c>
      <c r="D23" s="429">
        <v>0.75</v>
      </c>
      <c r="E23" s="429">
        <v>0.45</v>
      </c>
      <c r="F23" s="428" t="s">
        <v>294</v>
      </c>
      <c r="G23" s="430">
        <v>25322</v>
      </c>
      <c r="H23" s="430">
        <f t="shared" si="4"/>
        <v>126610</v>
      </c>
      <c r="I23" s="305"/>
      <c r="J23" s="263"/>
      <c r="K23" s="46"/>
      <c r="L23" s="46">
        <f>B23</f>
        <v>5</v>
      </c>
      <c r="M23" s="38">
        <f t="shared" si="5"/>
        <v>0.83</v>
      </c>
      <c r="N23" s="38">
        <f t="shared" si="6"/>
        <v>0.45</v>
      </c>
      <c r="O23" s="259">
        <f t="shared" si="7"/>
        <v>0.3735</v>
      </c>
      <c r="P23" s="257">
        <f t="shared" si="8"/>
        <v>1.8674999999999999</v>
      </c>
      <c r="Q23" s="250">
        <f t="shared" si="9"/>
        <v>22322.464599708881</v>
      </c>
      <c r="R23" s="304">
        <f t="shared" si="10"/>
        <v>25322.464599708881</v>
      </c>
      <c r="S23" s="289">
        <f t="shared" si="11"/>
        <v>8.2999999999999989</v>
      </c>
      <c r="T23" s="45"/>
      <c r="U23" s="9"/>
      <c r="X23" s="4"/>
    </row>
    <row r="24" spans="2:25" ht="17.399999999999999" x14ac:dyDescent="0.3">
      <c r="B24" s="428">
        <v>4</v>
      </c>
      <c r="C24" s="428" t="s">
        <v>259</v>
      </c>
      <c r="D24" s="429">
        <v>0.6</v>
      </c>
      <c r="E24" s="429">
        <v>0.45</v>
      </c>
      <c r="F24" s="428" t="s">
        <v>294</v>
      </c>
      <c r="G24" s="430">
        <v>21288</v>
      </c>
      <c r="H24" s="430">
        <f t="shared" si="4"/>
        <v>85152</v>
      </c>
      <c r="I24" s="305"/>
      <c r="J24" s="263"/>
      <c r="K24" s="46"/>
      <c r="L24" s="46">
        <f t="shared" ref="L22:L24" si="12">B24</f>
        <v>4</v>
      </c>
      <c r="M24" s="38">
        <f t="shared" si="5"/>
        <v>0.67999999999999994</v>
      </c>
      <c r="N24" s="38">
        <f t="shared" ref="N24" si="13">E24+$N$19</f>
        <v>0.45</v>
      </c>
      <c r="O24" s="259">
        <f t="shared" ref="O24" si="14">M24*N24</f>
        <v>0.30599999999999999</v>
      </c>
      <c r="P24" s="257">
        <f t="shared" ref="P24" si="15">O24*L24</f>
        <v>1.224</v>
      </c>
      <c r="Q24" s="250">
        <f t="shared" ref="Q24" si="16">Q$20*O24</f>
        <v>18288.2842503639</v>
      </c>
      <c r="R24" s="304">
        <f t="shared" ref="R24" si="17">Q24+R$20</f>
        <v>21288.2842503639</v>
      </c>
      <c r="S24" s="289">
        <f t="shared" ref="S24" si="18">L24*M24*2</f>
        <v>5.4399999999999995</v>
      </c>
      <c r="T24" s="45"/>
      <c r="U24" s="9"/>
      <c r="X24" s="4"/>
    </row>
    <row r="25" spans="2:25" ht="17.399999999999999" x14ac:dyDescent="0.3">
      <c r="B25" s="283"/>
      <c r="C25" s="283"/>
      <c r="D25" s="284"/>
      <c r="E25" s="284"/>
      <c r="F25" s="283"/>
      <c r="G25" s="305"/>
      <c r="H25" s="305"/>
      <c r="I25" s="305"/>
      <c r="J25" s="263"/>
      <c r="K25" s="46"/>
      <c r="L25" s="46"/>
      <c r="M25" s="38"/>
      <c r="N25" s="38"/>
      <c r="O25" s="259"/>
      <c r="P25" s="257"/>
      <c r="Q25" s="250"/>
      <c r="R25" s="304"/>
      <c r="S25" s="289"/>
      <c r="T25" s="45"/>
      <c r="U25" s="9"/>
      <c r="X25" s="4"/>
    </row>
    <row r="26" spans="2:25" ht="18" thickBot="1" x14ac:dyDescent="0.35">
      <c r="B26" s="283"/>
      <c r="C26" s="283"/>
      <c r="D26" s="284"/>
      <c r="E26" s="284"/>
      <c r="F26" s="283"/>
      <c r="G26" s="263"/>
      <c r="H26" s="306"/>
      <c r="I26" s="308"/>
      <c r="J26" s="232"/>
      <c r="K26" s="46"/>
      <c r="L26" s="46"/>
      <c r="M26" s="38"/>
      <c r="N26" s="38"/>
      <c r="O26" s="259"/>
      <c r="P26" s="257"/>
      <c r="Q26" s="250"/>
      <c r="R26" s="256"/>
      <c r="S26" s="289"/>
      <c r="T26" s="14"/>
      <c r="U26" s="9"/>
      <c r="X26" s="4"/>
    </row>
    <row r="27" spans="2:25" ht="17.399999999999999" x14ac:dyDescent="0.3">
      <c r="B27" s="283"/>
      <c r="C27" s="283"/>
      <c r="D27" s="284"/>
      <c r="E27" s="284"/>
      <c r="F27" s="283"/>
      <c r="G27" s="309" t="s">
        <v>28</v>
      </c>
      <c r="H27" s="310">
        <f>SUM(H21:H26)</f>
        <v>424117</v>
      </c>
      <c r="I27" s="307"/>
      <c r="J27" s="263"/>
      <c r="K27" s="46">
        <v>2600000</v>
      </c>
      <c r="L27" s="46"/>
      <c r="M27" s="38"/>
      <c r="N27" s="38"/>
      <c r="O27" s="259"/>
      <c r="P27" s="257"/>
      <c r="Q27" s="250"/>
      <c r="R27" s="256"/>
      <c r="S27" s="289"/>
      <c r="T27" s="45">
        <f>SUM(T21:T26)</f>
        <v>0</v>
      </c>
      <c r="U27" s="9"/>
      <c r="X27" s="4"/>
    </row>
    <row r="28" spans="2:25" ht="17.399999999999999" x14ac:dyDescent="0.3">
      <c r="B28" s="277"/>
      <c r="C28" s="280"/>
      <c r="D28" s="281"/>
      <c r="E28" s="281"/>
      <c r="F28" s="282"/>
      <c r="G28" s="288" t="s">
        <v>51</v>
      </c>
      <c r="H28" s="286">
        <f>H27*19%</f>
        <v>80582.23</v>
      </c>
      <c r="I28" s="307"/>
      <c r="J28" s="263"/>
      <c r="K28" s="46"/>
      <c r="L28" s="46"/>
      <c r="M28" s="38">
        <f>SUM(M21:M27)</f>
        <v>6.47</v>
      </c>
      <c r="N28" s="12"/>
      <c r="O28" s="12"/>
      <c r="P28" s="251">
        <f>SUM(P21:P24)</f>
        <v>3.0914999999999999</v>
      </c>
      <c r="Q28" s="14"/>
      <c r="R28" s="12"/>
      <c r="S28" s="238"/>
      <c r="T28" s="45"/>
      <c r="U28" s="9"/>
      <c r="X28" s="4"/>
    </row>
    <row r="29" spans="2:25" ht="18" thickBot="1" x14ac:dyDescent="0.35">
      <c r="B29" s="273"/>
      <c r="C29" s="279"/>
      <c r="D29" s="270"/>
      <c r="E29" s="270"/>
      <c r="F29" s="271"/>
      <c r="G29" s="278" t="s">
        <v>6</v>
      </c>
      <c r="H29" s="287">
        <f>H27+H28</f>
        <v>504699.23</v>
      </c>
      <c r="I29" s="307"/>
      <c r="J29" s="263"/>
      <c r="K29" s="46"/>
      <c r="L29" s="46"/>
      <c r="M29" s="38"/>
      <c r="N29" s="12"/>
      <c r="O29" s="12"/>
      <c r="P29" s="251">
        <f>P28</f>
        <v>3.0914999999999999</v>
      </c>
      <c r="Q29" s="14"/>
      <c r="R29" s="12"/>
      <c r="S29" s="238">
        <f>SUM(S21:S28)</f>
        <v>13.739999999999998</v>
      </c>
      <c r="T29" s="45"/>
      <c r="U29" s="9"/>
      <c r="X29" s="4"/>
    </row>
    <row r="30" spans="2:25" ht="17.399999999999999" x14ac:dyDescent="0.3">
      <c r="B30" s="273"/>
      <c r="C30" s="269"/>
      <c r="D30" s="270"/>
      <c r="E30" s="270"/>
      <c r="F30" s="271"/>
      <c r="J30" s="263"/>
      <c r="K30" s="46"/>
      <c r="L30" s="46"/>
      <c r="M30" s="14"/>
      <c r="N30" s="12"/>
      <c r="O30" s="12"/>
      <c r="P30" s="38">
        <f>P29*20%</f>
        <v>0.61830000000000007</v>
      </c>
      <c r="Q30" s="38" t="s">
        <v>129</v>
      </c>
      <c r="R30" s="41"/>
      <c r="S30" s="239">
        <f>S29+T27</f>
        <v>13.739999999999998</v>
      </c>
      <c r="T30" s="14"/>
      <c r="U30" s="9"/>
      <c r="X30" s="4"/>
    </row>
    <row r="31" spans="2:25" ht="17.399999999999999" x14ac:dyDescent="0.35">
      <c r="B31" s="267"/>
      <c r="C31" s="229"/>
      <c r="D31" s="229"/>
      <c r="E31" s="232"/>
      <c r="F31" s="233"/>
      <c r="G31" s="229"/>
      <c r="H31" s="272"/>
      <c r="I31" s="272"/>
      <c r="J31" s="263"/>
      <c r="K31" s="46"/>
      <c r="L31" s="46"/>
      <c r="M31" s="14"/>
      <c r="N31" s="12"/>
      <c r="O31" s="12"/>
      <c r="P31" s="45">
        <f>P29+P30</f>
        <v>3.7098</v>
      </c>
      <c r="Q31" s="14"/>
      <c r="R31" s="14"/>
      <c r="S31" s="237">
        <f>S30*20%</f>
        <v>2.7479999999999998</v>
      </c>
      <c r="T31" s="14"/>
      <c r="U31" s="9"/>
      <c r="X31" s="4"/>
    </row>
    <row r="32" spans="2:25" ht="17.399999999999999" x14ac:dyDescent="0.35">
      <c r="B32" s="234"/>
      <c r="C32" s="235"/>
      <c r="D32" s="236"/>
      <c r="E32" s="234"/>
      <c r="F32" s="229"/>
      <c r="G32" s="229"/>
      <c r="I32" s="272"/>
      <c r="J32" s="263"/>
      <c r="K32" s="46"/>
      <c r="L32" s="46"/>
      <c r="M32" s="14"/>
      <c r="N32" s="14"/>
      <c r="O32" s="14"/>
      <c r="P32" s="14"/>
      <c r="Q32" s="14"/>
      <c r="R32" s="14"/>
      <c r="S32" s="239">
        <f>S30+S31</f>
        <v>16.488</v>
      </c>
      <c r="T32" s="14"/>
      <c r="U32" s="293" t="s">
        <v>21</v>
      </c>
      <c r="V32" s="290" t="s">
        <v>148</v>
      </c>
      <c r="W32" s="294">
        <v>44971</v>
      </c>
      <c r="X32" s="295"/>
    </row>
    <row r="33" spans="1:24" ht="17.399999999999999" x14ac:dyDescent="0.35">
      <c r="B33" s="229"/>
      <c r="C33" s="229"/>
      <c r="D33" s="229"/>
      <c r="E33" s="229"/>
      <c r="F33" s="229"/>
      <c r="G33" s="229"/>
      <c r="J33" s="263"/>
      <c r="K33" s="46"/>
      <c r="L33" s="46"/>
      <c r="M33" s="38">
        <f>P31</f>
        <v>3.7098</v>
      </c>
      <c r="N33" s="12">
        <v>3500</v>
      </c>
      <c r="O33" s="12">
        <f t="shared" ref="O33:O38" si="19">M33*N33</f>
        <v>12984.3</v>
      </c>
      <c r="P33" s="14" t="s">
        <v>21</v>
      </c>
      <c r="Q33" s="14"/>
      <c r="R33" s="14"/>
      <c r="S33" s="240"/>
      <c r="T33" s="14"/>
      <c r="U33" s="293" t="s">
        <v>149</v>
      </c>
      <c r="V33" s="290">
        <v>3625</v>
      </c>
      <c r="W33" s="58" t="s">
        <v>150</v>
      </c>
      <c r="X33" s="295"/>
    </row>
    <row r="34" spans="1:24" ht="17.399999999999999" x14ac:dyDescent="0.35">
      <c r="A34" s="229"/>
      <c r="B34" s="229"/>
      <c r="C34" s="229"/>
      <c r="D34" s="229"/>
      <c r="E34" s="229"/>
      <c r="F34" s="229"/>
      <c r="G34" s="229"/>
      <c r="H34" s="229"/>
      <c r="J34" s="263"/>
      <c r="K34" s="46"/>
      <c r="L34" s="46"/>
      <c r="M34" s="247">
        <v>1</v>
      </c>
      <c r="N34" s="12">
        <v>41000</v>
      </c>
      <c r="O34" s="12">
        <f t="shared" si="19"/>
        <v>41000</v>
      </c>
      <c r="P34" s="38" t="s">
        <v>31</v>
      </c>
      <c r="Q34" s="41"/>
      <c r="R34" s="14"/>
      <c r="S34" s="239"/>
      <c r="T34" s="14"/>
      <c r="U34" s="293"/>
      <c r="V34" s="58">
        <v>906.25</v>
      </c>
      <c r="W34" s="58" t="s">
        <v>151</v>
      </c>
      <c r="X34" s="295"/>
    </row>
    <row r="35" spans="1:24" s="229" customFormat="1" ht="18" x14ac:dyDescent="0.35">
      <c r="B35" s="432" t="s">
        <v>287</v>
      </c>
      <c r="J35" s="260"/>
      <c r="K35" s="231"/>
      <c r="L35" s="248"/>
      <c r="M35" s="14"/>
      <c r="N35" s="248">
        <v>71000</v>
      </c>
      <c r="O35" s="12">
        <f t="shared" si="19"/>
        <v>0</v>
      </c>
      <c r="P35" s="38" t="s">
        <v>30</v>
      </c>
      <c r="Q35" s="41"/>
      <c r="S35" s="239"/>
      <c r="T35" s="254"/>
      <c r="U35" s="58"/>
      <c r="V35" s="58">
        <f>V34*20%</f>
        <v>181.25</v>
      </c>
      <c r="W35" s="295" t="s">
        <v>152</v>
      </c>
      <c r="X35" s="58"/>
    </row>
    <row r="36" spans="1:24" s="229" customFormat="1" ht="18" x14ac:dyDescent="0.35">
      <c r="B36" s="432" t="s">
        <v>288</v>
      </c>
      <c r="C36"/>
      <c r="D36"/>
      <c r="E36"/>
      <c r="F36"/>
      <c r="J36" s="260"/>
      <c r="K36" s="231">
        <v>55000</v>
      </c>
      <c r="L36" s="248"/>
      <c r="M36" s="14">
        <v>1.2</v>
      </c>
      <c r="N36" s="248">
        <v>25000</v>
      </c>
      <c r="O36" s="12">
        <f t="shared" si="19"/>
        <v>30000</v>
      </c>
      <c r="P36" s="14" t="s">
        <v>139</v>
      </c>
      <c r="Q36" s="17"/>
      <c r="S36" s="237"/>
      <c r="T36" s="254"/>
      <c r="U36" s="58"/>
      <c r="V36" s="58">
        <f>V34+V35</f>
        <v>1087.5</v>
      </c>
      <c r="W36" s="295" t="s">
        <v>153</v>
      </c>
      <c r="X36" s="58"/>
    </row>
    <row r="37" spans="1:24" s="229" customFormat="1" ht="17.399999999999999" x14ac:dyDescent="0.35">
      <c r="A37" s="229" t="s">
        <v>282</v>
      </c>
      <c r="B37" s="28" t="s">
        <v>124</v>
      </c>
      <c r="C37"/>
      <c r="D37"/>
      <c r="E37"/>
      <c r="F37" s="228" t="s">
        <v>15</v>
      </c>
      <c r="J37" s="260"/>
      <c r="K37" s="258">
        <f>K36*2</f>
        <v>110000</v>
      </c>
      <c r="L37" s="248"/>
      <c r="M37" s="247"/>
      <c r="N37" s="248">
        <v>900</v>
      </c>
      <c r="O37" s="12">
        <f t="shared" si="19"/>
        <v>0</v>
      </c>
      <c r="P37" s="14" t="s">
        <v>32</v>
      </c>
      <c r="Q37" s="14"/>
      <c r="R37" s="229">
        <v>1.52</v>
      </c>
      <c r="S37" s="237"/>
      <c r="T37" s="237"/>
    </row>
    <row r="38" spans="1:24" s="229" customFormat="1" ht="17.399999999999999" x14ac:dyDescent="0.35">
      <c r="J38" s="285"/>
      <c r="K38" s="258"/>
      <c r="L38" s="248"/>
      <c r="M38" s="264"/>
      <c r="N38" s="12">
        <v>1500</v>
      </c>
      <c r="O38" s="12">
        <f t="shared" si="19"/>
        <v>0</v>
      </c>
      <c r="P38" s="14" t="s">
        <v>22</v>
      </c>
      <c r="Q38" s="14"/>
      <c r="R38">
        <v>2.44</v>
      </c>
      <c r="S38"/>
      <c r="T38" s="237"/>
      <c r="X38" s="230"/>
    </row>
    <row r="39" spans="1:24" s="229" customFormat="1" ht="17.399999999999999" x14ac:dyDescent="0.35">
      <c r="K39" s="258"/>
      <c r="L39" s="248"/>
      <c r="M39" s="14"/>
      <c r="N39" s="12"/>
      <c r="O39" s="12">
        <f>SUM(O33:O38)</f>
        <v>83984.3</v>
      </c>
      <c r="P39" s="38" t="s">
        <v>23</v>
      </c>
      <c r="Q39" s="14"/>
      <c r="R39">
        <f>R37*R38</f>
        <v>3.7088000000000001</v>
      </c>
      <c r="S39"/>
      <c r="T39" s="237"/>
      <c r="X39" s="230"/>
    </row>
    <row r="40" spans="1:24" s="229" customFormat="1" ht="17.399999999999999" x14ac:dyDescent="0.35">
      <c r="L40" s="248"/>
      <c r="M40" s="252" t="s">
        <v>33</v>
      </c>
      <c r="N40" s="12"/>
      <c r="O40" s="253">
        <f>O39*2.2</f>
        <v>184765.46000000002</v>
      </c>
      <c r="P40" s="14" t="s">
        <v>138</v>
      </c>
      <c r="Q40" s="14"/>
      <c r="R40" s="456">
        <f>P31/R39</f>
        <v>1.0002696289905091</v>
      </c>
      <c r="S40"/>
      <c r="T40" s="255"/>
    </row>
    <row r="41" spans="1:24" s="229" customFormat="1" ht="17.399999999999999" x14ac:dyDescent="0.35">
      <c r="G41"/>
      <c r="H41" s="258"/>
      <c r="I41" s="258"/>
      <c r="J41" s="258"/>
      <c r="K41" s="229">
        <v>65450</v>
      </c>
      <c r="L41" s="248"/>
      <c r="M41" s="14"/>
      <c r="N41" s="12"/>
      <c r="O41" s="12">
        <f>O40/P29</f>
        <v>59765.634805110793</v>
      </c>
      <c r="P41" s="44" t="s">
        <v>24</v>
      </c>
      <c r="Q41" s="14"/>
      <c r="R41" s="14"/>
      <c r="S41"/>
      <c r="T41" s="237"/>
      <c r="U41" s="58" t="s">
        <v>154</v>
      </c>
      <c r="V41" s="290">
        <v>43650</v>
      </c>
    </row>
    <row r="42" spans="1:24" s="229" customFormat="1" ht="17.399999999999999" x14ac:dyDescent="0.35">
      <c r="G42"/>
      <c r="K42" s="229">
        <f>K41/1.19</f>
        <v>55000</v>
      </c>
      <c r="L42" s="248"/>
      <c r="M42" s="13"/>
      <c r="N42" s="14"/>
      <c r="O42" s="17">
        <f>O40/O39</f>
        <v>2.2000000000000002</v>
      </c>
      <c r="P42" s="15"/>
      <c r="Q42"/>
      <c r="R42"/>
      <c r="S42"/>
      <c r="T42" s="237"/>
      <c r="U42" s="58" t="s">
        <v>156</v>
      </c>
      <c r="V42" s="291" t="s">
        <v>155</v>
      </c>
      <c r="W42" s="58">
        <v>2.4</v>
      </c>
    </row>
    <row r="43" spans="1:24" s="229" customFormat="1" ht="17.399999999999999" x14ac:dyDescent="0.35">
      <c r="G43" s="23"/>
      <c r="L43" s="12"/>
      <c r="T43" s="237"/>
      <c r="U43" s="58" t="s">
        <v>157</v>
      </c>
      <c r="V43" s="292">
        <v>395.37</v>
      </c>
    </row>
    <row r="44" spans="1:24" s="229" customFormat="1" ht="17.399999999999999" x14ac:dyDescent="0.35">
      <c r="B44"/>
      <c r="C44" s="227"/>
      <c r="D44" s="22"/>
      <c r="E44" s="22"/>
      <c r="F44" s="21"/>
      <c r="G44" s="23"/>
      <c r="L44" s="12"/>
      <c r="T44" s="237"/>
      <c r="U44" s="58" t="s">
        <v>152</v>
      </c>
      <c r="V44" s="58">
        <v>474.45</v>
      </c>
    </row>
    <row r="45" spans="1:24" ht="14.4" customHeight="1" x14ac:dyDescent="0.3">
      <c r="L45" s="12"/>
      <c r="U45" s="58"/>
      <c r="V45" s="58"/>
    </row>
    <row r="46" spans="1:24" x14ac:dyDescent="0.3">
      <c r="L46" s="248"/>
    </row>
    <row r="47" spans="1:24" x14ac:dyDescent="0.3">
      <c r="L47" s="248"/>
      <c r="T47" s="268"/>
    </row>
    <row r="48" spans="1:24" x14ac:dyDescent="0.3">
      <c r="L48" s="248"/>
    </row>
    <row r="49" spans="15:20" ht="15" customHeight="1" x14ac:dyDescent="0.3"/>
    <row r="51" spans="15:20" x14ac:dyDescent="0.3">
      <c r="O51">
        <v>40935</v>
      </c>
      <c r="P51" t="s">
        <v>16</v>
      </c>
      <c r="Q51" t="s">
        <v>26</v>
      </c>
    </row>
    <row r="53" spans="15:20" x14ac:dyDescent="0.3">
      <c r="O53" s="53"/>
      <c r="P53" s="53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2" spans="15:20" x14ac:dyDescent="0.3">
      <c r="S62" s="18"/>
      <c r="T62" s="18"/>
    </row>
    <row r="65" spans="3:15" x14ac:dyDescent="0.3">
      <c r="O65" s="42"/>
    </row>
    <row r="66" spans="3:15" x14ac:dyDescent="0.3">
      <c r="O66" s="42"/>
    </row>
    <row r="67" spans="3:15" x14ac:dyDescent="0.3">
      <c r="O67" s="6"/>
    </row>
    <row r="68" spans="3:15" x14ac:dyDescent="0.3">
      <c r="O68" s="6"/>
    </row>
    <row r="76" spans="3:15" x14ac:dyDescent="0.3">
      <c r="C76" t="s">
        <v>145</v>
      </c>
    </row>
    <row r="77" spans="3:15" x14ac:dyDescent="0.3">
      <c r="C77" t="s">
        <v>144</v>
      </c>
    </row>
    <row r="80" spans="3:15" x14ac:dyDescent="0.3">
      <c r="C80" t="s">
        <v>144</v>
      </c>
    </row>
    <row r="157" spans="3:3" x14ac:dyDescent="0.3">
      <c r="C157" t="s">
        <v>144</v>
      </c>
    </row>
    <row r="158" spans="3:3" x14ac:dyDescent="0.3">
      <c r="C158" t="s">
        <v>146</v>
      </c>
    </row>
    <row r="159" spans="3:3" x14ac:dyDescent="0.3">
      <c r="C159" t="s">
        <v>147</v>
      </c>
    </row>
    <row r="584" spans="3:3" x14ac:dyDescent="0.3">
      <c r="C584" t="s">
        <v>144</v>
      </c>
    </row>
  </sheetData>
  <mergeCells count="1">
    <mergeCell ref="B19:H19"/>
  </mergeCells>
  <phoneticPr fontId="30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6" t="s">
        <v>105</v>
      </c>
      <c r="C2" s="47"/>
      <c r="D2" s="47"/>
      <c r="E2" s="145"/>
      <c r="F2" s="6"/>
    </row>
    <row r="3" spans="2:31" ht="18" x14ac:dyDescent="0.35">
      <c r="E3" s="144"/>
      <c r="F3" s="143"/>
    </row>
    <row r="5" spans="2:31" ht="15.6" x14ac:dyDescent="0.3">
      <c r="B5" s="139" t="s">
        <v>0</v>
      </c>
      <c r="C5" s="142">
        <f>'2229'!G10</f>
        <v>46045</v>
      </c>
    </row>
    <row r="6" spans="2:31" ht="16.2" thickBot="1" x14ac:dyDescent="0.35">
      <c r="B6" s="139" t="s">
        <v>2</v>
      </c>
      <c r="C6" s="138" t="str">
        <f>'2229'!C10</f>
        <v>MARCOS CORTEZ ZAMORANO</v>
      </c>
      <c r="D6" s="137"/>
      <c r="E6" s="137"/>
      <c r="F6" s="137"/>
      <c r="N6" s="74" t="s">
        <v>104</v>
      </c>
      <c r="O6" s="74"/>
      <c r="P6" s="141" t="s">
        <v>103</v>
      </c>
      <c r="Q6" s="141"/>
    </row>
    <row r="7" spans="2:31" ht="16.2" thickBot="1" x14ac:dyDescent="0.35">
      <c r="B7" s="139" t="s">
        <v>3</v>
      </c>
      <c r="C7" s="138" t="e">
        <f>'2229'!#REF!</f>
        <v>#REF!</v>
      </c>
      <c r="D7" s="137"/>
      <c r="E7" s="137"/>
      <c r="F7" s="137"/>
      <c r="H7" s="437" t="s">
        <v>98</v>
      </c>
      <c r="I7" s="438"/>
      <c r="J7" s="438"/>
      <c r="K7" s="439"/>
      <c r="N7" s="74"/>
      <c r="O7" s="436" t="s">
        <v>102</v>
      </c>
      <c r="P7" s="140" t="s">
        <v>101</v>
      </c>
      <c r="Q7" s="140"/>
    </row>
    <row r="8" spans="2:31" ht="16.2" thickBot="1" x14ac:dyDescent="0.35">
      <c r="B8" s="139" t="s">
        <v>100</v>
      </c>
      <c r="C8" s="138" t="str">
        <f>'2229'!D8</f>
        <v>N° 11844</v>
      </c>
      <c r="D8" s="137"/>
      <c r="E8" s="137"/>
      <c r="F8" s="137"/>
      <c r="H8" s="181" t="s">
        <v>117</v>
      </c>
      <c r="I8" s="153" t="s">
        <v>116</v>
      </c>
      <c r="J8" s="226" t="s">
        <v>95</v>
      </c>
      <c r="K8" s="134" t="s">
        <v>6</v>
      </c>
      <c r="L8" s="133" t="s">
        <v>6</v>
      </c>
      <c r="N8" s="74"/>
      <c r="O8" s="436"/>
      <c r="P8" s="74" t="s">
        <v>99</v>
      </c>
      <c r="Q8" s="74"/>
      <c r="X8">
        <f>SUM(Q11:Q16)</f>
        <v>6</v>
      </c>
    </row>
    <row r="9" spans="2:31" ht="15" thickBot="1" x14ac:dyDescent="0.35">
      <c r="H9" s="196" t="s">
        <v>96</v>
      </c>
      <c r="I9" s="197" t="s">
        <v>115</v>
      </c>
      <c r="J9" s="182" t="s">
        <v>92</v>
      </c>
      <c r="K9" s="155"/>
      <c r="L9" s="101">
        <f>SUM(K10:K23)</f>
        <v>2550</v>
      </c>
      <c r="S9" s="27" t="s">
        <v>9</v>
      </c>
      <c r="T9" s="27"/>
      <c r="W9" s="8"/>
      <c r="X9" s="175">
        <f>(E15-D11)/X8</f>
        <v>-47636.109200120765</v>
      </c>
    </row>
    <row r="10" spans="2:31" ht="16.2" thickBot="1" x14ac:dyDescent="0.35">
      <c r="D10" s="217" t="s">
        <v>28</v>
      </c>
      <c r="E10" s="218" t="s">
        <v>51</v>
      </c>
      <c r="F10" s="219" t="s">
        <v>6</v>
      </c>
      <c r="H10" s="189">
        <v>3</v>
      </c>
      <c r="I10" s="203">
        <v>350</v>
      </c>
      <c r="J10" s="200" t="s">
        <v>32</v>
      </c>
      <c r="K10" s="156">
        <f t="shared" ref="K10:K23" si="0">I10*H10</f>
        <v>1050</v>
      </c>
      <c r="Q10" s="27" t="s">
        <v>7</v>
      </c>
      <c r="R10" s="27" t="s">
        <v>1</v>
      </c>
      <c r="S10" s="27" t="s">
        <v>10</v>
      </c>
      <c r="T10" s="27" t="s">
        <v>11</v>
      </c>
      <c r="U10" s="27" t="s">
        <v>8</v>
      </c>
      <c r="V10" s="27" t="s">
        <v>5</v>
      </c>
      <c r="W10" s="27" t="s">
        <v>6</v>
      </c>
      <c r="X10" s="95"/>
      <c r="AB10" s="6"/>
      <c r="AC10" s="14"/>
      <c r="AD10" s="225"/>
      <c r="AE10" s="10"/>
    </row>
    <row r="11" spans="2:31" ht="16.2" thickBot="1" x14ac:dyDescent="0.35">
      <c r="C11" s="210" t="s">
        <v>93</v>
      </c>
      <c r="D11" s="132">
        <f>'2229'!H27</f>
        <v>424117</v>
      </c>
      <c r="E11" s="131">
        <f>D11*0.19</f>
        <v>80582.23</v>
      </c>
      <c r="F11" s="130">
        <f>E11+D11</f>
        <v>504699.23</v>
      </c>
      <c r="H11" s="190">
        <v>3</v>
      </c>
      <c r="I11" s="173">
        <v>500</v>
      </c>
      <c r="J11" s="147" t="s">
        <v>22</v>
      </c>
      <c r="K11" s="157">
        <f t="shared" si="0"/>
        <v>1500</v>
      </c>
      <c r="Q11" s="7">
        <v>1</v>
      </c>
      <c r="R11" s="7" t="s">
        <v>35</v>
      </c>
      <c r="S11" s="50">
        <v>2.8</v>
      </c>
      <c r="T11" s="50">
        <v>0.62</v>
      </c>
      <c r="U11" s="7" t="s">
        <v>38</v>
      </c>
      <c r="V11" s="54">
        <v>105990</v>
      </c>
      <c r="W11" s="48">
        <f t="shared" ref="W11:W18" si="1">V11*Q11</f>
        <v>105990</v>
      </c>
      <c r="X11" s="175">
        <f t="shared" ref="X11:X16" si="2">V11+$X$9</f>
        <v>58353.890799879235</v>
      </c>
      <c r="Y11" s="174">
        <v>108990</v>
      </c>
      <c r="AA11" s="6"/>
      <c r="AB11" s="6"/>
      <c r="AC11" s="224"/>
      <c r="AD11" s="52"/>
      <c r="AE11" s="221"/>
    </row>
    <row r="12" spans="2:31" ht="16.2" thickBot="1" x14ac:dyDescent="0.35">
      <c r="C12" s="136" t="s">
        <v>97</v>
      </c>
      <c r="D12" s="135">
        <f>SUM(M43:M45)</f>
        <v>83818.390787439625</v>
      </c>
      <c r="F12" s="60"/>
      <c r="H12" s="190">
        <v>0</v>
      </c>
      <c r="I12" s="173">
        <v>7500</v>
      </c>
      <c r="J12" s="149" t="s">
        <v>111</v>
      </c>
      <c r="K12" s="157">
        <f t="shared" si="0"/>
        <v>0</v>
      </c>
      <c r="L12" s="60"/>
      <c r="Q12" s="7">
        <v>1</v>
      </c>
      <c r="R12" s="7" t="s">
        <v>35</v>
      </c>
      <c r="S12" s="50">
        <v>2.2999999999999998</v>
      </c>
      <c r="T12" s="50">
        <v>0.62</v>
      </c>
      <c r="U12" s="7" t="s">
        <v>38</v>
      </c>
      <c r="V12" s="54">
        <v>87990</v>
      </c>
      <c r="W12" s="48">
        <f t="shared" si="1"/>
        <v>87990</v>
      </c>
      <c r="X12" s="175">
        <f t="shared" si="2"/>
        <v>40353.890799879235</v>
      </c>
      <c r="Y12" s="174">
        <v>89990</v>
      </c>
      <c r="Z12" s="2"/>
      <c r="AA12" s="222"/>
      <c r="AB12" s="223"/>
      <c r="AC12" s="224"/>
      <c r="AD12" s="52"/>
      <c r="AE12" s="221"/>
    </row>
    <row r="13" spans="2:31" ht="16.2" thickBot="1" x14ac:dyDescent="0.35">
      <c r="C13" s="211" t="s">
        <v>91</v>
      </c>
      <c r="D13" s="216">
        <f>D11-D12</f>
        <v>340298.60921256035</v>
      </c>
      <c r="E13" s="220">
        <f>(D11/D12)-1</f>
        <v>4.0599515931479191</v>
      </c>
      <c r="H13" s="190">
        <v>0</v>
      </c>
      <c r="I13" s="173">
        <v>50</v>
      </c>
      <c r="J13" s="149" t="s">
        <v>112</v>
      </c>
      <c r="K13" s="157">
        <f t="shared" si="0"/>
        <v>0</v>
      </c>
      <c r="L13" s="60"/>
      <c r="Q13" s="7">
        <v>1</v>
      </c>
      <c r="R13" s="7" t="s">
        <v>35</v>
      </c>
      <c r="S13" s="50">
        <v>2.0299999999999998</v>
      </c>
      <c r="T13" s="50">
        <v>0.62</v>
      </c>
      <c r="U13" s="7" t="s">
        <v>38</v>
      </c>
      <c r="V13" s="54">
        <v>78990</v>
      </c>
      <c r="W13" s="48">
        <f t="shared" si="1"/>
        <v>78990</v>
      </c>
      <c r="X13" s="175">
        <f t="shared" si="2"/>
        <v>31353.890799879235</v>
      </c>
      <c r="Y13" s="174">
        <v>81990</v>
      </c>
      <c r="Z13" s="2"/>
      <c r="AA13" s="222"/>
      <c r="AB13" s="223"/>
      <c r="AC13" s="224"/>
      <c r="AD13" s="52"/>
      <c r="AE13" s="221"/>
    </row>
    <row r="14" spans="2:31" ht="15" thickBot="1" x14ac:dyDescent="0.35">
      <c r="D14" s="145" t="s">
        <v>122</v>
      </c>
      <c r="E14" s="178" t="s">
        <v>28</v>
      </c>
      <c r="F14" s="177" t="s">
        <v>110</v>
      </c>
      <c r="H14" s="190">
        <v>0</v>
      </c>
      <c r="I14" s="173">
        <v>50</v>
      </c>
      <c r="J14" s="149" t="s">
        <v>113</v>
      </c>
      <c r="K14" s="157">
        <f t="shared" si="0"/>
        <v>0</v>
      </c>
      <c r="L14" s="60"/>
      <c r="P14" s="125"/>
      <c r="Q14" s="7">
        <v>1</v>
      </c>
      <c r="R14" s="7" t="s">
        <v>35</v>
      </c>
      <c r="S14" s="50">
        <v>1.08</v>
      </c>
      <c r="T14" s="50">
        <v>0.62</v>
      </c>
      <c r="U14" s="7" t="s">
        <v>38</v>
      </c>
      <c r="V14" s="54">
        <v>39990</v>
      </c>
      <c r="W14" s="48">
        <f t="shared" si="1"/>
        <v>39990</v>
      </c>
      <c r="X14" s="175">
        <f t="shared" si="2"/>
        <v>-7646.1092001207653</v>
      </c>
      <c r="Y14" s="174">
        <v>39990</v>
      </c>
      <c r="Z14" s="2"/>
      <c r="AA14" s="222"/>
      <c r="AB14" s="223"/>
      <c r="AC14" s="224"/>
      <c r="AD14" s="52"/>
      <c r="AE14" s="221"/>
    </row>
    <row r="15" spans="2:31" ht="15" thickBot="1" x14ac:dyDescent="0.35">
      <c r="C15" s="212" t="s">
        <v>121</v>
      </c>
      <c r="D15" s="213">
        <v>0.65</v>
      </c>
      <c r="E15" s="214">
        <f>(100%+D15)*D12</f>
        <v>138300.34479927536</v>
      </c>
      <c r="F15" s="215">
        <f>E15-D12</f>
        <v>54481.95401183574</v>
      </c>
      <c r="H15" s="190">
        <v>0</v>
      </c>
      <c r="I15" s="173">
        <v>10</v>
      </c>
      <c r="J15" s="149" t="s">
        <v>114</v>
      </c>
      <c r="K15" s="157">
        <f t="shared" si="0"/>
        <v>0</v>
      </c>
      <c r="L15" s="60"/>
      <c r="Q15" s="7">
        <v>1</v>
      </c>
      <c r="R15" s="7" t="s">
        <v>35</v>
      </c>
      <c r="S15" s="50">
        <v>1.08</v>
      </c>
      <c r="T15" s="50">
        <v>0.62</v>
      </c>
      <c r="U15" s="7" t="s">
        <v>38</v>
      </c>
      <c r="V15" s="54">
        <v>39990</v>
      </c>
      <c r="W15" s="48">
        <f t="shared" si="1"/>
        <v>39990</v>
      </c>
      <c r="X15" s="175">
        <f t="shared" si="2"/>
        <v>-7646.1092001207653</v>
      </c>
      <c r="Y15" s="174">
        <v>39990</v>
      </c>
      <c r="Z15" s="100"/>
      <c r="AA15" s="100"/>
      <c r="AB15" s="123"/>
      <c r="AD15" s="39"/>
      <c r="AE15" s="40"/>
    </row>
    <row r="16" spans="2:31" ht="15" thickBot="1" x14ac:dyDescent="0.35">
      <c r="H16" s="191">
        <v>1</v>
      </c>
      <c r="I16" s="201"/>
      <c r="J16" s="147" t="s">
        <v>90</v>
      </c>
      <c r="K16" s="157">
        <f t="shared" si="0"/>
        <v>0</v>
      </c>
      <c r="L16" s="60"/>
      <c r="Q16" s="7">
        <v>1</v>
      </c>
      <c r="R16" s="7" t="s">
        <v>35</v>
      </c>
      <c r="S16" s="50">
        <v>2.06</v>
      </c>
      <c r="T16" s="50">
        <v>0.62</v>
      </c>
      <c r="U16" s="7" t="s">
        <v>38</v>
      </c>
      <c r="V16" s="54">
        <v>79990</v>
      </c>
      <c r="W16" s="48">
        <f t="shared" si="1"/>
        <v>79990</v>
      </c>
      <c r="X16" s="175">
        <f t="shared" si="2"/>
        <v>32353.890799879235</v>
      </c>
      <c r="Y16" s="174">
        <v>83990</v>
      </c>
      <c r="Z16" s="100"/>
      <c r="AA16" s="100"/>
      <c r="AB16" s="38"/>
      <c r="AC16" s="38"/>
      <c r="AD16" s="41"/>
      <c r="AE16" s="41"/>
    </row>
    <row r="17" spans="1:31" ht="15" thickBot="1" x14ac:dyDescent="0.35">
      <c r="B17" s="129" t="s">
        <v>88</v>
      </c>
      <c r="C17" s="128" t="s">
        <v>87</v>
      </c>
      <c r="D17" s="128" t="s">
        <v>28</v>
      </c>
      <c r="E17" s="127" t="s">
        <v>51</v>
      </c>
      <c r="F17" s="126" t="s">
        <v>6</v>
      </c>
      <c r="H17" s="192">
        <v>1</v>
      </c>
      <c r="I17" s="201"/>
      <c r="J17" s="187" t="s">
        <v>89</v>
      </c>
      <c r="K17" s="157">
        <f t="shared" si="0"/>
        <v>0</v>
      </c>
      <c r="L17" s="60"/>
      <c r="Q17" s="7">
        <v>6</v>
      </c>
      <c r="R17" s="7" t="s">
        <v>36</v>
      </c>
      <c r="S17" s="50"/>
      <c r="T17" s="50"/>
      <c r="U17" s="7"/>
      <c r="V17" s="54">
        <v>5000</v>
      </c>
      <c r="W17" s="48">
        <f t="shared" si="1"/>
        <v>30000</v>
      </c>
      <c r="X17" s="105"/>
      <c r="Y17" s="14"/>
      <c r="Z17" s="100"/>
      <c r="AA17" s="100"/>
      <c r="AB17" s="45"/>
    </row>
    <row r="18" spans="1:31" x14ac:dyDescent="0.3">
      <c r="C18" s="124" t="s">
        <v>85</v>
      </c>
      <c r="D18" s="121">
        <f>'2229'!O35</f>
        <v>0</v>
      </c>
      <c r="E18" s="122">
        <f>D18*0.19</f>
        <v>0</v>
      </c>
      <c r="F18" s="119">
        <f>SUM(D18:E18)</f>
        <v>0</v>
      </c>
      <c r="H18" s="191">
        <v>1</v>
      </c>
      <c r="I18" s="201"/>
      <c r="J18" s="183" t="s">
        <v>86</v>
      </c>
      <c r="K18" s="157">
        <f t="shared" si="0"/>
        <v>0</v>
      </c>
      <c r="L18" s="60"/>
      <c r="Q18" s="7">
        <v>1</v>
      </c>
      <c r="R18" s="55" t="s">
        <v>37</v>
      </c>
      <c r="S18" s="50"/>
      <c r="T18" s="50"/>
      <c r="U18" s="7"/>
      <c r="V18" s="48">
        <v>10000</v>
      </c>
      <c r="W18" s="48">
        <f t="shared" si="1"/>
        <v>10000</v>
      </c>
      <c r="X18" s="105"/>
    </row>
    <row r="19" spans="1:31" x14ac:dyDescent="0.3">
      <c r="C19" s="78" t="s">
        <v>31</v>
      </c>
      <c r="D19" s="121">
        <f>'2229'!O34</f>
        <v>41000</v>
      </c>
      <c r="E19" s="122">
        <f>D19*0.19</f>
        <v>7790</v>
      </c>
      <c r="F19" s="119">
        <f>SUM(D19:E19)</f>
        <v>48790</v>
      </c>
      <c r="H19" s="191">
        <v>1</v>
      </c>
      <c r="I19" s="201"/>
      <c r="J19" s="183" t="s">
        <v>84</v>
      </c>
      <c r="K19" s="157">
        <f t="shared" si="0"/>
        <v>0</v>
      </c>
      <c r="L19" s="60"/>
      <c r="Q19" s="16"/>
      <c r="T19" s="5"/>
      <c r="U19" s="6"/>
      <c r="V19" s="29" t="s">
        <v>28</v>
      </c>
      <c r="W19" s="33">
        <f>SUM(W11:W18)</f>
        <v>472940</v>
      </c>
      <c r="X19" s="105"/>
      <c r="Y19" s="175">
        <f>SUM(Y11:Y16)+SUM(W17:W18)</f>
        <v>484940</v>
      </c>
    </row>
    <row r="20" spans="1:31" ht="15" thickBot="1" x14ac:dyDescent="0.35">
      <c r="C20" s="73" t="s">
        <v>21</v>
      </c>
      <c r="D20" s="121">
        <f>'2229'!O33</f>
        <v>12984.3</v>
      </c>
      <c r="E20" s="120">
        <f>D20*0.19</f>
        <v>2467.0169999999998</v>
      </c>
      <c r="F20" s="119">
        <f>SUM(D20:E20)</f>
        <v>15451.316999999999</v>
      </c>
      <c r="H20" s="191">
        <v>1</v>
      </c>
      <c r="I20" s="201"/>
      <c r="J20" s="183" t="s">
        <v>83</v>
      </c>
      <c r="K20" s="157">
        <f t="shared" si="0"/>
        <v>0</v>
      </c>
      <c r="V20" s="30" t="s">
        <v>29</v>
      </c>
      <c r="W20" s="34">
        <f>W19*19%</f>
        <v>89858.6</v>
      </c>
      <c r="X20" s="105"/>
      <c r="Y20" s="176">
        <f>Y19*0.19</f>
        <v>92138.6</v>
      </c>
      <c r="Z20" s="100"/>
      <c r="AA20" s="100"/>
      <c r="AB20" s="14"/>
      <c r="AC20" s="14"/>
      <c r="AE20" s="3"/>
    </row>
    <row r="21" spans="1:31" ht="15" thickBot="1" x14ac:dyDescent="0.35">
      <c r="A21" s="79">
        <f>450000*1.2</f>
        <v>540000</v>
      </c>
      <c r="B21" s="118"/>
      <c r="C21" s="117" t="s">
        <v>6</v>
      </c>
      <c r="D21" s="116">
        <f>SUM(D18:D20)</f>
        <v>53984.3</v>
      </c>
      <c r="E21" s="115">
        <f>SUM(E18:E20)</f>
        <v>10257.017</v>
      </c>
      <c r="F21" s="114">
        <f>SUM(F18:F20)</f>
        <v>64241.316999999995</v>
      </c>
      <c r="H21" s="191">
        <v>1</v>
      </c>
      <c r="I21" s="201"/>
      <c r="J21" s="183" t="s">
        <v>82</v>
      </c>
      <c r="K21" s="157">
        <f t="shared" si="0"/>
        <v>0</v>
      </c>
      <c r="M21" s="152">
        <f>B32/9</f>
        <v>2318.840579710145</v>
      </c>
      <c r="Q21" s="49" t="s">
        <v>39</v>
      </c>
      <c r="R21" s="49"/>
      <c r="S21" s="49"/>
      <c r="V21" s="31" t="s">
        <v>6</v>
      </c>
      <c r="W21" s="34">
        <f>W19+W20</f>
        <v>562798.6</v>
      </c>
      <c r="X21" s="105"/>
      <c r="Y21" s="176">
        <f>SUM(Y19:Y20)</f>
        <v>577078.6</v>
      </c>
      <c r="Z21" s="100"/>
      <c r="AA21" s="100"/>
      <c r="AB21" s="38"/>
      <c r="AC21" s="4"/>
      <c r="AE21" s="4"/>
    </row>
    <row r="22" spans="1:31" ht="15" thickBot="1" x14ac:dyDescent="0.35">
      <c r="A22" s="79">
        <f>450000*1.2</f>
        <v>540000</v>
      </c>
      <c r="B22" s="113" t="s">
        <v>80</v>
      </c>
      <c r="C22" s="112" t="s">
        <v>79</v>
      </c>
      <c r="D22" s="111" t="s">
        <v>78</v>
      </c>
      <c r="E22" s="110" t="s">
        <v>77</v>
      </c>
      <c r="F22" s="109" t="s">
        <v>6</v>
      </c>
      <c r="H22" s="191">
        <v>1</v>
      </c>
      <c r="I22" s="201"/>
      <c r="J22" s="147" t="s">
        <v>81</v>
      </c>
      <c r="K22" s="157">
        <f t="shared" si="0"/>
        <v>0</v>
      </c>
      <c r="M22" s="104"/>
      <c r="N22" s="57"/>
      <c r="Q22" s="49" t="s">
        <v>34</v>
      </c>
      <c r="R22" s="49"/>
      <c r="S22" s="49"/>
      <c r="T22" s="49"/>
      <c r="X22" s="95"/>
      <c r="Y22" s="14"/>
      <c r="Z22" s="100"/>
      <c r="AA22" s="100"/>
      <c r="AB22" s="38"/>
      <c r="AC22" s="4"/>
      <c r="AD22" s="14"/>
      <c r="AE22" s="4"/>
    </row>
    <row r="23" spans="1:31" ht="15" thickBot="1" x14ac:dyDescent="0.35">
      <c r="A23" s="79">
        <f>800000*1.2</f>
        <v>960000</v>
      </c>
      <c r="B23" s="102">
        <f>A21/23</f>
        <v>23478.260869565216</v>
      </c>
      <c r="C23" s="81" t="s">
        <v>25</v>
      </c>
      <c r="D23" s="108">
        <f t="shared" ref="D23:D29" si="3">B23/9</f>
        <v>2608.695652173913</v>
      </c>
      <c r="E23" s="107">
        <v>0.5</v>
      </c>
      <c r="F23" s="106">
        <f t="shared" ref="F23:F32" si="4">D23*E23</f>
        <v>1304.3478260869565</v>
      </c>
      <c r="H23" s="193">
        <v>1</v>
      </c>
      <c r="I23" s="202"/>
      <c r="J23" s="184" t="s">
        <v>76</v>
      </c>
      <c r="K23" s="157">
        <f t="shared" si="0"/>
        <v>0</v>
      </c>
      <c r="M23" s="104"/>
      <c r="N23" s="57"/>
      <c r="Q23" s="49" t="s">
        <v>27</v>
      </c>
      <c r="R23" s="49"/>
      <c r="X23" s="103"/>
      <c r="Y23" s="26"/>
      <c r="Z23" s="100"/>
      <c r="AA23" s="100"/>
      <c r="AB23" s="14"/>
      <c r="AC23" s="11"/>
      <c r="AD23" s="42"/>
    </row>
    <row r="24" spans="1:31" ht="15" thickBot="1" x14ac:dyDescent="0.35">
      <c r="A24" s="79">
        <v>450000</v>
      </c>
      <c r="B24" s="102">
        <f>A22/23</f>
        <v>23478.260869565216</v>
      </c>
      <c r="C24" s="78" t="s">
        <v>74</v>
      </c>
      <c r="D24" s="99">
        <f t="shared" si="3"/>
        <v>2608.695652173913</v>
      </c>
      <c r="E24" s="98">
        <v>0.5</v>
      </c>
      <c r="F24" s="97">
        <f t="shared" si="4"/>
        <v>1304.3478260869565</v>
      </c>
      <c r="H24" s="150" t="s">
        <v>117</v>
      </c>
      <c r="I24" s="154" t="s">
        <v>115</v>
      </c>
      <c r="J24" s="180" t="s">
        <v>75</v>
      </c>
      <c r="K24" s="151" t="s">
        <v>94</v>
      </c>
      <c r="L24" s="101">
        <f>SUM(K25:K35)</f>
        <v>0</v>
      </c>
      <c r="X24" s="100"/>
      <c r="Y24" s="100"/>
      <c r="Z24" s="100"/>
      <c r="AA24" s="100"/>
      <c r="AB24" s="14"/>
      <c r="AD24" s="42"/>
    </row>
    <row r="25" spans="1:31" x14ac:dyDescent="0.3">
      <c r="A25" s="79">
        <v>450000</v>
      </c>
      <c r="B25" s="102">
        <f>A23/23</f>
        <v>41739.130434782608</v>
      </c>
      <c r="C25" s="78" t="s">
        <v>73</v>
      </c>
      <c r="D25" s="99">
        <f t="shared" si="3"/>
        <v>4637.68115942029</v>
      </c>
      <c r="E25" s="98"/>
      <c r="F25" s="97">
        <f t="shared" si="4"/>
        <v>0</v>
      </c>
      <c r="H25" s="208">
        <v>0</v>
      </c>
      <c r="I25" s="203">
        <f>((480000/23)/9)</f>
        <v>2318.840579710145</v>
      </c>
      <c r="J25" s="186" t="s">
        <v>108</v>
      </c>
      <c r="K25" s="148">
        <f t="shared" ref="K25:K35" si="5">H25*I25</f>
        <v>0</v>
      </c>
      <c r="X25" s="100"/>
      <c r="Z25" s="100"/>
      <c r="AA25" s="100"/>
      <c r="AB25" s="38"/>
      <c r="AD25" s="42"/>
    </row>
    <row r="26" spans="1:31" x14ac:dyDescent="0.3">
      <c r="A26" s="79"/>
      <c r="B26" s="102">
        <f>A24/23</f>
        <v>19565.217391304348</v>
      </c>
      <c r="C26" s="78" t="s">
        <v>71</v>
      </c>
      <c r="D26" s="99">
        <f t="shared" si="3"/>
        <v>2173.913043478261</v>
      </c>
      <c r="E26" s="98">
        <v>0.5</v>
      </c>
      <c r="F26" s="97">
        <f t="shared" si="4"/>
        <v>1086.9565217391305</v>
      </c>
      <c r="H26" s="191">
        <v>0</v>
      </c>
      <c r="I26" s="173"/>
      <c r="J26" s="183" t="s">
        <v>72</v>
      </c>
      <c r="K26" s="96">
        <f t="shared" si="5"/>
        <v>0</v>
      </c>
      <c r="L26" s="60"/>
      <c r="X26" s="95"/>
      <c r="Z26" s="100"/>
      <c r="AA26" s="100"/>
      <c r="AB26" s="14"/>
      <c r="AD26" s="43"/>
    </row>
    <row r="27" spans="1:31" x14ac:dyDescent="0.3">
      <c r="A27" s="79">
        <v>350000</v>
      </c>
      <c r="B27" s="102">
        <f>A25/23</f>
        <v>19565.217391304348</v>
      </c>
      <c r="C27" s="78" t="s">
        <v>70</v>
      </c>
      <c r="D27" s="99">
        <f t="shared" si="3"/>
        <v>2173.913043478261</v>
      </c>
      <c r="E27" s="98">
        <v>0.5</v>
      </c>
      <c r="F27" s="97">
        <f t="shared" si="4"/>
        <v>1086.9565217391305</v>
      </c>
      <c r="H27" s="191">
        <v>0</v>
      </c>
      <c r="I27" s="173"/>
      <c r="J27" s="183" t="s">
        <v>69</v>
      </c>
      <c r="K27" s="96">
        <f t="shared" si="5"/>
        <v>0</v>
      </c>
      <c r="L27" s="60"/>
      <c r="X27" s="95"/>
      <c r="Z27" s="100"/>
      <c r="AA27" s="100"/>
      <c r="AB27" s="44"/>
    </row>
    <row r="28" spans="1:31" x14ac:dyDescent="0.3">
      <c r="A28" s="79">
        <v>500000</v>
      </c>
      <c r="B28" s="102">
        <f>A27/23</f>
        <v>15217.391304347826</v>
      </c>
      <c r="C28" s="78" t="s">
        <v>68</v>
      </c>
      <c r="D28" s="99">
        <f t="shared" si="3"/>
        <v>1690.8212560386473</v>
      </c>
      <c r="E28" s="98">
        <v>0.7</v>
      </c>
      <c r="F28" s="97">
        <f t="shared" si="4"/>
        <v>1183.5748792270531</v>
      </c>
      <c r="H28" s="191">
        <v>0</v>
      </c>
      <c r="I28" s="173"/>
      <c r="J28" s="183" t="s">
        <v>106</v>
      </c>
      <c r="K28" s="96">
        <f t="shared" si="5"/>
        <v>0</v>
      </c>
      <c r="L28" s="60"/>
      <c r="X28" s="95"/>
      <c r="Y28" s="13"/>
      <c r="Z28" s="14"/>
      <c r="AA28" s="17"/>
      <c r="AB28" s="94"/>
    </row>
    <row r="29" spans="1:31" x14ac:dyDescent="0.3">
      <c r="A29" s="79"/>
      <c r="B29" s="102">
        <f>A28/23</f>
        <v>21739.130434782608</v>
      </c>
      <c r="C29" s="78" t="s">
        <v>67</v>
      </c>
      <c r="D29" s="99">
        <f t="shared" si="3"/>
        <v>2415.4589371980674</v>
      </c>
      <c r="E29" s="98">
        <v>0.7</v>
      </c>
      <c r="F29" s="97">
        <f t="shared" si="4"/>
        <v>1690.8212560386471</v>
      </c>
      <c r="H29" s="190">
        <v>0</v>
      </c>
      <c r="I29" s="173">
        <f>((550000*1.2)/23)/9</f>
        <v>3188.4057971014495</v>
      </c>
      <c r="J29" s="149" t="s">
        <v>118</v>
      </c>
      <c r="K29" s="96">
        <f t="shared" si="5"/>
        <v>0</v>
      </c>
      <c r="L29" s="60"/>
    </row>
    <row r="30" spans="1:31" x14ac:dyDescent="0.3">
      <c r="A30" s="79">
        <v>450000</v>
      </c>
      <c r="B30" s="93"/>
      <c r="C30" s="78" t="s">
        <v>22</v>
      </c>
      <c r="D30" s="99">
        <v>2415</v>
      </c>
      <c r="E30" s="98"/>
      <c r="F30" s="97">
        <f t="shared" si="4"/>
        <v>0</v>
      </c>
      <c r="H30" s="190">
        <v>0</v>
      </c>
      <c r="I30" s="173">
        <f>((450000*1.2)/23)/9</f>
        <v>2608.695652173913</v>
      </c>
      <c r="J30" s="149" t="s">
        <v>119</v>
      </c>
      <c r="K30" s="96">
        <f t="shared" si="5"/>
        <v>0</v>
      </c>
      <c r="L30" s="60"/>
    </row>
    <row r="31" spans="1:31" x14ac:dyDescent="0.3">
      <c r="A31" s="79">
        <v>350000</v>
      </c>
      <c r="B31" s="93">
        <f>A30/23</f>
        <v>19565.217391304348</v>
      </c>
      <c r="C31" s="78" t="s">
        <v>65</v>
      </c>
      <c r="D31" s="99">
        <f>B31/9</f>
        <v>2173.913043478261</v>
      </c>
      <c r="E31" s="98">
        <v>0</v>
      </c>
      <c r="F31" s="97">
        <f t="shared" si="4"/>
        <v>0</v>
      </c>
      <c r="H31" s="190">
        <v>0</v>
      </c>
      <c r="I31" s="173">
        <f>((450000*1.2)/23)/9</f>
        <v>2608.695652173913</v>
      </c>
      <c r="J31" s="149" t="s">
        <v>120</v>
      </c>
      <c r="K31" s="96">
        <f t="shared" si="5"/>
        <v>0</v>
      </c>
    </row>
    <row r="32" spans="1:31" ht="15" thickBot="1" x14ac:dyDescent="0.35">
      <c r="A32" s="79">
        <f>A21+A24+A27+A28+A30</f>
        <v>2290000</v>
      </c>
      <c r="B32" s="93">
        <f>480000/23</f>
        <v>20869.565217391304</v>
      </c>
      <c r="C32" s="92" t="s">
        <v>64</v>
      </c>
      <c r="D32" s="91">
        <f>B32/9</f>
        <v>2318.840579710145</v>
      </c>
      <c r="E32" s="90">
        <v>0.5</v>
      </c>
      <c r="F32" s="89">
        <f t="shared" si="4"/>
        <v>1159.4202898550725</v>
      </c>
      <c r="H32" s="192">
        <v>0</v>
      </c>
      <c r="I32" s="204"/>
      <c r="J32" s="187" t="s">
        <v>41</v>
      </c>
      <c r="K32" s="96">
        <f t="shared" si="5"/>
        <v>0</v>
      </c>
    </row>
    <row r="33" spans="2:16" ht="15" thickBot="1" x14ac:dyDescent="0.35">
      <c r="B33" s="79"/>
      <c r="C33" s="87" t="s">
        <v>6</v>
      </c>
      <c r="D33" s="86">
        <f>SUM(D23:D32)</f>
        <v>25216.932367149755</v>
      </c>
      <c r="E33" s="85">
        <f>SUM(E23:E32)</f>
        <v>3.9000000000000004</v>
      </c>
      <c r="F33" s="84">
        <f>SUM(F23:F32)</f>
        <v>8816.4251207729467</v>
      </c>
      <c r="H33" s="194">
        <v>0</v>
      </c>
      <c r="I33" s="173"/>
      <c r="J33" s="185" t="s">
        <v>40</v>
      </c>
      <c r="K33" s="96">
        <f t="shared" si="5"/>
        <v>0</v>
      </c>
    </row>
    <row r="34" spans="2:16" ht="15" thickBot="1" x14ac:dyDescent="0.35">
      <c r="B34" s="82" t="s">
        <v>63</v>
      </c>
      <c r="C34" s="81" t="s">
        <v>62</v>
      </c>
      <c r="D34" s="80">
        <f>L9</f>
        <v>2550</v>
      </c>
      <c r="H34" s="191">
        <v>1</v>
      </c>
      <c r="I34" s="173"/>
      <c r="J34" s="147" t="s">
        <v>107</v>
      </c>
      <c r="K34" s="96">
        <f t="shared" si="5"/>
        <v>0</v>
      </c>
      <c r="N34" s="64"/>
      <c r="P34" s="60"/>
    </row>
    <row r="35" spans="2:16" ht="15" thickBot="1" x14ac:dyDescent="0.35">
      <c r="B35" s="74"/>
      <c r="C35" s="78" t="s">
        <v>61</v>
      </c>
      <c r="D35" s="77">
        <f>L24</f>
        <v>0</v>
      </c>
      <c r="H35" s="193">
        <v>6</v>
      </c>
      <c r="I35" s="205"/>
      <c r="J35" s="179" t="s">
        <v>109</v>
      </c>
      <c r="K35" s="209">
        <f t="shared" si="5"/>
        <v>0</v>
      </c>
      <c r="N35" s="64"/>
    </row>
    <row r="36" spans="2:16" ht="15" thickBot="1" x14ac:dyDescent="0.35">
      <c r="B36" s="74"/>
      <c r="C36" s="78" t="s">
        <v>59</v>
      </c>
      <c r="D36" s="77">
        <f>L36</f>
        <v>18467.665666666668</v>
      </c>
      <c r="E36" s="57"/>
      <c r="H36" s="150" t="s">
        <v>96</v>
      </c>
      <c r="I36" s="154" t="s">
        <v>115</v>
      </c>
      <c r="J36" s="188" t="s">
        <v>66</v>
      </c>
      <c r="K36" s="151" t="s">
        <v>94</v>
      </c>
      <c r="L36" s="207">
        <f>SUM(K37:K39)</f>
        <v>18467.665666666668</v>
      </c>
      <c r="N36" s="64"/>
    </row>
    <row r="37" spans="2:16" ht="15" thickBot="1" x14ac:dyDescent="0.35">
      <c r="B37" s="74"/>
      <c r="C37" s="73" t="s">
        <v>42</v>
      </c>
      <c r="D37" s="72"/>
      <c r="H37" s="198">
        <f>$E$33</f>
        <v>3.9000000000000004</v>
      </c>
      <c r="I37" s="203">
        <f>32609.69/9</f>
        <v>3623.2988888888885</v>
      </c>
      <c r="J37" s="186" t="s">
        <v>45</v>
      </c>
      <c r="K37" s="148">
        <f>I37*H37</f>
        <v>14130.865666666667</v>
      </c>
      <c r="N37" s="64"/>
      <c r="O37" s="64"/>
      <c r="P37" s="60"/>
    </row>
    <row r="38" spans="2:16" ht="15" thickBot="1" x14ac:dyDescent="0.35">
      <c r="C38" s="70" t="s">
        <v>6</v>
      </c>
      <c r="D38" s="69">
        <f>SUM(D34:D37)</f>
        <v>21017.665666666668</v>
      </c>
      <c r="H38" s="195">
        <f>$E$33</f>
        <v>3.9000000000000004</v>
      </c>
      <c r="I38" s="173">
        <v>967</v>
      </c>
      <c r="J38" s="183" t="s">
        <v>43</v>
      </c>
      <c r="K38" s="88">
        <f>I38*H38</f>
        <v>3771.3</v>
      </c>
    </row>
    <row r="39" spans="2:16" ht="15" thickBot="1" x14ac:dyDescent="0.35">
      <c r="H39" s="199">
        <f>$E$33</f>
        <v>3.9000000000000004</v>
      </c>
      <c r="I39" s="205">
        <v>145</v>
      </c>
      <c r="J39" s="184" t="s">
        <v>44</v>
      </c>
      <c r="K39" s="83">
        <f>I39*H39</f>
        <v>565.5</v>
      </c>
    </row>
    <row r="40" spans="2:16" ht="15" thickBot="1" x14ac:dyDescent="0.35">
      <c r="B40" s="67" t="s">
        <v>52</v>
      </c>
      <c r="C40" s="66" t="s">
        <v>51</v>
      </c>
      <c r="D40" s="65">
        <f>E11-E21</f>
        <v>70325.212999999989</v>
      </c>
    </row>
    <row r="41" spans="2:16" ht="15" thickBot="1" x14ac:dyDescent="0.35">
      <c r="H41" s="440" t="s">
        <v>60</v>
      </c>
      <c r="I41" s="441"/>
      <c r="J41" s="441"/>
      <c r="K41" s="441"/>
      <c r="L41" s="441"/>
      <c r="M41" s="442"/>
    </row>
    <row r="42" spans="2:16" ht="15" thickBot="1" x14ac:dyDescent="0.35">
      <c r="B42" s="74" t="s">
        <v>46</v>
      </c>
      <c r="C42" s="74"/>
      <c r="D42" s="206">
        <f>E33</f>
        <v>3.9000000000000004</v>
      </c>
      <c r="H42" s="76" t="s">
        <v>58</v>
      </c>
      <c r="I42" s="158" t="s">
        <v>57</v>
      </c>
      <c r="J42" s="159"/>
      <c r="K42" s="159"/>
      <c r="L42" s="160"/>
      <c r="M42" s="75">
        <f>D11</f>
        <v>424117</v>
      </c>
    </row>
    <row r="43" spans="2:16" ht="15" thickBot="1" x14ac:dyDescent="0.35">
      <c r="D43" s="56"/>
      <c r="H43" s="71" t="s">
        <v>56</v>
      </c>
      <c r="I43" s="161" t="s">
        <v>55</v>
      </c>
      <c r="J43" s="162"/>
      <c r="K43" s="162"/>
      <c r="L43" s="163"/>
      <c r="M43" s="63">
        <f>D21</f>
        <v>53984.3</v>
      </c>
    </row>
    <row r="44" spans="2:16" x14ac:dyDescent="0.3">
      <c r="D44" s="56"/>
      <c r="I44" s="164" t="s">
        <v>54</v>
      </c>
      <c r="J44" s="165"/>
      <c r="K44" s="165"/>
      <c r="L44" s="166"/>
      <c r="M44" s="68">
        <f>F33</f>
        <v>8816.4251207729467</v>
      </c>
    </row>
    <row r="45" spans="2:16" ht="15" thickBot="1" x14ac:dyDescent="0.35">
      <c r="D45" s="59"/>
      <c r="I45" s="167" t="s">
        <v>53</v>
      </c>
      <c r="J45" s="168"/>
      <c r="K45" s="168"/>
      <c r="L45" s="169"/>
      <c r="M45" s="62">
        <f>D38</f>
        <v>21017.665666666668</v>
      </c>
    </row>
    <row r="46" spans="2:16" ht="15" thickBot="1" x14ac:dyDescent="0.35">
      <c r="D46" s="59"/>
      <c r="I46" s="170" t="s">
        <v>50</v>
      </c>
      <c r="J46" s="171"/>
      <c r="K46" s="171"/>
      <c r="L46" s="172"/>
      <c r="M46" s="61">
        <f>M42-(SUM(M43:M45))</f>
        <v>340298.60921256035</v>
      </c>
    </row>
    <row r="47" spans="2:16" x14ac:dyDescent="0.3">
      <c r="I47" s="161" t="s">
        <v>49</v>
      </c>
      <c r="J47" s="162"/>
      <c r="K47" s="162"/>
      <c r="L47" s="163"/>
      <c r="M47" s="63"/>
    </row>
    <row r="48" spans="2:16" ht="15" thickBot="1" x14ac:dyDescent="0.35">
      <c r="D48" s="59"/>
      <c r="I48" s="167" t="s">
        <v>48</v>
      </c>
      <c r="J48" s="168"/>
      <c r="K48" s="168"/>
      <c r="L48" s="169"/>
      <c r="M48" s="62"/>
    </row>
    <row r="49" spans="3:13" ht="15" thickBot="1" x14ac:dyDescent="0.35">
      <c r="C49" s="58"/>
      <c r="D49" s="57"/>
      <c r="I49" s="170" t="s">
        <v>47</v>
      </c>
      <c r="J49" s="171"/>
      <c r="K49" s="171"/>
      <c r="L49" s="172"/>
      <c r="M49" s="61">
        <f>M46-SUM(M47:M48)</f>
        <v>340298.60921256035</v>
      </c>
    </row>
    <row r="52" spans="3:13" x14ac:dyDescent="0.3">
      <c r="D52" s="56"/>
    </row>
    <row r="54" spans="3:13" x14ac:dyDescent="0.3">
      <c r="D54" s="56"/>
    </row>
    <row r="56" spans="3:13" x14ac:dyDescent="0.3">
      <c r="D56" s="56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7"/>
      <c r="B1" s="137"/>
      <c r="C1" s="137"/>
      <c r="D1" s="137"/>
      <c r="E1" s="137"/>
      <c r="F1" s="137"/>
      <c r="G1" s="137"/>
      <c r="H1" s="137"/>
      <c r="I1" s="137"/>
    </row>
    <row r="2" spans="1:17" ht="15.6" x14ac:dyDescent="0.3">
      <c r="A2" s="137"/>
      <c r="B2" s="137"/>
      <c r="C2" s="137"/>
      <c r="D2" s="137"/>
      <c r="E2" s="137"/>
      <c r="F2" s="241" t="s">
        <v>140</v>
      </c>
      <c r="G2" s="137"/>
      <c r="H2" s="137"/>
      <c r="I2" s="137"/>
    </row>
    <row r="3" spans="1:17" ht="15.6" x14ac:dyDescent="0.3">
      <c r="A3" s="137"/>
      <c r="B3" s="137"/>
      <c r="C3" s="137"/>
      <c r="D3" s="137"/>
      <c r="E3" s="137"/>
      <c r="F3" s="137" t="s">
        <v>136</v>
      </c>
      <c r="G3" s="137"/>
      <c r="H3" s="137"/>
      <c r="I3" s="137"/>
    </row>
    <row r="4" spans="1:17" ht="15.6" x14ac:dyDescent="0.3">
      <c r="A4" s="137"/>
      <c r="B4" s="137"/>
      <c r="C4" s="137"/>
      <c r="D4" s="137"/>
      <c r="E4" s="137"/>
      <c r="F4" s="137" t="s">
        <v>141</v>
      </c>
      <c r="G4" s="137"/>
      <c r="H4" s="137"/>
      <c r="I4" s="137"/>
    </row>
    <row r="5" spans="1:17" ht="15.6" x14ac:dyDescent="0.3">
      <c r="A5" s="137"/>
      <c r="B5" s="137"/>
      <c r="C5" s="137"/>
      <c r="D5" s="137"/>
      <c r="E5" s="137"/>
      <c r="F5" s="137" t="s">
        <v>14</v>
      </c>
      <c r="G5" s="137"/>
      <c r="H5" s="137"/>
      <c r="I5" s="137"/>
    </row>
    <row r="6" spans="1:17" ht="15.6" x14ac:dyDescent="0.3">
      <c r="A6" s="137"/>
      <c r="B6" s="137"/>
      <c r="C6" s="137"/>
      <c r="D6" s="137"/>
      <c r="E6" s="137"/>
      <c r="F6" s="137" t="s">
        <v>162</v>
      </c>
      <c r="G6" s="137"/>
      <c r="H6" s="137"/>
      <c r="I6" s="137"/>
    </row>
    <row r="7" spans="1:17" ht="16.2" thickBot="1" x14ac:dyDescent="0.35">
      <c r="A7" s="137"/>
      <c r="B7" s="137"/>
      <c r="C7" s="137"/>
      <c r="D7" s="137"/>
      <c r="E7" s="137"/>
      <c r="F7" s="137" t="s">
        <v>163</v>
      </c>
      <c r="G7" s="137"/>
      <c r="H7" s="137"/>
      <c r="I7" s="137"/>
    </row>
    <row r="8" spans="1:17" ht="16.2" thickBot="1" x14ac:dyDescent="0.35">
      <c r="A8" s="137"/>
      <c r="B8" s="314" t="s">
        <v>125</v>
      </c>
      <c r="C8" s="315"/>
      <c r="D8" s="316" t="str">
        <f>'2229'!D8</f>
        <v>N° 11844</v>
      </c>
      <c r="E8" s="137"/>
      <c r="F8" s="317" t="s">
        <v>164</v>
      </c>
      <c r="G8" s="318"/>
      <c r="H8" s="137"/>
      <c r="I8" s="137"/>
    </row>
    <row r="9" spans="1:17" ht="16.2" thickBot="1" x14ac:dyDescent="0.35">
      <c r="A9" s="137"/>
      <c r="B9" s="137"/>
      <c r="C9" s="137"/>
      <c r="D9" s="137"/>
      <c r="E9" s="137"/>
      <c r="F9" s="137"/>
      <c r="G9" s="137"/>
      <c r="H9" s="137"/>
      <c r="I9" s="137"/>
    </row>
    <row r="10" spans="1:17" ht="15.6" x14ac:dyDescent="0.3">
      <c r="A10" s="137"/>
      <c r="B10" s="348" t="s">
        <v>165</v>
      </c>
      <c r="C10" s="349" t="str">
        <f>IF('2229'!C10="","",'2229'!C10)</f>
        <v>MARCOS CORTEZ ZAMORANO</v>
      </c>
      <c r="D10" s="349"/>
      <c r="E10" s="349"/>
      <c r="F10" s="350" t="s">
        <v>166</v>
      </c>
      <c r="G10" s="351">
        <f>'2229'!G10</f>
        <v>46045</v>
      </c>
      <c r="H10" s="352"/>
      <c r="I10" s="137"/>
      <c r="J10" s="137"/>
      <c r="K10" s="137"/>
      <c r="L10" s="137"/>
      <c r="M10" s="137"/>
      <c r="N10" s="137"/>
      <c r="O10" s="137"/>
      <c r="P10" s="137"/>
      <c r="Q10" s="137"/>
    </row>
    <row r="11" spans="1:17" ht="15.6" x14ac:dyDescent="0.3">
      <c r="A11" s="137"/>
      <c r="B11" s="338" t="s">
        <v>12</v>
      </c>
      <c r="C11" s="245" t="str">
        <f>IF('2229'!C11="","",'2229'!C11)</f>
        <v/>
      </c>
      <c r="D11" s="344"/>
      <c r="E11" s="344"/>
      <c r="F11" s="344" t="s">
        <v>167</v>
      </c>
      <c r="G11" s="339">
        <f>WORKDAY(G10,5)</f>
        <v>46052</v>
      </c>
      <c r="H11" s="340"/>
      <c r="I11" s="137"/>
    </row>
    <row r="12" spans="1:17" ht="15.6" x14ac:dyDescent="0.3">
      <c r="A12" s="137"/>
      <c r="B12" s="353" t="s">
        <v>168</v>
      </c>
      <c r="C12" s="354" t="str">
        <f>IF('2229'!C12="","",'2229'!C12)</f>
        <v/>
      </c>
      <c r="D12" s="354"/>
      <c r="E12" s="354"/>
      <c r="F12" s="354" t="s">
        <v>180</v>
      </c>
      <c r="G12" s="354" t="str">
        <f>'2229'!G14</f>
        <v>NO</v>
      </c>
      <c r="H12" s="355"/>
      <c r="I12" s="137"/>
    </row>
    <row r="13" spans="1:17" ht="15.6" x14ac:dyDescent="0.3">
      <c r="A13" s="137"/>
      <c r="B13" s="244" t="s">
        <v>143</v>
      </c>
      <c r="C13" s="245" t="str">
        <f>IF('2229'!C13="","",'2229'!C13)</f>
        <v/>
      </c>
      <c r="D13" s="245"/>
      <c r="E13" s="245"/>
      <c r="F13" s="245" t="s">
        <v>169</v>
      </c>
      <c r="G13" s="345"/>
      <c r="H13" s="246"/>
      <c r="I13" s="137"/>
    </row>
    <row r="14" spans="1:17" ht="15.6" x14ac:dyDescent="0.3">
      <c r="A14" s="137"/>
      <c r="B14" s="353" t="s">
        <v>137</v>
      </c>
      <c r="C14" s="354" t="str">
        <f>IF('2229'!C14="","",'2229'!C14)</f>
        <v/>
      </c>
      <c r="D14" s="354"/>
      <c r="E14" s="354"/>
      <c r="F14" s="354" t="s">
        <v>170</v>
      </c>
      <c r="G14" s="356" t="s">
        <v>171</v>
      </c>
      <c r="H14" s="355"/>
      <c r="I14" s="137"/>
    </row>
    <row r="15" spans="1:17" ht="15.6" x14ac:dyDescent="0.3">
      <c r="A15" s="137"/>
      <c r="B15" s="338" t="s">
        <v>4</v>
      </c>
      <c r="C15" s="245" t="str">
        <f>IF('2229'!C15="","",'2229'!C15)</f>
        <v>569 9986 2557</v>
      </c>
      <c r="D15" s="346"/>
      <c r="E15" s="344"/>
      <c r="F15" s="344" t="s">
        <v>172</v>
      </c>
      <c r="G15" s="344" t="str">
        <f>'2229'!G12</f>
        <v>NO</v>
      </c>
      <c r="H15" s="340"/>
      <c r="I15" s="137"/>
    </row>
    <row r="16" spans="1:17" ht="15.6" x14ac:dyDescent="0.3">
      <c r="A16" s="137"/>
      <c r="B16" s="353" t="s">
        <v>3</v>
      </c>
      <c r="C16" s="354" t="str">
        <f>IF('2229'!C16="","",'2229'!C16)</f>
        <v/>
      </c>
      <c r="D16" s="354"/>
      <c r="E16" s="354"/>
      <c r="F16" s="354" t="s">
        <v>173</v>
      </c>
      <c r="G16" s="354" t="str">
        <f>'2229'!G16</f>
        <v>ABONO 50% SALDO C/ENTREGA</v>
      </c>
      <c r="H16" s="355"/>
      <c r="I16" s="137"/>
    </row>
    <row r="17" spans="1:16" ht="16.2" thickBot="1" x14ac:dyDescent="0.35">
      <c r="A17" s="137"/>
      <c r="B17" s="341" t="s">
        <v>13</v>
      </c>
      <c r="C17" s="347" t="str">
        <f>IF('2229'!C17="","",'2229'!C17)</f>
        <v>SANTIAGO</v>
      </c>
      <c r="D17" s="342"/>
      <c r="E17" s="343"/>
      <c r="F17" s="443" t="s">
        <v>174</v>
      </c>
      <c r="G17" s="443"/>
      <c r="H17" s="444"/>
      <c r="I17" s="137"/>
    </row>
    <row r="18" spans="1:16" ht="15.6" x14ac:dyDescent="0.3">
      <c r="A18" s="137"/>
      <c r="B18" s="137"/>
      <c r="C18" s="137"/>
      <c r="D18" s="137"/>
      <c r="E18" s="137"/>
      <c r="F18" s="137"/>
      <c r="G18" s="137"/>
      <c r="H18" s="137"/>
      <c r="I18" s="137"/>
    </row>
    <row r="19" spans="1:16" ht="16.2" thickBot="1" x14ac:dyDescent="0.35">
      <c r="A19" s="137"/>
      <c r="B19" s="137"/>
      <c r="C19" s="137"/>
      <c r="D19" s="137"/>
      <c r="E19" s="137"/>
      <c r="F19" s="137"/>
      <c r="G19" s="137"/>
      <c r="H19" s="137"/>
      <c r="I19" s="137"/>
    </row>
    <row r="20" spans="1:16" ht="16.2" thickBot="1" x14ac:dyDescent="0.35">
      <c r="A20" s="137"/>
      <c r="B20" s="445" t="s">
        <v>175</v>
      </c>
      <c r="C20" s="446"/>
      <c r="D20" s="446"/>
      <c r="E20" s="446"/>
      <c r="F20" s="446"/>
      <c r="G20" s="446"/>
      <c r="H20" s="447"/>
      <c r="I20" s="137"/>
    </row>
    <row r="21" spans="1:16" ht="16.2" thickBot="1" x14ac:dyDescent="0.35">
      <c r="A21" s="137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7"/>
    </row>
    <row r="22" spans="1:16" ht="15.6" x14ac:dyDescent="0.3">
      <c r="A22" s="137"/>
      <c r="B22" s="311">
        <f>'2229'!B21</f>
        <v>1</v>
      </c>
      <c r="C22" s="312" t="str">
        <f>'2229'!C21</f>
        <v>CUB C/R 180°</v>
      </c>
      <c r="D22" s="320">
        <f>'2229'!D21*1000</f>
        <v>3000</v>
      </c>
      <c r="E22" s="320">
        <f>'2229'!E21*1000</f>
        <v>550</v>
      </c>
      <c r="F22" s="321" t="str">
        <f>'2229'!F21</f>
        <v>GRANITINO NEGRO 3014 BR</v>
      </c>
      <c r="G22" s="313">
        <f>'2229'!G21</f>
        <v>128809</v>
      </c>
      <c r="H22" s="322">
        <f>G22*B22</f>
        <v>128809</v>
      </c>
      <c r="I22" s="137"/>
      <c r="K22" s="5"/>
      <c r="L22" s="262"/>
      <c r="M22" s="5"/>
      <c r="N22" s="5"/>
      <c r="O22" s="262"/>
      <c r="P22" s="46"/>
    </row>
    <row r="23" spans="1:16" ht="15.6" x14ac:dyDescent="0.3">
      <c r="A23" s="137"/>
      <c r="B23" s="283"/>
      <c r="C23" s="283"/>
      <c r="D23" s="283"/>
      <c r="E23" s="283"/>
      <c r="F23" s="283"/>
      <c r="G23" s="323"/>
      <c r="H23" s="323"/>
      <c r="I23" s="137"/>
      <c r="K23" s="5"/>
      <c r="L23" s="262"/>
      <c r="M23" s="5"/>
      <c r="N23" s="5"/>
      <c r="O23" s="262"/>
      <c r="P23" s="46"/>
    </row>
    <row r="24" spans="1:16" ht="16.2" thickBot="1" x14ac:dyDescent="0.35">
      <c r="A24" s="137"/>
      <c r="B24" s="283"/>
      <c r="C24" s="283"/>
      <c r="D24" s="283"/>
      <c r="E24" s="283"/>
      <c r="F24" s="324"/>
      <c r="G24" s="323"/>
      <c r="H24" s="323"/>
      <c r="I24" s="137"/>
      <c r="K24" s="5"/>
      <c r="L24" s="262"/>
      <c r="M24" s="5"/>
      <c r="N24" s="5"/>
      <c r="O24" s="262"/>
      <c r="P24" s="46"/>
    </row>
    <row r="25" spans="1:16" ht="15.6" x14ac:dyDescent="0.3">
      <c r="A25" s="137"/>
      <c r="B25" s="137"/>
      <c r="C25" s="137"/>
      <c r="D25" s="137"/>
      <c r="E25" s="137"/>
      <c r="F25" s="137"/>
      <c r="G25" s="326" t="s">
        <v>28</v>
      </c>
      <c r="H25" s="327">
        <f>SUM(H22:H24)</f>
        <v>128809</v>
      </c>
      <c r="I25" s="137"/>
    </row>
    <row r="26" spans="1:16" ht="15.6" x14ac:dyDescent="0.3">
      <c r="A26" s="137"/>
      <c r="B26" s="137"/>
      <c r="C26" s="137"/>
      <c r="D26" s="137"/>
      <c r="E26" s="137"/>
      <c r="F26" s="137"/>
      <c r="G26" s="328" t="s">
        <v>29</v>
      </c>
      <c r="H26" s="329">
        <f>H25*19%</f>
        <v>24473.71</v>
      </c>
      <c r="I26" s="137"/>
    </row>
    <row r="27" spans="1:16" ht="16.2" thickBot="1" x14ac:dyDescent="0.35">
      <c r="A27" s="137"/>
      <c r="B27" s="137"/>
      <c r="C27" s="137"/>
      <c r="D27" s="137"/>
      <c r="E27" s="137"/>
      <c r="F27" s="137"/>
      <c r="G27" s="330" t="s">
        <v>6</v>
      </c>
      <c r="H27" s="331">
        <f>H25+H26</f>
        <v>153282.71</v>
      </c>
      <c r="I27" s="137"/>
    </row>
    <row r="28" spans="1:16" ht="15.6" x14ac:dyDescent="0.3">
      <c r="A28" s="137"/>
      <c r="B28" s="137"/>
      <c r="C28" s="137"/>
      <c r="D28" s="137"/>
      <c r="E28" s="137"/>
      <c r="F28" s="137"/>
      <c r="G28" s="332"/>
      <c r="H28" s="333"/>
      <c r="I28" s="137"/>
    </row>
    <row r="29" spans="1:16" ht="15.6" x14ac:dyDescent="0.3">
      <c r="A29" s="137"/>
      <c r="B29" s="137"/>
      <c r="C29" s="137"/>
      <c r="D29" s="137"/>
      <c r="E29" s="137"/>
      <c r="F29" s="137"/>
      <c r="G29" s="137"/>
      <c r="H29" s="137"/>
      <c r="I29" s="137"/>
    </row>
    <row r="30" spans="1:16" ht="15.6" x14ac:dyDescent="0.3">
      <c r="A30" s="137"/>
      <c r="B30" s="334" t="s">
        <v>176</v>
      </c>
      <c r="C30" s="335"/>
      <c r="D30" s="336"/>
      <c r="E30" s="336"/>
      <c r="F30" s="325"/>
      <c r="G30" s="137"/>
      <c r="H30" s="137"/>
      <c r="I30" s="137"/>
    </row>
    <row r="31" spans="1:16" ht="15.6" x14ac:dyDescent="0.3">
      <c r="A31" s="137"/>
      <c r="B31" s="334" t="s">
        <v>177</v>
      </c>
      <c r="C31" s="335"/>
      <c r="D31" s="336"/>
      <c r="E31" s="336"/>
      <c r="F31" s="325"/>
      <c r="G31" s="137"/>
      <c r="H31" s="137"/>
      <c r="I31" s="137"/>
    </row>
    <row r="32" spans="1:16" ht="15.6" x14ac:dyDescent="0.3">
      <c r="A32" s="137"/>
      <c r="B32" s="137" t="s">
        <v>124</v>
      </c>
      <c r="C32" s="137"/>
      <c r="D32" s="137"/>
      <c r="E32" s="337" t="s">
        <v>15</v>
      </c>
      <c r="F32" s="137"/>
      <c r="G32" s="137"/>
      <c r="H32" s="137"/>
      <c r="I32" s="137"/>
    </row>
    <row r="33" spans="1:9" ht="15.6" x14ac:dyDescent="0.3">
      <c r="A33" s="137"/>
      <c r="B33" s="137"/>
      <c r="C33" s="137"/>
      <c r="D33" s="137"/>
      <c r="E33" s="137"/>
      <c r="F33" s="137"/>
      <c r="G33" s="137"/>
      <c r="H33" s="137"/>
      <c r="I33" s="137"/>
    </row>
    <row r="34" spans="1:9" ht="15.6" x14ac:dyDescent="0.3">
      <c r="A34" s="137"/>
      <c r="B34" s="137"/>
      <c r="C34" s="137"/>
      <c r="D34" s="137"/>
      <c r="E34" s="137"/>
      <c r="F34" s="137"/>
      <c r="G34" s="137"/>
      <c r="H34" s="137"/>
      <c r="I34" s="137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48" t="s">
        <v>181</v>
      </c>
      <c r="C2" s="448"/>
      <c r="D2" s="448"/>
      <c r="E2" s="360"/>
      <c r="G2" s="448" t="s">
        <v>182</v>
      </c>
      <c r="H2" s="448"/>
      <c r="I2" s="448"/>
      <c r="P2" s="449" t="s">
        <v>183</v>
      </c>
      <c r="Q2" s="449"/>
      <c r="R2" s="449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184</v>
      </c>
      <c r="E4" s="245" t="s">
        <v>185</v>
      </c>
      <c r="G4" s="361">
        <v>50</v>
      </c>
      <c r="H4" s="361">
        <v>100</v>
      </c>
      <c r="I4" s="366" t="s">
        <v>184</v>
      </c>
      <c r="J4" s="53" t="s">
        <v>186</v>
      </c>
      <c r="K4" s="53"/>
      <c r="L4" s="53"/>
      <c r="M4" s="53"/>
      <c r="P4">
        <v>50</v>
      </c>
      <c r="Q4">
        <v>-30</v>
      </c>
      <c r="R4" t="s">
        <v>187</v>
      </c>
    </row>
    <row r="5" spans="2:18" x14ac:dyDescent="0.3">
      <c r="B5" s="364">
        <v>40</v>
      </c>
      <c r="C5" s="364">
        <v>90</v>
      </c>
      <c r="D5" s="365" t="s">
        <v>188</v>
      </c>
      <c r="E5" s="245" t="s">
        <v>189</v>
      </c>
      <c r="G5" s="361">
        <v>50</v>
      </c>
      <c r="H5" s="361"/>
      <c r="I5" s="366" t="s">
        <v>190</v>
      </c>
      <c r="J5" s="53" t="s">
        <v>191</v>
      </c>
      <c r="K5" s="53"/>
      <c r="L5" s="53"/>
      <c r="M5" s="53"/>
      <c r="P5">
        <v>50</v>
      </c>
      <c r="Q5">
        <v>-30</v>
      </c>
      <c r="R5" t="s">
        <v>187</v>
      </c>
    </row>
    <row r="6" spans="2:18" x14ac:dyDescent="0.3">
      <c r="B6" s="364">
        <v>40</v>
      </c>
      <c r="C6" s="364">
        <v>100</v>
      </c>
      <c r="D6" s="365" t="s">
        <v>192</v>
      </c>
      <c r="E6" s="245" t="s">
        <v>193</v>
      </c>
      <c r="G6" s="364">
        <v>50</v>
      </c>
      <c r="H6" s="364">
        <v>100</v>
      </c>
      <c r="I6" s="365" t="s">
        <v>192</v>
      </c>
      <c r="P6">
        <v>50</v>
      </c>
      <c r="Q6">
        <v>-30</v>
      </c>
      <c r="R6" t="s">
        <v>194</v>
      </c>
    </row>
    <row r="7" spans="2:18" x14ac:dyDescent="0.3">
      <c r="B7" s="364">
        <v>40</v>
      </c>
      <c r="C7" s="364">
        <v>150</v>
      </c>
      <c r="D7" s="365" t="s">
        <v>195</v>
      </c>
      <c r="E7" s="245" t="s">
        <v>196</v>
      </c>
      <c r="G7" s="364">
        <v>50</v>
      </c>
      <c r="H7" s="364"/>
      <c r="I7" s="365" t="s">
        <v>195</v>
      </c>
      <c r="P7">
        <v>50</v>
      </c>
      <c r="Q7">
        <v>-30</v>
      </c>
      <c r="R7" t="s">
        <v>197</v>
      </c>
    </row>
    <row r="8" spans="2:18" x14ac:dyDescent="0.3">
      <c r="B8" s="364">
        <v>40</v>
      </c>
      <c r="C8" s="364">
        <v>100</v>
      </c>
      <c r="D8" s="365" t="s">
        <v>198</v>
      </c>
      <c r="E8" s="245" t="s">
        <v>199</v>
      </c>
      <c r="G8" s="364">
        <v>50</v>
      </c>
      <c r="H8" s="364">
        <v>100</v>
      </c>
      <c r="I8" s="365" t="s">
        <v>198</v>
      </c>
      <c r="L8" s="449" t="s">
        <v>183</v>
      </c>
      <c r="M8" s="449"/>
      <c r="N8" s="449"/>
      <c r="P8">
        <v>50</v>
      </c>
      <c r="Q8">
        <v>-30</v>
      </c>
      <c r="R8" t="s">
        <v>200</v>
      </c>
    </row>
    <row r="9" spans="2:18" x14ac:dyDescent="0.3">
      <c r="B9" s="364">
        <v>40</v>
      </c>
      <c r="C9" s="364">
        <v>50</v>
      </c>
      <c r="D9" s="365" t="s">
        <v>201</v>
      </c>
      <c r="E9" s="245" t="s">
        <v>202</v>
      </c>
      <c r="G9" s="364">
        <v>50</v>
      </c>
      <c r="H9" s="364">
        <v>100</v>
      </c>
      <c r="I9" s="365" t="s">
        <v>203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204</v>
      </c>
    </row>
    <row r="10" spans="2:18" x14ac:dyDescent="0.3">
      <c r="B10" s="364">
        <v>40</v>
      </c>
      <c r="C10" s="364">
        <v>80</v>
      </c>
      <c r="D10" s="365" t="s">
        <v>205</v>
      </c>
      <c r="E10" s="245" t="s">
        <v>206</v>
      </c>
      <c r="G10" s="364">
        <v>50</v>
      </c>
      <c r="H10" s="364"/>
      <c r="I10" s="365" t="s">
        <v>207</v>
      </c>
      <c r="L10" s="364">
        <v>50</v>
      </c>
      <c r="M10" s="364">
        <v>-30</v>
      </c>
      <c r="N10" s="365" t="s">
        <v>187</v>
      </c>
      <c r="P10">
        <v>50</v>
      </c>
      <c r="Q10">
        <v>0</v>
      </c>
      <c r="R10" t="s">
        <v>208</v>
      </c>
    </row>
    <row r="11" spans="2:18" x14ac:dyDescent="0.3">
      <c r="B11" s="364">
        <v>40</v>
      </c>
      <c r="C11" s="364">
        <v>60</v>
      </c>
      <c r="D11" s="365" t="s">
        <v>209</v>
      </c>
      <c r="E11" s="245" t="s">
        <v>210</v>
      </c>
      <c r="G11" s="364">
        <v>50</v>
      </c>
      <c r="H11" s="364">
        <v>100</v>
      </c>
      <c r="I11" s="365" t="s">
        <v>201</v>
      </c>
      <c r="L11" s="364">
        <v>50</v>
      </c>
      <c r="M11" s="364">
        <v>0</v>
      </c>
      <c r="N11" s="365" t="s">
        <v>211</v>
      </c>
      <c r="P11">
        <v>50</v>
      </c>
      <c r="Q11">
        <v>0</v>
      </c>
      <c r="R11" t="s">
        <v>212</v>
      </c>
    </row>
    <row r="12" spans="2:18" x14ac:dyDescent="0.3">
      <c r="B12" s="364">
        <v>40</v>
      </c>
      <c r="C12" s="364">
        <v>100</v>
      </c>
      <c r="D12" s="365" t="s">
        <v>213</v>
      </c>
      <c r="E12" s="245" t="s">
        <v>214</v>
      </c>
      <c r="G12" s="364">
        <v>50</v>
      </c>
      <c r="H12" s="364"/>
      <c r="I12" s="365" t="s">
        <v>205</v>
      </c>
      <c r="L12" s="364">
        <v>50</v>
      </c>
      <c r="M12" s="364">
        <v>-2</v>
      </c>
      <c r="N12" s="365" t="s">
        <v>215</v>
      </c>
      <c r="P12">
        <v>50</v>
      </c>
      <c r="Q12">
        <v>0</v>
      </c>
      <c r="R12" t="s">
        <v>216</v>
      </c>
    </row>
    <row r="13" spans="2:18" x14ac:dyDescent="0.3">
      <c r="B13" s="364">
        <v>40</v>
      </c>
      <c r="C13" s="364">
        <v>130</v>
      </c>
      <c r="D13" s="365" t="s">
        <v>217</v>
      </c>
      <c r="E13" s="245" t="s">
        <v>218</v>
      </c>
      <c r="G13" s="364">
        <v>50</v>
      </c>
      <c r="H13" s="364">
        <v>-30</v>
      </c>
      <c r="I13" s="365" t="s">
        <v>187</v>
      </c>
      <c r="P13">
        <v>50</v>
      </c>
      <c r="Q13">
        <v>0</v>
      </c>
      <c r="R13" t="s">
        <v>219</v>
      </c>
    </row>
    <row r="14" spans="2:18" x14ac:dyDescent="0.3">
      <c r="B14" s="364">
        <v>40</v>
      </c>
      <c r="C14" s="364">
        <v>150</v>
      </c>
      <c r="D14" s="365" t="s">
        <v>194</v>
      </c>
      <c r="E14" s="245"/>
      <c r="G14" s="364">
        <v>50</v>
      </c>
      <c r="H14" s="364">
        <v>-30</v>
      </c>
      <c r="I14" s="365" t="s">
        <v>194</v>
      </c>
    </row>
    <row r="15" spans="2:18" x14ac:dyDescent="0.3">
      <c r="B15" s="364">
        <v>40</v>
      </c>
      <c r="C15" s="364">
        <v>150</v>
      </c>
      <c r="D15" s="365" t="s">
        <v>220</v>
      </c>
      <c r="E15" s="245" t="s">
        <v>221</v>
      </c>
      <c r="G15" s="364">
        <v>50</v>
      </c>
      <c r="H15" s="364">
        <v>-30</v>
      </c>
      <c r="I15" s="365" t="s">
        <v>197</v>
      </c>
      <c r="P15">
        <v>50</v>
      </c>
      <c r="Q15">
        <v>0</v>
      </c>
      <c r="R15" t="s">
        <v>222</v>
      </c>
    </row>
    <row r="16" spans="2:18" x14ac:dyDescent="0.3">
      <c r="B16" s="364">
        <v>40</v>
      </c>
      <c r="C16" s="364">
        <v>130</v>
      </c>
      <c r="D16" s="365" t="s">
        <v>223</v>
      </c>
      <c r="E16" s="245" t="s">
        <v>224</v>
      </c>
      <c r="G16" s="364">
        <v>50</v>
      </c>
      <c r="H16" s="364">
        <v>-30</v>
      </c>
      <c r="I16" s="365" t="s">
        <v>225</v>
      </c>
      <c r="P16">
        <v>50</v>
      </c>
      <c r="Q16">
        <v>0</v>
      </c>
      <c r="R16" t="s">
        <v>226</v>
      </c>
    </row>
    <row r="17" spans="2:18" x14ac:dyDescent="0.3">
      <c r="B17" s="364">
        <v>40</v>
      </c>
      <c r="C17" s="364">
        <v>150</v>
      </c>
      <c r="D17" s="365" t="s">
        <v>212</v>
      </c>
      <c r="E17" s="245" t="s">
        <v>227</v>
      </c>
      <c r="G17" s="364">
        <v>50</v>
      </c>
      <c r="H17" s="364"/>
      <c r="I17" s="365" t="s">
        <v>212</v>
      </c>
      <c r="P17">
        <v>50</v>
      </c>
      <c r="Q17">
        <v>0</v>
      </c>
      <c r="R17" t="s">
        <v>228</v>
      </c>
    </row>
    <row r="18" spans="2:18" x14ac:dyDescent="0.3">
      <c r="B18" s="364">
        <v>140</v>
      </c>
      <c r="C18" s="364">
        <v>150</v>
      </c>
      <c r="D18" s="365" t="s">
        <v>216</v>
      </c>
      <c r="E18" s="245" t="s">
        <v>229</v>
      </c>
      <c r="G18" s="364">
        <v>50</v>
      </c>
      <c r="H18" s="364"/>
      <c r="I18" s="365" t="s">
        <v>216</v>
      </c>
      <c r="P18">
        <v>50</v>
      </c>
      <c r="Q18">
        <v>0</v>
      </c>
      <c r="R18" t="s">
        <v>230</v>
      </c>
    </row>
    <row r="19" spans="2:18" x14ac:dyDescent="0.3">
      <c r="B19" s="364">
        <v>150</v>
      </c>
      <c r="C19" s="364">
        <v>150</v>
      </c>
      <c r="D19" s="365" t="s">
        <v>219</v>
      </c>
      <c r="E19" s="245" t="s">
        <v>231</v>
      </c>
      <c r="G19" s="364">
        <v>50</v>
      </c>
      <c r="H19" s="364"/>
      <c r="I19" s="365" t="s">
        <v>219</v>
      </c>
      <c r="P19">
        <v>50</v>
      </c>
      <c r="Q19">
        <v>0</v>
      </c>
      <c r="R19" t="s">
        <v>232</v>
      </c>
    </row>
    <row r="20" spans="2:18" x14ac:dyDescent="0.3">
      <c r="B20" s="364">
        <v>40</v>
      </c>
      <c r="C20" s="364">
        <v>100</v>
      </c>
      <c r="D20" s="365" t="s">
        <v>233</v>
      </c>
      <c r="E20" s="245" t="s">
        <v>234</v>
      </c>
      <c r="G20" s="364">
        <v>50</v>
      </c>
      <c r="H20" s="364">
        <v>0</v>
      </c>
      <c r="I20" s="365" t="s">
        <v>233</v>
      </c>
      <c r="J20" s="53" t="s">
        <v>235</v>
      </c>
      <c r="K20" s="53"/>
      <c r="L20" s="53"/>
      <c r="M20" s="53"/>
      <c r="P20">
        <v>50</v>
      </c>
      <c r="Q20">
        <v>0</v>
      </c>
      <c r="R20" t="s">
        <v>236</v>
      </c>
    </row>
    <row r="21" spans="2:18" x14ac:dyDescent="0.3">
      <c r="B21" s="364">
        <v>100</v>
      </c>
      <c r="C21" s="364">
        <v>100</v>
      </c>
      <c r="D21" s="365" t="s">
        <v>237</v>
      </c>
      <c r="E21" s="245" t="s">
        <v>238</v>
      </c>
      <c r="G21" s="364">
        <v>50</v>
      </c>
      <c r="H21" s="364">
        <v>0</v>
      </c>
      <c r="I21" s="365" t="s">
        <v>237</v>
      </c>
      <c r="P21">
        <v>50</v>
      </c>
      <c r="Q21">
        <v>0</v>
      </c>
      <c r="R21" t="s">
        <v>239</v>
      </c>
    </row>
    <row r="22" spans="2:18" x14ac:dyDescent="0.3">
      <c r="B22" s="364">
        <v>100</v>
      </c>
      <c r="C22" s="364">
        <v>100</v>
      </c>
      <c r="D22" s="365" t="s">
        <v>222</v>
      </c>
      <c r="E22" s="245" t="s">
        <v>240</v>
      </c>
      <c r="G22" s="361"/>
      <c r="H22" s="361"/>
      <c r="I22" s="366" t="s">
        <v>222</v>
      </c>
      <c r="P22">
        <v>50</v>
      </c>
      <c r="Q22">
        <v>0</v>
      </c>
      <c r="R22" t="s">
        <v>241</v>
      </c>
    </row>
    <row r="23" spans="2:18" x14ac:dyDescent="0.3">
      <c r="B23" s="364">
        <v>40</v>
      </c>
      <c r="C23" s="364">
        <v>150</v>
      </c>
      <c r="D23" s="365" t="s">
        <v>226</v>
      </c>
      <c r="E23" s="245" t="s">
        <v>242</v>
      </c>
      <c r="G23" s="364">
        <v>50</v>
      </c>
      <c r="H23" s="364"/>
      <c r="I23" s="365" t="s">
        <v>226</v>
      </c>
      <c r="R23" t="s">
        <v>243</v>
      </c>
    </row>
    <row r="24" spans="2:18" x14ac:dyDescent="0.3">
      <c r="B24" s="364">
        <v>140</v>
      </c>
      <c r="C24" s="364">
        <v>150</v>
      </c>
      <c r="D24" s="365" t="s">
        <v>228</v>
      </c>
      <c r="E24" s="245" t="s">
        <v>244</v>
      </c>
      <c r="G24" s="364">
        <v>50</v>
      </c>
      <c r="H24" s="364"/>
      <c r="I24" s="365" t="s">
        <v>228</v>
      </c>
      <c r="R24" t="s">
        <v>245</v>
      </c>
    </row>
    <row r="25" spans="2:18" x14ac:dyDescent="0.3">
      <c r="B25" s="364">
        <v>150</v>
      </c>
      <c r="C25" s="364">
        <v>150</v>
      </c>
      <c r="D25" s="365" t="s">
        <v>230</v>
      </c>
      <c r="E25" s="245" t="s">
        <v>246</v>
      </c>
      <c r="G25" s="364">
        <v>50</v>
      </c>
      <c r="H25" s="364"/>
      <c r="I25" s="365" t="s">
        <v>230</v>
      </c>
      <c r="R25" t="s">
        <v>192</v>
      </c>
    </row>
    <row r="26" spans="2:18" x14ac:dyDescent="0.3">
      <c r="B26" s="364">
        <v>40</v>
      </c>
      <c r="C26" s="364">
        <v>77</v>
      </c>
      <c r="D26" s="365" t="s">
        <v>232</v>
      </c>
      <c r="E26" s="245" t="s">
        <v>247</v>
      </c>
      <c r="G26" s="364">
        <v>50</v>
      </c>
      <c r="H26" s="364"/>
      <c r="I26" s="365" t="s">
        <v>232</v>
      </c>
      <c r="R26" t="s">
        <v>195</v>
      </c>
    </row>
    <row r="27" spans="2:18" x14ac:dyDescent="0.3">
      <c r="B27" s="364">
        <v>110</v>
      </c>
      <c r="C27" s="364">
        <v>77</v>
      </c>
      <c r="D27" s="365" t="s">
        <v>236</v>
      </c>
      <c r="E27" s="245" t="s">
        <v>248</v>
      </c>
      <c r="G27" s="364">
        <v>50</v>
      </c>
      <c r="H27" s="364"/>
      <c r="I27" s="365" t="s">
        <v>236</v>
      </c>
      <c r="R27" t="s">
        <v>198</v>
      </c>
    </row>
    <row r="28" spans="2:18" x14ac:dyDescent="0.3">
      <c r="B28" s="364">
        <v>120</v>
      </c>
      <c r="C28" s="364">
        <v>77</v>
      </c>
      <c r="D28" s="365" t="s">
        <v>239</v>
      </c>
      <c r="E28" s="245" t="s">
        <v>249</v>
      </c>
      <c r="G28" s="364">
        <v>50</v>
      </c>
      <c r="H28" s="364"/>
      <c r="I28" s="365" t="s">
        <v>239</v>
      </c>
      <c r="R28" t="s">
        <v>203</v>
      </c>
    </row>
    <row r="29" spans="2:18" x14ac:dyDescent="0.3">
      <c r="B29" s="364">
        <v>40</v>
      </c>
      <c r="C29" s="364">
        <v>50</v>
      </c>
      <c r="D29" s="365" t="s">
        <v>241</v>
      </c>
      <c r="E29" s="245" t="s">
        <v>250</v>
      </c>
      <c r="G29" s="364">
        <v>50</v>
      </c>
      <c r="H29" s="364"/>
      <c r="I29" s="365" t="s">
        <v>241</v>
      </c>
      <c r="R29" t="s">
        <v>207</v>
      </c>
    </row>
    <row r="30" spans="2:18" x14ac:dyDescent="0.3">
      <c r="B30" s="364">
        <v>40</v>
      </c>
      <c r="C30" s="364">
        <v>60</v>
      </c>
      <c r="D30" s="365" t="s">
        <v>251</v>
      </c>
      <c r="E30" s="245" t="s">
        <v>252</v>
      </c>
      <c r="G30" s="364">
        <v>50</v>
      </c>
      <c r="H30" s="364"/>
      <c r="I30" s="365" t="s">
        <v>208</v>
      </c>
      <c r="R30" t="s">
        <v>201</v>
      </c>
    </row>
    <row r="31" spans="2:18" x14ac:dyDescent="0.3">
      <c r="B31" s="364">
        <v>40</v>
      </c>
      <c r="C31" s="364">
        <v>100</v>
      </c>
      <c r="D31" s="365" t="s">
        <v>204</v>
      </c>
      <c r="E31" s="245" t="s">
        <v>253</v>
      </c>
      <c r="G31" s="364">
        <v>50</v>
      </c>
      <c r="H31" s="364"/>
      <c r="I31" s="365" t="s">
        <v>204</v>
      </c>
      <c r="R31" t="s">
        <v>205</v>
      </c>
    </row>
    <row r="32" spans="2:18" x14ac:dyDescent="0.3">
      <c r="B32" s="364">
        <v>40</v>
      </c>
      <c r="C32" s="364">
        <v>60</v>
      </c>
      <c r="D32" s="365" t="s">
        <v>254</v>
      </c>
      <c r="E32" s="245" t="s">
        <v>255</v>
      </c>
      <c r="G32" s="364">
        <v>50</v>
      </c>
      <c r="H32" s="364"/>
      <c r="I32" s="365" t="s">
        <v>254</v>
      </c>
      <c r="R32" t="s">
        <v>256</v>
      </c>
    </row>
    <row r="33" spans="2:18" x14ac:dyDescent="0.3">
      <c r="B33" s="364">
        <v>40</v>
      </c>
      <c r="C33" s="364">
        <v>90</v>
      </c>
      <c r="D33" s="365" t="s">
        <v>257</v>
      </c>
      <c r="E33" s="245" t="s">
        <v>258</v>
      </c>
      <c r="G33" s="364">
        <v>50</v>
      </c>
      <c r="H33" s="364">
        <v>-2</v>
      </c>
      <c r="I33" s="365" t="s">
        <v>257</v>
      </c>
      <c r="R33" t="s">
        <v>259</v>
      </c>
    </row>
    <row r="34" spans="2:18" x14ac:dyDescent="0.3">
      <c r="B34" s="364">
        <v>40</v>
      </c>
      <c r="C34" s="364">
        <v>90</v>
      </c>
      <c r="D34" s="365" t="s">
        <v>260</v>
      </c>
      <c r="E34" s="245"/>
      <c r="G34" s="364">
        <v>50</v>
      </c>
      <c r="H34" s="364">
        <v>-2</v>
      </c>
      <c r="I34" s="365" t="s">
        <v>260</v>
      </c>
    </row>
    <row r="35" spans="2:18" x14ac:dyDescent="0.3">
      <c r="B35" s="364">
        <v>40</v>
      </c>
      <c r="C35" s="364">
        <v>90</v>
      </c>
      <c r="D35" s="365" t="s">
        <v>256</v>
      </c>
      <c r="E35" s="245" t="s">
        <v>261</v>
      </c>
      <c r="G35" s="364">
        <v>50</v>
      </c>
      <c r="H35" s="364">
        <v>-2</v>
      </c>
      <c r="I35" s="365" t="s">
        <v>256</v>
      </c>
      <c r="R35" t="s">
        <v>262</v>
      </c>
    </row>
    <row r="36" spans="2:18" x14ac:dyDescent="0.3">
      <c r="B36" s="367">
        <v>40</v>
      </c>
      <c r="C36" s="367">
        <v>90</v>
      </c>
      <c r="D36" s="368" t="s">
        <v>259</v>
      </c>
      <c r="G36" s="364">
        <v>50</v>
      </c>
      <c r="H36" s="364">
        <v>-2</v>
      </c>
      <c r="I36" s="365" t="s">
        <v>259</v>
      </c>
      <c r="R36" t="s">
        <v>257</v>
      </c>
    </row>
    <row r="37" spans="2:18" x14ac:dyDescent="0.3">
      <c r="B37" s="367">
        <v>40</v>
      </c>
      <c r="C37" s="367">
        <v>90</v>
      </c>
      <c r="D37" s="368" t="s">
        <v>262</v>
      </c>
      <c r="G37" s="364">
        <v>50</v>
      </c>
      <c r="H37" s="364">
        <v>-2</v>
      </c>
      <c r="I37" s="365" t="s">
        <v>262</v>
      </c>
      <c r="R37" t="s">
        <v>260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7"/>
      <c r="B1" s="137"/>
      <c r="C1" s="137"/>
      <c r="D1" s="137"/>
      <c r="E1" s="137"/>
      <c r="F1" s="137"/>
      <c r="G1" s="137"/>
    </row>
    <row r="2" spans="1:14" ht="16.5" customHeight="1" x14ac:dyDescent="0.3">
      <c r="A2" s="137"/>
      <c r="B2" s="137"/>
      <c r="C2" s="137"/>
      <c r="D2" s="137"/>
      <c r="E2" s="137"/>
      <c r="F2" s="137"/>
      <c r="G2" s="137"/>
      <c r="K2" s="74" t="s">
        <v>263</v>
      </c>
      <c r="L2" s="74"/>
      <c r="M2" s="74"/>
    </row>
    <row r="3" spans="1:14" ht="15.6" x14ac:dyDescent="0.3">
      <c r="A3" s="137"/>
      <c r="B3" s="137"/>
      <c r="C3" s="137"/>
      <c r="D3" s="137"/>
      <c r="E3" s="137"/>
      <c r="F3" s="137"/>
      <c r="G3" s="137"/>
      <c r="K3" s="454" t="s">
        <v>264</v>
      </c>
      <c r="L3" s="454"/>
      <c r="M3" s="454" t="s">
        <v>265</v>
      </c>
      <c r="N3" s="454"/>
    </row>
    <row r="4" spans="1:14" ht="15.75" customHeight="1" x14ac:dyDescent="0.3">
      <c r="A4" s="137"/>
      <c r="B4" s="137"/>
      <c r="C4" s="369" t="s">
        <v>164</v>
      </c>
      <c r="D4" s="139" t="str">
        <f>IF('NOTA DE VENTA'!$G$8="","",'NOTA DE VENTA'!$G$8)</f>
        <v/>
      </c>
      <c r="E4" s="137"/>
      <c r="F4" s="137"/>
      <c r="G4" s="137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7"/>
      <c r="B5" s="137"/>
      <c r="C5" s="370" t="s">
        <v>266</v>
      </c>
      <c r="D5" s="371" t="str">
        <f>'NOTA DE VENTA'!$C$10</f>
        <v>MARCOS CORTEZ ZAMORANO</v>
      </c>
      <c r="E5" s="319"/>
      <c r="F5" s="319"/>
      <c r="G5" s="137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7"/>
      <c r="B6" s="137"/>
      <c r="C6" s="372"/>
      <c r="D6" s="373"/>
      <c r="E6" s="137"/>
      <c r="F6" s="137"/>
      <c r="G6" s="137"/>
    </row>
    <row r="7" spans="1:14" ht="15.6" x14ac:dyDescent="0.3">
      <c r="A7" s="137"/>
      <c r="B7" s="137"/>
      <c r="C7" s="395" t="str">
        <f>'NOTA DE VENTA'!$F$10</f>
        <v>FECHA :</v>
      </c>
      <c r="D7" s="405">
        <f>'NOTA DE VENTA'!$G$10</f>
        <v>46045</v>
      </c>
      <c r="E7" s="137"/>
      <c r="F7" s="137"/>
      <c r="G7" s="137"/>
    </row>
    <row r="8" spans="1:14" ht="15.6" x14ac:dyDescent="0.3">
      <c r="A8" s="137"/>
      <c r="B8" s="137"/>
      <c r="C8" s="369" t="s">
        <v>267</v>
      </c>
      <c r="D8" s="404">
        <f>'NOTA DE VENTA'!$G$11</f>
        <v>46052</v>
      </c>
      <c r="E8" s="137"/>
      <c r="F8" s="137"/>
      <c r="G8" s="137"/>
    </row>
    <row r="9" spans="1:14" ht="15.6" x14ac:dyDescent="0.3">
      <c r="A9" s="137"/>
      <c r="B9" s="137"/>
      <c r="C9" s="137"/>
      <c r="D9" s="137"/>
      <c r="E9" s="137"/>
      <c r="F9" s="137"/>
      <c r="G9" s="137"/>
    </row>
    <row r="10" spans="1:14" ht="15" customHeight="1" x14ac:dyDescent="0.3">
      <c r="A10" s="455" t="s">
        <v>264</v>
      </c>
      <c r="B10" s="455"/>
      <c r="C10" s="455"/>
      <c r="D10" s="455"/>
      <c r="E10" s="455"/>
      <c r="F10" s="455"/>
      <c r="G10" s="137"/>
    </row>
    <row r="11" spans="1:14" ht="15.6" x14ac:dyDescent="0.3">
      <c r="A11" s="137"/>
      <c r="B11" s="137"/>
      <c r="C11" s="375"/>
      <c r="D11" s="137"/>
      <c r="E11" s="137"/>
      <c r="F11" s="137"/>
      <c r="G11" s="137"/>
    </row>
    <row r="12" spans="1:14" ht="15.6" x14ac:dyDescent="0.3">
      <c r="A12" s="137"/>
      <c r="B12" s="137"/>
      <c r="C12" s="137"/>
      <c r="D12" s="332" t="s">
        <v>130</v>
      </c>
      <c r="E12" s="332" t="s">
        <v>11</v>
      </c>
      <c r="F12" s="137"/>
      <c r="G12" s="137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268</v>
      </c>
      <c r="G13" s="137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7"/>
      <c r="I14" s="383">
        <f>I21</f>
        <v>1</v>
      </c>
      <c r="J14" s="149">
        <f t="shared" ref="J14:K14" si="1">D27</f>
        <v>1800</v>
      </c>
      <c r="K14" s="149">
        <f t="shared" si="1"/>
        <v>500</v>
      </c>
    </row>
    <row r="15" spans="1:14" ht="15.6" x14ac:dyDescent="0.3">
      <c r="A15" s="332"/>
      <c r="B15" s="51"/>
      <c r="C15" s="51"/>
      <c r="D15" s="51"/>
      <c r="E15" s="384"/>
      <c r="F15" s="51"/>
      <c r="G15" s="137"/>
      <c r="I15" s="385"/>
      <c r="J15" s="6"/>
      <c r="K15" s="6"/>
    </row>
    <row r="16" spans="1:14" ht="6.75" customHeight="1" x14ac:dyDescent="0.3">
      <c r="A16" s="137"/>
      <c r="B16" s="137"/>
      <c r="C16" s="137"/>
      <c r="D16" s="137"/>
      <c r="E16" s="137"/>
      <c r="F16" s="137"/>
      <c r="G16" s="137"/>
    </row>
    <row r="17" spans="1:11" ht="15.6" x14ac:dyDescent="0.3">
      <c r="A17" s="455" t="s">
        <v>265</v>
      </c>
      <c r="B17" s="455"/>
      <c r="C17" s="455"/>
      <c r="D17" s="455"/>
      <c r="E17" s="455"/>
      <c r="F17" s="455"/>
      <c r="G17" s="137"/>
    </row>
    <row r="18" spans="1:11" ht="10.5" customHeight="1" x14ac:dyDescent="0.3">
      <c r="A18" s="137"/>
      <c r="B18" s="137"/>
      <c r="C18" s="375"/>
      <c r="D18" s="137"/>
      <c r="E18" s="137"/>
      <c r="F18" s="137"/>
      <c r="G18" s="137"/>
    </row>
    <row r="19" spans="1:11" ht="15.6" x14ac:dyDescent="0.3">
      <c r="A19" s="137"/>
      <c r="B19" s="137"/>
      <c r="C19" s="137"/>
      <c r="D19" s="332" t="s">
        <v>130</v>
      </c>
      <c r="E19" s="332" t="s">
        <v>11</v>
      </c>
      <c r="F19" s="137"/>
      <c r="G19" s="137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268</v>
      </c>
      <c r="G20" s="137"/>
      <c r="J20" s="378" t="s">
        <v>130</v>
      </c>
      <c r="K20" s="378" t="s">
        <v>11</v>
      </c>
    </row>
    <row r="21" spans="1:11" ht="15.6" x14ac:dyDescent="0.3">
      <c r="A21" s="379" t="s">
        <v>269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7"/>
      <c r="I21" s="383">
        <f>B27</f>
        <v>1</v>
      </c>
      <c r="J21" s="149">
        <f>D27</f>
        <v>1800</v>
      </c>
      <c r="K21" s="149">
        <f>E27</f>
        <v>500</v>
      </c>
    </row>
    <row r="22" spans="1:11" ht="15.6" x14ac:dyDescent="0.3">
      <c r="A22" s="390"/>
      <c r="B22" s="51"/>
      <c r="C22" s="51"/>
      <c r="D22" s="51"/>
      <c r="E22" s="51"/>
      <c r="F22" s="51"/>
      <c r="G22" s="137"/>
      <c r="I22" s="385"/>
      <c r="J22" s="6"/>
      <c r="K22" s="6"/>
    </row>
    <row r="23" spans="1:11" ht="16.2" thickBot="1" x14ac:dyDescent="0.35">
      <c r="A23" s="332"/>
      <c r="B23" s="51"/>
      <c r="C23" s="51"/>
      <c r="D23" s="51"/>
      <c r="E23" s="51"/>
      <c r="F23" s="51"/>
      <c r="G23" s="137"/>
      <c r="I23" s="6"/>
      <c r="J23" s="6"/>
      <c r="K23" s="6"/>
    </row>
    <row r="24" spans="1:11" ht="16.2" thickBot="1" x14ac:dyDescent="0.35">
      <c r="A24" s="332"/>
      <c r="B24" s="391" t="s">
        <v>270</v>
      </c>
      <c r="C24" s="392"/>
      <c r="D24" s="392"/>
      <c r="E24" s="392"/>
      <c r="F24" s="393"/>
      <c r="G24" s="137"/>
      <c r="I24" s="6"/>
      <c r="J24" s="6"/>
      <c r="K24" s="6"/>
    </row>
    <row r="25" spans="1:11" ht="10.5" customHeight="1" x14ac:dyDescent="0.3">
      <c r="A25" s="137"/>
      <c r="B25" s="137"/>
      <c r="C25" s="137"/>
      <c r="D25" s="137"/>
      <c r="E25" s="137"/>
      <c r="F25" s="137"/>
      <c r="G25" s="137"/>
    </row>
    <row r="26" spans="1:11" ht="15.6" x14ac:dyDescent="0.3">
      <c r="A26" s="332" t="s">
        <v>87</v>
      </c>
      <c r="B26" s="394" t="s">
        <v>96</v>
      </c>
      <c r="C26" s="394" t="s">
        <v>268</v>
      </c>
      <c r="D26" s="394" t="s">
        <v>130</v>
      </c>
      <c r="E26" s="394" t="s">
        <v>11</v>
      </c>
      <c r="F26" s="394" t="s">
        <v>8</v>
      </c>
      <c r="G26" s="137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7"/>
    </row>
    <row r="28" spans="1:11" ht="15.6" x14ac:dyDescent="0.3">
      <c r="A28" s="390"/>
      <c r="B28" s="51"/>
      <c r="C28" s="51"/>
      <c r="D28" s="51"/>
      <c r="E28" s="51"/>
      <c r="F28" s="51"/>
      <c r="G28" s="137"/>
    </row>
    <row r="29" spans="1:11" ht="15.6" x14ac:dyDescent="0.3">
      <c r="A29" s="332"/>
      <c r="B29" s="51"/>
      <c r="C29" s="51"/>
      <c r="D29" s="51"/>
      <c r="E29" s="51"/>
      <c r="F29" s="51"/>
      <c r="G29" s="137"/>
    </row>
    <row r="30" spans="1:11" ht="15.6" x14ac:dyDescent="0.3">
      <c r="A30" s="137"/>
      <c r="B30" s="51"/>
      <c r="C30" s="51"/>
      <c r="D30" s="51"/>
      <c r="E30" s="51"/>
      <c r="F30" s="51"/>
      <c r="G30" s="137"/>
    </row>
    <row r="31" spans="1:11" ht="15.6" x14ac:dyDescent="0.3">
      <c r="A31" s="137"/>
      <c r="B31" s="51"/>
      <c r="C31" s="51"/>
      <c r="D31" s="51"/>
      <c r="E31" s="51"/>
      <c r="F31" s="51"/>
      <c r="G31" s="137"/>
    </row>
    <row r="32" spans="1:11" ht="15.6" x14ac:dyDescent="0.3">
      <c r="A32" s="137"/>
      <c r="B32" s="51"/>
      <c r="C32" s="51"/>
      <c r="D32" s="51"/>
      <c r="E32" s="51"/>
      <c r="F32" s="51"/>
      <c r="G32" s="137"/>
    </row>
    <row r="33" spans="1:7" ht="15.6" x14ac:dyDescent="0.3">
      <c r="A33" s="137"/>
      <c r="B33" s="51"/>
      <c r="C33" s="51"/>
      <c r="D33" s="51"/>
      <c r="E33" s="51"/>
      <c r="F33" s="51"/>
      <c r="G33" s="137"/>
    </row>
    <row r="34" spans="1:7" ht="15.6" x14ac:dyDescent="0.3">
      <c r="A34" s="137"/>
      <c r="B34" s="51"/>
      <c r="C34" s="51"/>
      <c r="D34" s="51"/>
      <c r="E34" s="51"/>
      <c r="F34" s="51"/>
      <c r="G34" s="137"/>
    </row>
    <row r="35" spans="1:7" ht="15.6" x14ac:dyDescent="0.3">
      <c r="A35" s="137"/>
      <c r="B35" s="51"/>
      <c r="C35" s="51"/>
      <c r="D35" s="51"/>
      <c r="E35" s="51"/>
      <c r="F35" s="51"/>
      <c r="G35" s="137"/>
    </row>
    <row r="36" spans="1:7" ht="15.6" x14ac:dyDescent="0.3">
      <c r="A36" s="137"/>
      <c r="B36" s="51"/>
      <c r="C36" s="51"/>
      <c r="D36" s="51"/>
      <c r="E36" s="51"/>
      <c r="F36" s="51"/>
      <c r="G36" s="137"/>
    </row>
    <row r="37" spans="1:7" ht="15.6" x14ac:dyDescent="0.3">
      <c r="A37" s="137"/>
      <c r="B37" s="51"/>
      <c r="C37" s="51"/>
      <c r="D37" s="51"/>
      <c r="E37" s="51"/>
      <c r="F37" s="51"/>
      <c r="G37" s="137"/>
    </row>
    <row r="38" spans="1:7" ht="15.6" x14ac:dyDescent="0.3">
      <c r="A38" s="137"/>
      <c r="B38" s="137"/>
      <c r="C38" s="137"/>
      <c r="D38" s="137"/>
      <c r="E38" s="137"/>
      <c r="F38" s="137"/>
      <c r="G38" s="137"/>
    </row>
    <row r="39" spans="1:7" ht="15.6" x14ac:dyDescent="0.3">
      <c r="A39" s="137"/>
      <c r="B39" s="137"/>
      <c r="C39" s="369" t="s">
        <v>164</v>
      </c>
      <c r="D39" s="139">
        <f>'[1]4637'!G8</f>
        <v>7332</v>
      </c>
      <c r="E39" s="137"/>
      <c r="F39" s="137"/>
      <c r="G39" s="137"/>
    </row>
    <row r="40" spans="1:7" ht="17.25" customHeight="1" x14ac:dyDescent="0.3">
      <c r="A40" s="137"/>
      <c r="B40" s="137"/>
      <c r="C40" s="370" t="s">
        <v>266</v>
      </c>
      <c r="D40" s="371" t="str">
        <f>'[1]4637'!C10</f>
        <v>FMR MAKING SPA</v>
      </c>
      <c r="E40" s="319"/>
      <c r="F40" s="319"/>
      <c r="G40" s="137"/>
    </row>
    <row r="41" spans="1:7" ht="4.5" customHeight="1" x14ac:dyDescent="0.3">
      <c r="A41" s="137"/>
      <c r="B41" s="137"/>
      <c r="C41" s="372"/>
      <c r="D41" s="373"/>
      <c r="E41" s="137"/>
      <c r="F41" s="137"/>
      <c r="G41" s="137"/>
    </row>
    <row r="42" spans="1:7" ht="15.6" x14ac:dyDescent="0.3">
      <c r="A42" s="137"/>
      <c r="B42" s="137"/>
      <c r="C42" s="395" t="str">
        <f>'[1]4637'!F11</f>
        <v>FECHA LIMITE :</v>
      </c>
      <c r="D42" s="374">
        <f>'[1]4637'!G11</f>
        <v>45996</v>
      </c>
      <c r="E42" s="137"/>
      <c r="F42" s="137"/>
      <c r="G42" s="137"/>
    </row>
    <row r="43" spans="1:7" ht="15.6" x14ac:dyDescent="0.3">
      <c r="A43" s="137"/>
      <c r="B43" s="137"/>
      <c r="C43" s="137"/>
      <c r="D43" s="137"/>
      <c r="E43" s="137"/>
      <c r="F43" s="137"/>
      <c r="G43" s="137"/>
    </row>
    <row r="44" spans="1:7" ht="15.6" x14ac:dyDescent="0.3">
      <c r="A44" s="137"/>
      <c r="B44" s="137"/>
      <c r="C44" s="137"/>
      <c r="D44" s="137"/>
      <c r="E44" s="137"/>
      <c r="F44" s="137"/>
      <c r="G44" s="137"/>
    </row>
    <row r="45" spans="1:7" ht="15.6" x14ac:dyDescent="0.3">
      <c r="A45" s="455" t="s">
        <v>271</v>
      </c>
      <c r="B45" s="455"/>
      <c r="C45" s="455"/>
      <c r="D45" s="455"/>
      <c r="E45" s="455"/>
      <c r="F45" s="455"/>
      <c r="G45" s="137"/>
    </row>
    <row r="46" spans="1:7" ht="15.6" x14ac:dyDescent="0.3">
      <c r="A46" s="137"/>
      <c r="B46" s="137"/>
      <c r="C46" s="137"/>
      <c r="D46" s="137"/>
      <c r="E46" s="137"/>
      <c r="F46" s="137"/>
      <c r="G46" s="137"/>
    </row>
    <row r="47" spans="1:7" ht="15.75" customHeight="1" x14ac:dyDescent="0.3">
      <c r="A47" s="137"/>
      <c r="B47" s="450" t="s">
        <v>95</v>
      </c>
      <c r="C47" s="451"/>
      <c r="D47" s="452"/>
      <c r="E47" s="452"/>
      <c r="F47" s="453"/>
      <c r="G47" s="137"/>
    </row>
    <row r="48" spans="1:7" s="58" customFormat="1" ht="12.75" customHeight="1" x14ac:dyDescent="0.3">
      <c r="A48" s="137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272</v>
      </c>
      <c r="G48" s="137"/>
    </row>
    <row r="49" spans="1:7" s="58" customFormat="1" ht="15" customHeight="1" x14ac:dyDescent="0.3">
      <c r="A49" s="379" t="s">
        <v>273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7"/>
    </row>
    <row r="50" spans="1:7" s="58" customFormat="1" ht="15" customHeight="1" x14ac:dyDescent="0.3">
      <c r="A50" s="390"/>
      <c r="B50" s="332"/>
      <c r="C50" s="402"/>
      <c r="D50" s="332"/>
      <c r="E50" s="332"/>
      <c r="F50" s="332"/>
      <c r="G50" s="137"/>
    </row>
    <row r="51" spans="1:7" s="58" customFormat="1" ht="15" customHeight="1" x14ac:dyDescent="0.3">
      <c r="A51" s="138"/>
      <c r="B51" s="332"/>
      <c r="C51" s="332"/>
      <c r="D51" s="332"/>
      <c r="E51" s="332"/>
      <c r="F51" s="332"/>
      <c r="G51" s="137"/>
    </row>
    <row r="52" spans="1:7" ht="15.6" x14ac:dyDescent="0.3">
      <c r="A52" s="51"/>
      <c r="B52" s="51"/>
      <c r="C52" s="137"/>
      <c r="D52" s="51"/>
      <c r="E52" s="51"/>
      <c r="F52" s="372"/>
      <c r="G52" s="137"/>
    </row>
    <row r="53" spans="1:7" ht="15.6" x14ac:dyDescent="0.3">
      <c r="A53" s="51"/>
      <c r="B53" s="51"/>
      <c r="C53" s="137"/>
      <c r="D53" s="51"/>
      <c r="E53" s="51"/>
      <c r="F53" s="51"/>
      <c r="G53" s="137"/>
    </row>
    <row r="54" spans="1:7" ht="15.6" x14ac:dyDescent="0.3">
      <c r="A54" s="137"/>
      <c r="B54" s="137"/>
      <c r="C54" s="137"/>
      <c r="D54" s="137"/>
      <c r="E54" s="137"/>
      <c r="F54" s="137"/>
      <c r="G54" s="137"/>
    </row>
    <row r="55" spans="1:7" ht="15.6" x14ac:dyDescent="0.3">
      <c r="A55" s="137"/>
      <c r="B55" s="137"/>
      <c r="C55" s="137"/>
      <c r="D55" s="137"/>
      <c r="E55" s="137"/>
      <c r="F55" s="137"/>
      <c r="G55" s="137"/>
    </row>
    <row r="56" spans="1:7" ht="15.6" x14ac:dyDescent="0.3">
      <c r="A56" s="137"/>
      <c r="B56" s="137"/>
      <c r="C56" s="137"/>
      <c r="D56" s="137"/>
      <c r="E56" s="137"/>
      <c r="F56" s="137"/>
      <c r="G56" s="137"/>
    </row>
    <row r="57" spans="1:7" ht="15" customHeight="1" x14ac:dyDescent="0.3">
      <c r="A57" s="137"/>
      <c r="B57" s="137"/>
      <c r="C57" s="137"/>
      <c r="D57" s="137"/>
      <c r="E57" s="137"/>
      <c r="F57" s="137"/>
      <c r="G57" s="137"/>
    </row>
    <row r="58" spans="1:7" ht="15.6" x14ac:dyDescent="0.3">
      <c r="A58" s="137"/>
      <c r="B58" s="137"/>
      <c r="C58" s="137"/>
      <c r="D58" s="137"/>
      <c r="E58" s="137"/>
      <c r="F58" s="137"/>
      <c r="G58" s="137"/>
    </row>
    <row r="59" spans="1:7" ht="15.6" x14ac:dyDescent="0.3">
      <c r="A59" s="51"/>
      <c r="B59" s="403"/>
      <c r="C59" s="137"/>
      <c r="D59" s="137"/>
      <c r="E59" s="137"/>
      <c r="F59" s="137"/>
      <c r="G59" s="137"/>
    </row>
    <row r="60" spans="1:7" ht="15.6" x14ac:dyDescent="0.3">
      <c r="A60" s="137"/>
      <c r="B60" s="137"/>
      <c r="C60" s="137"/>
      <c r="D60" s="137"/>
      <c r="E60" s="137"/>
      <c r="F60" s="137"/>
      <c r="G60" s="137"/>
    </row>
    <row r="61" spans="1:7" x14ac:dyDescent="0.3">
      <c r="B61" s="28"/>
      <c r="C61" s="28"/>
      <c r="D61" s="28"/>
      <c r="E61" s="28"/>
      <c r="F61" s="28"/>
    </row>
    <row r="62" spans="1:7" x14ac:dyDescent="0.3">
      <c r="B62" s="28"/>
      <c r="C62" s="28"/>
      <c r="E62" s="28"/>
      <c r="F62" s="28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274</v>
      </c>
      <c r="B1" s="413" t="s">
        <v>275</v>
      </c>
      <c r="C1" s="412" t="s">
        <v>276</v>
      </c>
      <c r="D1" s="412" t="s">
        <v>277</v>
      </c>
      <c r="E1" s="412" t="s">
        <v>278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279</v>
      </c>
      <c r="L1" s="414" t="s">
        <v>280</v>
      </c>
      <c r="M1" s="412" t="s">
        <v>281</v>
      </c>
    </row>
    <row r="2" spans="1:13" x14ac:dyDescent="0.3">
      <c r="A2">
        <f>'NOTA DE VENTA'!$G$8</f>
        <v>0</v>
      </c>
      <c r="B2" t="str">
        <f>'NOTA DE VENTA'!$D$8</f>
        <v>N° 11844</v>
      </c>
      <c r="C2" s="1">
        <f>'NOTA DE VENTA'!$G$10</f>
        <v>46045</v>
      </c>
      <c r="D2" s="1">
        <f>'NOTA DE VENTA'!$G$11</f>
        <v>46052</v>
      </c>
      <c r="E2" t="str">
        <f>'NOTA DE VENTA'!$C$10</f>
        <v>MARCOS CORTEZ ZAMORANO</v>
      </c>
      <c r="F2" t="str">
        <f>'NOTA DE VENTA'!$C$22</f>
        <v>CUB C/R 180°</v>
      </c>
      <c r="G2" t="str">
        <f>'NOTA DE VENTA'!$F$22</f>
        <v>GRANITINO NEGRO 3014 BR</v>
      </c>
      <c r="H2" s="415">
        <f>'NOTA DE VENTA'!$H$25</f>
        <v>128809</v>
      </c>
      <c r="I2" s="415">
        <f>H2*0.19</f>
        <v>24473.71</v>
      </c>
      <c r="J2" s="415">
        <f>I2+H2</f>
        <v>153282.71</v>
      </c>
      <c r="L2" s="60">
        <f>J2-K2</f>
        <v>153282.71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2229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2026-01-23T12:43:17Z</cp:lastPrinted>
  <dcterms:created xsi:type="dcterms:W3CDTF">2013-03-18T13:35:42Z</dcterms:created>
  <dcterms:modified xsi:type="dcterms:W3CDTF">2026-01-23T14:05:12Z</dcterms:modified>
</cp:coreProperties>
</file>