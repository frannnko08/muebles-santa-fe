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A29BB967-5C37-4037-9736-B0EFE3B1C47F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/>
  <c r="F19" i="3" s="1"/>
  <c r="L23" i="1" l="1"/>
  <c r="M23" i="1"/>
  <c r="S23" i="1" s="1"/>
  <c r="N23" i="1"/>
  <c r="O23" i="1"/>
  <c r="P23" i="1" s="1"/>
  <c r="L22" i="1"/>
  <c r="M22" i="1"/>
  <c r="N22" i="1"/>
  <c r="L21" i="1"/>
  <c r="J41" i="1"/>
  <c r="K35" i="1"/>
  <c r="K36" i="1" s="1"/>
  <c r="O22" i="1" l="1"/>
  <c r="P22" i="1" s="1"/>
  <c r="S22" i="1"/>
  <c r="M21" i="1"/>
  <c r="N21" i="1"/>
  <c r="O21" i="1" l="1"/>
  <c r="P21" i="1" s="1"/>
  <c r="P26" i="1" s="1"/>
  <c r="S27" i="1"/>
  <c r="M26" i="1"/>
  <c r="T25" i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D21" i="3" l="1"/>
  <c r="E21" i="3" s="1"/>
  <c r="E22" i="3" s="1"/>
  <c r="O39" i="1" l="1"/>
  <c r="Q20" i="1" s="1"/>
  <c r="D22" i="3"/>
  <c r="M44" i="3" s="1"/>
  <c r="D12" i="3" s="1"/>
  <c r="F21" i="3"/>
  <c r="F22" i="3" s="1"/>
  <c r="Q23" i="1" l="1"/>
  <c r="R23" i="1" s="1"/>
  <c r="Q22" i="1"/>
  <c r="Q21" i="1"/>
  <c r="O40" i="1"/>
  <c r="E15" i="3"/>
  <c r="R21" i="1" l="1"/>
  <c r="H21" i="1"/>
  <c r="R22" i="1"/>
  <c r="H22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<sst xmlns="http://schemas.openxmlformats.org/spreadsheetml/2006/main" count="233" uniqueCount="177">
  <si>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</si>
  <si>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</si>
  <si>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</si>
  <si>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</si>
  <si>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</si>
  <si>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</si>
  <si>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</si>
  <si>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</si>
  <si>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</si>
  <si>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</si>
  <si>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</si>
  <si>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</si>
  <si>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</si>
  <si>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</si>
  <si>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</si>
  <si>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</si>
  <si>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</si>
  <si>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</si>
  <si>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</si>
  <si>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</si>
  <si>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</si>
  <si>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</si>
  <si>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</si>
  <si>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</si>
  <si>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</si>
  <si>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</si>
  <si>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</si>
  <si>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</si>
  <si>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</si>
  <si>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</si>
  <si>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</si>
  <si>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</si>
  <si>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</si>
  <si>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</si>
  <si>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</si>
  <si>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</si>
  <si>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</si>
  <si>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</si>
  <si>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</si>
  <si>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</si>
  <si>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</si>
  <si>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</si>
  <si>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</si>
  <si>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</si>
  <si>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</si>
  <si>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</si>
  <si>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</si>
  <si>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</si>
  <si>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</si>
  <si>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</si>
  <si>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</si>
  <si>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</si>
  <si>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</si>
  <si>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</si>
  <si>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</si>
  <si>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</si>
  <si>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</si>
  <si>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</si>
  <si>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</si>
  <si>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</si>
  <si>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</si>
  <si>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</si>
  <si>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</si>
  <si>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</si>
  <si>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</si>
  <si>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</si>
  <si>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</si>
  <si>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</si>
  <si>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</si>
  <si>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</si>
  <si>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</si>
  <si>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</si>
  <si>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</si>
  <si>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</si>
  <si>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</si>
  <si>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</si>
  <si>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</si>
  <si>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</si>
  <si>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</si>
  <si>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</si>
  <si>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</si>
  <si>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</si>
  <si>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</si>
  <si>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</si>
  <si>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</si>
  <si>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</si>
  <si>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</si>
  <si>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</si>
  <si>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</si>
  <si>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</si>
  <si>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</si>
  <si>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</si>
  <si>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</si>
  <si>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</si>
  <si>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</si>
  <si>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</si>
  <si>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</si>
  <si>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</si>
  <si>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</si>
  <si>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</si>
  <si>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</si>
  <si>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</si>
  <si>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</si>
  <si>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</si>
  <si>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</si>
  <si>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</si>
  <si>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</si>
  <si>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</si>
  <si>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</si>
  <si>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</si>
  <si>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</si>
  <si>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</si>
  <si>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</si>
  <si>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</si>
  <si>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</si>
  <si>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</si>
  <si>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</si>
  <si>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</si>
  <si>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</si>
  <si>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</si>
  <si>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</si>
  <si>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</si>
  <si>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</si>
  <si>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</si>
  <si>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</si>
  <si>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</si>
  <si>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</si>
  <si>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</si>
  <si>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</si>
  <si>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</si>
  <si>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</si>
  <si>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</si>
  <si>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</si>
  <si>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</si>
  <si>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</si>
  <si>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</si>
  <si>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</si>
  <si>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</si>
  <si>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</si>
  <si>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</si>
  <si>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</si>
  <si>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</si>
  <si>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</si>
  <si>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</si>
  <si>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</si>
  <si>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</si>
  <si>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</si>
  <si>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</si>
  <si>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</si>
  <si>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</si>
  <si>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</si>
  <si>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</si>
  <si>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</si>
  <si>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</si>
  <si>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</si>
  <si>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</si>
  <si>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</si>
  <si>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</si>
  <si>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</si>
  <si>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</si>
  <si>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</si>
  <si>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</si>
  <si>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</si>
  <si>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</si>
  <si>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</si>
  <si>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</si>
  <si>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</si>
  <si>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</si>
  <si>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</si>
  <si>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</si>
  <si>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</si>
  <si>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</si>
  <si>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CUB MESA  90° R8 2 LADOS</t>
  </si>
  <si>
    <t>N° 11855</t>
  </si>
  <si>
    <t>BLANCO 2114 MT</t>
  </si>
  <si>
    <t>LAMINA CHICA</t>
  </si>
  <si>
    <t>LAMINA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</si>
</sst>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opLeftCell="D20" zoomScale="93" zoomScaleNormal="93" workbookViewId="0">
      <selection activeCell="S39" sqref="S3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46051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166</v>
      </c>
      <c r="F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133</v>
      </c>
      <c r="G15" s="308" t="s">
        <v>167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4" t="s">
        <v>163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44608.660240015735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2</v>
      </c>
      <c r="C21" s="330" t="s">
        <v>172</v>
      </c>
      <c r="D21" s="333">
        <v>2</v>
      </c>
      <c r="E21" s="333">
        <v>1</v>
      </c>
      <c r="F21" s="330" t="s">
        <v>174</v>
      </c>
      <c r="G21" s="331">
        <v>95786</v>
      </c>
      <c r="H21" s="331">
        <f t="shared" ref="H21" si="1">G21*B21</f>
        <v>191572</v>
      </c>
      <c r="I21" s="320"/>
      <c r="J21" s="265"/>
      <c r="K21" s="47"/>
      <c r="L21" s="332">
        <f>B21</f>
        <v>2</v>
      </c>
      <c r="M21" s="39">
        <f t="shared" ref="M21" si="2">D21+M$19</f>
        <v>2.08</v>
      </c>
      <c r="N21" s="39">
        <f t="shared" ref="N21" si="3">E21+$N$19</f>
        <v>1</v>
      </c>
      <c r="O21" s="261">
        <f t="shared" ref="O21" si="4">M21*N21</f>
        <v>2.08</v>
      </c>
      <c r="P21" s="259">
        <f t="shared" ref="P21" si="5">O21*L21</f>
        <v>4.16</v>
      </c>
      <c r="Q21" s="252">
        <f t="shared" ref="Q21" si="6">Q$20*O21</f>
        <v>92786.013299232727</v>
      </c>
      <c r="R21" s="319">
        <f t="shared" ref="R21" si="7">Q21+R$20</f>
        <v>95786.013299232727</v>
      </c>
      <c r="S21" s="297"/>
      <c r="T21" s="46"/>
      <c r="U21" s="9"/>
      <c r="X21" s="4"/>
    </row>
    <row r="22" spans="1:25" ht="17.399999999999999" x14ac:dyDescent="0.3">
      <c r="B22" s="330">
        <v>3</v>
      </c>
      <c r="C22" s="330" t="s">
        <v>171</v>
      </c>
      <c r="D22" s="333">
        <v>3</v>
      </c>
      <c r="E22" s="333">
        <v>0.65</v>
      </c>
      <c r="F22" s="330" t="s">
        <v>174</v>
      </c>
      <c r="G22" s="331">
        <v>92307</v>
      </c>
      <c r="H22" s="331">
        <f t="shared" ref="H22" si="8">G22*B22</f>
        <v>276921</v>
      </c>
      <c r="I22" s="320"/>
      <c r="J22" s="265"/>
      <c r="K22" s="47"/>
      <c r="L22" s="332">
        <f t="shared" ref="L22" si="9">B22</f>
        <v>3</v>
      </c>
      <c r="M22" s="39">
        <f t="shared" ref="M22" si="10">D22+M$19</f>
        <v>3.08</v>
      </c>
      <c r="N22" s="39">
        <f t="shared" ref="N22" si="11">E22+$N$19</f>
        <v>0.65</v>
      </c>
      <c r="O22" s="261">
        <f t="shared" ref="O22" si="12">M22*N22</f>
        <v>2.0020000000000002</v>
      </c>
      <c r="P22" s="259">
        <f t="shared" ref="P22" si="13">O22*L22</f>
        <v>6.0060000000000002</v>
      </c>
      <c r="Q22" s="252">
        <f t="shared" ref="Q22" si="14">Q$20*O22</f>
        <v>89306.537800511505</v>
      </c>
      <c r="R22" s="319">
        <f t="shared" ref="R22" si="15">Q22+R$20</f>
        <v>92306.537800511505</v>
      </c>
      <c r="S22" s="297">
        <f t="shared" ref="S22" si="16">L22*M22</f>
        <v>9.24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>
        <f t="shared" ref="L23" si="17">B23</f>
        <v>0</v>
      </c>
      <c r="M23" s="39">
        <f t="shared" ref="M23" si="18">D23+M$19</f>
        <v>0.08</v>
      </c>
      <c r="N23" s="39">
        <f t="shared" ref="N23" si="19">E23+$N$19</f>
        <v>0</v>
      </c>
      <c r="O23" s="261">
        <f t="shared" ref="O23" si="20">M23*N23</f>
        <v>0</v>
      </c>
      <c r="P23" s="259">
        <f t="shared" ref="P23" si="21">O23*L23</f>
        <v>0</v>
      </c>
      <c r="Q23" s="252">
        <f t="shared" ref="Q23" si="22">Q$20*O23</f>
        <v>0</v>
      </c>
      <c r="R23" s="319">
        <f t="shared" ref="R23" si="23">Q23+R$20</f>
        <v>3000</v>
      </c>
      <c r="S23" s="297">
        <f t="shared" ref="S23" si="24">L23*M23</f>
        <v>0</v>
      </c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468493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89013.67</v>
      </c>
      <c r="I26" s="322"/>
      <c r="J26" s="265"/>
      <c r="K26" s="47"/>
      <c r="L26" s="47"/>
      <c r="M26" s="39">
        <f>SUM(M21:M25)</f>
        <v>5.24</v>
      </c>
      <c r="N26" s="12"/>
      <c r="O26" s="12"/>
      <c r="P26" s="253">
        <f>SUM(P21:P24)</f>
        <v>10.166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557506.67000000004</v>
      </c>
      <c r="I27" s="322"/>
      <c r="J27" s="265"/>
      <c r="K27" s="47"/>
      <c r="L27" s="47"/>
      <c r="M27" s="39"/>
      <c r="N27" s="12"/>
      <c r="O27" s="12"/>
      <c r="P27" s="253">
        <f>P26</f>
        <v>10.166</v>
      </c>
      <c r="Q27" s="14"/>
      <c r="R27" s="12"/>
      <c r="S27" s="239">
        <f>SUM(S21:S26)</f>
        <v>9.24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2.0332000000000003</v>
      </c>
      <c r="Q28" s="39" t="s">
        <v>129</v>
      </c>
      <c r="R28" s="42"/>
      <c r="S28" s="240">
        <f>S27+T25</f>
        <v>9.24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12.199200000000001</v>
      </c>
      <c r="Q29" s="14"/>
      <c r="R29" s="14"/>
      <c r="S29" s="238">
        <f>S28*20%</f>
        <v>1.8480000000000001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11.088000000000001</v>
      </c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12.199200000000001</v>
      </c>
      <c r="N31" s="12">
        <v>2000</v>
      </c>
      <c r="O31" s="12">
        <f t="shared" ref="O31:O36" si="25">M31*N31</f>
        <v>24398.400000000001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3.5</v>
      </c>
      <c r="N32" s="12">
        <v>23500</v>
      </c>
      <c r="O32" s="12">
        <f t="shared" si="25"/>
        <v>82250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>
        <v>1220</v>
      </c>
      <c r="L33" s="250"/>
      <c r="M33" s="14"/>
      <c r="N33" s="250">
        <v>23500</v>
      </c>
      <c r="O33" s="12">
        <f t="shared" si="2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142</v>
      </c>
      <c r="C34"/>
      <c r="D34"/>
      <c r="E34"/>
      <c r="F34"/>
      <c r="J34" s="262">
        <v>32859</v>
      </c>
      <c r="K34" s="232">
        <v>230</v>
      </c>
      <c r="L34" s="250"/>
      <c r="M34" s="14">
        <v>5</v>
      </c>
      <c r="N34" s="250">
        <v>20000</v>
      </c>
      <c r="O34" s="12">
        <f t="shared" si="25"/>
        <v>100000</v>
      </c>
      <c r="P34" s="14" t="s">
        <v>169</v>
      </c>
      <c r="Q34" s="17"/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2"/>
      <c r="K35" s="260">
        <f>K33/K34</f>
        <v>5.3043478260869561</v>
      </c>
      <c r="L35" s="250"/>
      <c r="M35" s="249"/>
      <c r="N35" s="250">
        <v>15700</v>
      </c>
      <c r="O35" s="12">
        <f t="shared" si="25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 t="e">
        <f>#REF!/K35</f>
        <v>#REF!</v>
      </c>
      <c r="L36" s="250"/>
      <c r="M36" s="266">
        <v>9.3000000000000007</v>
      </c>
      <c r="N36" s="12">
        <v>1000</v>
      </c>
      <c r="O36" s="12">
        <f t="shared" si="25"/>
        <v>9300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215948.4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453491.64</v>
      </c>
      <c r="P38" s="14" t="s">
        <v>139</v>
      </c>
      <c r="Q38" s="14"/>
      <c r="R38" s="40">
        <f>P29/R37</f>
        <v>2.6664918032786886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v>22475</v>
      </c>
      <c r="K39" s="230">
        <v>40000</v>
      </c>
      <c r="L39" s="250"/>
      <c r="M39" s="14"/>
      <c r="N39" s="12"/>
      <c r="O39" s="12">
        <f>O38/P27</f>
        <v>44608.660240015735</v>
      </c>
      <c r="P39" s="45" t="s">
        <v>24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G40"/>
      <c r="J40" s="230">
        <v>6</v>
      </c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J41" s="260">
        <f>J39*J40</f>
        <v>134850</v>
      </c>
      <c r="L41" s="12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6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46051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97</v>
      </c>
      <c r="I7" s="341"/>
      <c r="J7" s="341"/>
      <c r="K7" s="342"/>
      <c r="N7" s="75"/>
      <c r="O7" s="339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11855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9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-13049.481700120776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468493</v>
      </c>
      <c r="E11" s="132">
        <f>D11*0.19</f>
        <v>89013.67</v>
      </c>
      <c r="F11" s="131">
        <f>E11+D11</f>
        <v>557506.67000000004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92940.51829987923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SUM(M44:M46)</f>
        <v>236482.4907874396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74940.51829987923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232010.5092125604</v>
      </c>
      <c r="E13" s="221">
        <f>(D11/D12)-1</f>
        <v>0.98108958697116044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65940.51829987923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26940.518299879222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390196.10979927535</v>
      </c>
      <c r="F15" s="216">
        <f>E15-D12</f>
        <v>153713.61901183575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26940.518299879222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66940.51829987923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176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175</v>
      </c>
      <c r="D19" s="122">
        <f>'2229'!O34</f>
        <v>100000</v>
      </c>
      <c r="E19" s="123">
        <f>D19*0.19</f>
        <v>19000</v>
      </c>
      <c r="F19" s="120">
        <f>SUM(D19:E19)</f>
        <v>119000</v>
      </c>
      <c r="H19" s="192"/>
      <c r="I19" s="202"/>
      <c r="J19" s="184"/>
      <c r="K19" s="158"/>
      <c r="L19" s="61"/>
      <c r="Q19" s="16"/>
      <c r="R19" s="346"/>
      <c r="S19" s="347"/>
      <c r="T19" s="347"/>
      <c r="U19" s="348"/>
      <c r="V19" s="349"/>
      <c r="W19" s="349"/>
      <c r="X19" s="106"/>
    </row>
    <row r="20" spans="1:31" x14ac:dyDescent="0.3">
      <c r="C20" s="79" t="s">
        <v>31</v>
      </c>
      <c r="D20" s="122">
        <f>'2229'!O32</f>
        <v>82250</v>
      </c>
      <c r="E20" s="123">
        <f>D20*0.19</f>
        <v>15627.5</v>
      </c>
      <c r="F20" s="120">
        <f>SUM(D20:E20)</f>
        <v>97877.5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'2229'!O31</f>
        <v>24398.400000000001</v>
      </c>
      <c r="E21" s="121">
        <f>D21*0.19</f>
        <v>4635.6959999999999</v>
      </c>
      <c r="F21" s="120">
        <f>SUM(D21:E21)</f>
        <v>29034.096000000001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206648.4</v>
      </c>
      <c r="E22" s="116">
        <f>SUM(E18:E21)</f>
        <v>39263.195999999996</v>
      </c>
      <c r="F22" s="115">
        <f>SUM(F18:F21)</f>
        <v>245911.59599999999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116</v>
      </c>
      <c r="I25" s="155" t="s">
        <v>114</v>
      </c>
      <c r="J25" s="181" t="s">
        <v>75</v>
      </c>
      <c r="K25" s="152" t="s">
        <v>93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107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105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117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118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119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106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108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95</v>
      </c>
      <c r="I37" s="155" t="s">
        <v>114</v>
      </c>
      <c r="J37" s="189" t="s">
        <v>66</v>
      </c>
      <c r="K37" s="152" t="s">
        <v>93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49750.474000000002</v>
      </c>
    </row>
    <row r="42" spans="1:16" ht="15" thickBot="1" x14ac:dyDescent="0.35">
      <c r="H42" s="343" t="s">
        <v>60</v>
      </c>
      <c r="I42" s="344"/>
      <c r="J42" s="344"/>
      <c r="K42" s="344"/>
      <c r="L42" s="344"/>
      <c r="M42" s="345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468493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206648.4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232010.5092125604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232010.5092125604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2026-01-23T11:43:18Z</cp:lastPrinted>
  <dcterms:created xsi:type="dcterms:W3CDTF">2013-03-18T13:35:42Z</dcterms:created>
  <dcterms:modified xsi:type="dcterms:W3CDTF">2026-02-05T19:26:36Z</dcterms:modified>
</cp:coreProperties>
</file>