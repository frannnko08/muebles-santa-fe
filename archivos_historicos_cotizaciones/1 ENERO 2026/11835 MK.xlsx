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BB2D2EAB-9D0B-43E2-B161-241F0AD6BB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H22" i="1"/>
  <c r="D27" i="6"/>
  <c r="C27" i="6"/>
  <c r="C49" i="6"/>
  <c r="K18" i="1" l="1"/>
  <c r="K19" i="1" s="1"/>
  <c r="L21" i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K14" i="6"/>
  <c r="J14" i="6"/>
  <c r="F22" i="4"/>
  <c r="E22" i="4"/>
  <c r="E49" i="6" s="1"/>
  <c r="E27" i="6" s="1"/>
  <c r="K21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l="1"/>
  <c r="S21" i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<sst xmlns="http://schemas.openxmlformats.org/spreadsheetml/2006/main" count="489" uniqueCount="297">
  <si>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</si>
  <si>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</si>
  <si>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</si>
  <si>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</si>
  <si>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</si>
  <si>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</si>
  <si>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</si>
  <si>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</si>
  <si>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</si>
  <si>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</si>
  <si>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</si>
  <si>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</si>
  <si>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</si>
  <si>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</si>
  <si>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</si>
  <si>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</si>
  <si>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</si>
  <si>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</si>
  <si>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</si>
  <si>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</si>
  <si>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</si>
  <si>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</si>
  <si>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</si>
  <si>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</si>
  <si>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</si>
  <si>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</si>
  <si>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</si>
  <si>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</si>
  <si>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</si>
  <si>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</si>
  <si>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</si>
  <si>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</si>
  <si>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</si>
  <si>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</si>
  <si>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</si>
  <si>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</si>
  <si>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</si>
  <si>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</si>
  <si>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</si>
  <si>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</si>
  <si>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</si>
  <si>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</si>
  <si>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</si>
  <si>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</si>
  <si>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</si>
  <si>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</si>
  <si>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</si>
  <si>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</si>
  <si>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</si>
  <si>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</si>
  <si>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</si>
  <si>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</si>
  <si>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</si>
  <si>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</si>
  <si>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</si>
  <si>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</si>
  <si>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</si>
  <si>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</si>
  <si>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</si>
  <si>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</si>
  <si>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</si>
  <si>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</si>
  <si>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</si>
  <si>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</si>
  <si>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</si>
  <si>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</si>
  <si>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</si>
  <si>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</si>
  <si>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</si>
  <si>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</si>
  <si>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</si>
  <si>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</si>
  <si>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</si>
  <si>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</si>
  <si>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</si>
  <si>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</si>
  <si>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</si>
  <si>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</si>
  <si>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</si>
  <si>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</si>
  <si>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</si>
  <si>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</si>
  <si>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</si>
  <si>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</si>
  <si>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</si>
  <si>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</si>
  <si>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</si>
  <si>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</si>
  <si>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</si>
  <si>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</si>
  <si>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</si>
  <si>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</si>
  <si>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</si>
  <si>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</si>
  <si>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</si>
  <si>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</si>
  <si>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</si>
  <si>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</si>
  <si>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</si>
  <si>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</si>
  <si>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</si>
  <si>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</si>
  <si>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</si>
  <si>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</si>
  <si>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</si>
  <si>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</si>
  <si>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</si>
  <si>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</si>
  <si>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</si>
  <si>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</si>
  <si>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</si>
  <si>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</si>
  <si>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</si>
  <si>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</si>
  <si>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</si>
  <si>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</si>
  <si>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</si>
  <si>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</si>
  <si>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</si>
  <si>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</si>
  <si>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</si>
  <si>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</si>
  <si>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</si>
  <si>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</si>
  <si>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</si>
  <si>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</si>
  <si>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</si>
  <si>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</si>
  <si>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</si>
  <si>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</si>
  <si>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</si>
  <si>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</si>
  <si>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</si>
  <si>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</si>
  <si>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</si>
  <si>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</si>
  <si>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</si>
  <si>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</si>
  <si>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</si>
  <si>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</si>
  <si>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</si>
  <si>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</si>
  <si>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</si>
  <si>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</si>
  <si>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</si>
  <si>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</si>
  <si>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</si>
  <si>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</si>
  <si>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</si>
  <si>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</si>
  <si>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</si>
  <si>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</si>
  <si>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</si>
  <si>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</si>
  <si>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</si>
  <si>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</si>
  <si>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</si>
  <si>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</si>
  <si>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</si>
  <si>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</si>
  <si>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</si>
  <si>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</si>
  <si>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</si>
  <si>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</si>
  <si>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</si>
  <si>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</si>
  <si>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</si>
  <si>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</si>
  <si>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</si>
  <si>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</si>
  <si>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</si>
  <si>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</si>
  <si>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</si>
  <si>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</si>
  <si>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</si>
  <si>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</si>
  <si>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</si>
  <si>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</si>
  <si>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</si>
  <si>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</si>
  <si>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</si>
  <si>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</si>
  <si>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</si>
  <si>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</si>
  <si>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</si>
  <si>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</si>
  <si>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</si>
  <si>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</si>
  <si>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</si>
  <si>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</si>
  <si>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</si>
  <si>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</si>
  <si>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</si>
  <si>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</si>
  <si>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</si>
  <si>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</si>
  <si>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</si>
  <si>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</si>
  <si>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</si>
  <si>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</si>
  <si>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</si>
  <si>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</si>
  <si>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</si>
  <si>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</si>
  <si>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</si>
  <si>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</si>
  <si>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</si>
  <si>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</si>
  <si>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</si>
  <si>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</si>
  <si>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</si>
  <si>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</si>
  <si>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</si>
  <si>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</si>
  <si>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</si>
  <si>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</si>
  <si>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</si>
  <si>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</si>
  <si>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</si>
  <si>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</si>
  <si>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</si>
  <si>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</si>
  <si>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</si>
  <si>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</si>
  <si>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</si>
  <si>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</si>
  <si>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</si>
  <si>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</si>
  <si>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</si>
  <si>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</si>
  <si>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</si>
  <si>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</si>
  <si>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</si>
  <si>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</si>
  <si>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</si>
  <si>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</si>
  <si>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</si>
  <si>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</si>
  <si>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</si>
  <si>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</si>
  <si>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</si>
  <si>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</si>
  <si>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</si>
  <si>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</si>
  <si>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</si>
  <si>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</si>
  <si>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</si>
  <si>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</si>
  <si>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</si>
  <si>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</si>
  <si>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</si>
  <si>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</si>
  <si>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</si>
  <si>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</si>
  <si>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</si>
  <si>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</si>
  <si>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</si>
  <si>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</si>
  <si>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</si>
  <si>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</si>
  <si>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</si>
  <si>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</si>
  <si>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</si>
  <si>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</si>
  <si>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</si>
  <si>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</si>
  <si>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</si>
  <si>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</si>
  <si>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</si>
  <si>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</si>
  <si>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</si>
  <si>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</si>
  <si>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</si>
  <si>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</si>
  <si>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</si>
  <si>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</si>
  <si>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</si>
  <si>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</si>
  <si>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</si>
  <si>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</si>
  <si>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</si>
  <si>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</si>
  <si>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</si>
  <si>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</si>
  <si>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</si>
  <si>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</si>
  <si>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</si>
  <si>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</si>
  <si>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11835</t>
  </si>
  <si>
    <t>MK</t>
  </si>
  <si>
    <t>CONSTANZA GUARDA</t>
  </si>
  <si>
    <t>+569 8259 3410</t>
  </si>
  <si>
    <t>8 DIAS HABILES</t>
  </si>
  <si>
    <t>SI</t>
  </si>
  <si>
    <t>LAMINAS</t>
  </si>
  <si>
    <t>VAINILLA 2109 MT</t>
  </si>
  <si>
    <t>SERVICIO ENCHAPE SOBRE MURO MT2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</si>
</sst>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41" fontId="22" fillId="0" borderId="1" xfId="4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180258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61935"/>
          <a:ext cx="6317227" cy="93406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INCLUYE ADHESIVO</a:t>
          </a:r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C23" sqref="C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1" t="s">
        <v>289</v>
      </c>
      <c r="D10" s="243"/>
      <c r="E10" s="243"/>
      <c r="F10" s="417" t="s">
        <v>277</v>
      </c>
      <c r="G10" s="275">
        <v>46038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292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t="s">
        <v>290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293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33" t="s">
        <v>291</v>
      </c>
      <c r="D15" s="423"/>
      <c r="F15" s="29" t="s">
        <v>284</v>
      </c>
      <c r="G15" s="75" t="s">
        <v>293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K17">
        <v>74</v>
      </c>
      <c r="T17" s="6"/>
      <c r="U17" s="6"/>
    </row>
    <row r="18" spans="1:25" ht="15.75" customHeight="1" thickBot="1" x14ac:dyDescent="0.35">
      <c r="J18" s="47"/>
      <c r="K18" s="5">
        <f>K17/8</f>
        <v>9.25</v>
      </c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>
        <f>K17/K18</f>
        <v>8</v>
      </c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7605.022201272137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28">
        <v>18</v>
      </c>
      <c r="C21" s="432" t="s">
        <v>294</v>
      </c>
      <c r="D21" s="429">
        <v>3.05</v>
      </c>
      <c r="E21" s="429">
        <v>1.22</v>
      </c>
      <c r="F21" s="428" t="s">
        <v>295</v>
      </c>
      <c r="G21" s="430">
        <v>33748</v>
      </c>
      <c r="H21" s="430">
        <f>G21*B21</f>
        <v>607464</v>
      </c>
      <c r="I21" s="306"/>
      <c r="J21" s="264"/>
      <c r="K21" s="47">
        <v>15</v>
      </c>
      <c r="L21" s="47">
        <f>B21</f>
        <v>18</v>
      </c>
      <c r="M21" s="39">
        <f>D21+M$19</f>
        <v>3.13</v>
      </c>
      <c r="N21" s="39">
        <f>E21+$N$19</f>
        <v>1.22</v>
      </c>
      <c r="O21" s="260">
        <f t="shared" ref="O21" si="0">M21*N21</f>
        <v>3.8186</v>
      </c>
      <c r="P21" s="258">
        <f t="shared" ref="P21" si="1">O21*L21</f>
        <v>68.734800000000007</v>
      </c>
      <c r="Q21" s="251">
        <f t="shared" ref="Q21" si="2">Q$20*O21</f>
        <v>29040.537777777783</v>
      </c>
      <c r="R21" s="305">
        <f t="shared" ref="R21" si="3">Q21+R$20</f>
        <v>32040.537777777783</v>
      </c>
      <c r="S21" s="290">
        <f>M21*L21</f>
        <v>56.339999999999996</v>
      </c>
      <c r="T21" s="46">
        <f>N21*2*L21*2</f>
        <v>87.84</v>
      </c>
      <c r="U21" s="9"/>
      <c r="X21" s="4"/>
    </row>
    <row r="22" spans="1:25" ht="17.399999999999999" x14ac:dyDescent="0.3">
      <c r="B22" s="428">
        <v>64</v>
      </c>
      <c r="C22" s="432" t="s">
        <v>296</v>
      </c>
      <c r="D22" s="429"/>
      <c r="E22" s="429"/>
      <c r="F22" s="428"/>
      <c r="G22" s="458">
        <v>35000</v>
      </c>
      <c r="H22" s="430">
        <f>G22*B22</f>
        <v>2240000</v>
      </c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SUM(H21:H22)</f>
        <v>2847464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SUM(T21:T22)</f>
        <v>87.84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541018.16</v>
      </c>
      <c r="I26" s="308"/>
      <c r="J26" s="264"/>
      <c r="K26" s="47">
        <v>40160</v>
      </c>
      <c r="L26" s="47"/>
      <c r="M26" s="39">
        <f>SUM(M21:M25)</f>
        <v>3.13</v>
      </c>
      <c r="N26" s="12"/>
      <c r="O26" s="12"/>
      <c r="P26" s="252">
        <f>SUM(P21:P22)</f>
        <v>68.734800000000007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3388482.16</v>
      </c>
      <c r="I27" s="308"/>
      <c r="J27" s="264"/>
      <c r="K27" s="47">
        <f>K26/1.19</f>
        <v>33747.899159663866</v>
      </c>
      <c r="L27" s="47"/>
      <c r="M27" s="39"/>
      <c r="N27" s="12"/>
      <c r="O27" s="12"/>
      <c r="P27" s="252">
        <f>P26</f>
        <v>68.734800000000007</v>
      </c>
      <c r="Q27" s="14"/>
      <c r="R27" s="12"/>
      <c r="S27" s="239">
        <f>SUM(S21:S26)</f>
        <v>56.339999999999996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13.746960000000001</v>
      </c>
      <c r="Q28" s="39" t="s">
        <v>129</v>
      </c>
      <c r="R28" s="42"/>
      <c r="S28" s="240">
        <f>S27+T25</f>
        <v>144.18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82.481760000000008</v>
      </c>
      <c r="Q29" s="14"/>
      <c r="R29" s="14"/>
      <c r="S29" s="238">
        <f>S28*20%</f>
        <v>28.836000000000002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173.01600000000002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82.481760000000008</v>
      </c>
      <c r="N31" s="12">
        <v>2500</v>
      </c>
      <c r="O31" s="12">
        <f t="shared" ref="O31:O36" si="4">M31*N31</f>
        <v>206204.40000000002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0.4</v>
      </c>
      <c r="N32" s="12">
        <v>23500</v>
      </c>
      <c r="O32" s="12">
        <f t="shared" si="4"/>
        <v>9400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4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1</v>
      </c>
      <c r="N34" s="249">
        <v>20000</v>
      </c>
      <c r="O34" s="12">
        <f t="shared" si="4"/>
        <v>20000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4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2</v>
      </c>
      <c r="N36" s="12">
        <v>1000</v>
      </c>
      <c r="O36" s="12">
        <f t="shared" si="4"/>
        <v>2000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237604.40000000002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522729.68000000011</v>
      </c>
      <c r="P38" s="14" t="s">
        <v>138</v>
      </c>
      <c r="Q38" s="14"/>
      <c r="R38" s="40">
        <f>P29/R37</f>
        <v>22.239473684210527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7605.022201272137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46038</v>
      </c>
    </row>
    <row r="6" spans="2:31" ht="16.2" thickBot="1" x14ac:dyDescent="0.35">
      <c r="B6" s="140" t="s">
        <v>2</v>
      </c>
      <c r="C6" s="139" t="str">
        <f>'2229'!C10</f>
        <v>MK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11835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-407081.74836678739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2847464</v>
      </c>
      <c r="E11" s="132">
        <f>D11*0.19</f>
        <v>541018.16</v>
      </c>
      <c r="F11" s="131">
        <f>E11+D11</f>
        <v>3388482.16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-301091.74836678739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245438.49078743963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-319091.74836678739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2602025.5092125605</v>
      </c>
      <c r="E13" s="221">
        <f>(D11/D12)-1</f>
        <v>10.601538091537677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-328091.74836678739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-367091.74836678739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404973.50979927537</v>
      </c>
      <c r="F15" s="216">
        <f>E15-D12</f>
        <v>159535.01901183574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-367091.74836678739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-327091.74836678739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9400</v>
      </c>
      <c r="E19" s="123">
        <f>D19*0.19</f>
        <v>1786</v>
      </c>
      <c r="F19" s="120">
        <f>SUM(D19:E19)</f>
        <v>11186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206204.40000000002</v>
      </c>
      <c r="E20" s="121">
        <f>D20*0.19</f>
        <v>39178.836000000003</v>
      </c>
      <c r="F20" s="120">
        <f>SUM(D20:E20)</f>
        <v>245383.23600000003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215604.40000000002</v>
      </c>
      <c r="E21" s="116">
        <f>SUM(E18:E20)</f>
        <v>40964.836000000003</v>
      </c>
      <c r="F21" s="115">
        <f>SUM(F18:F20)</f>
        <v>256569.23600000003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500053.32400000002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2847464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215604.40000000002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2602025.5092125605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2602025.5092125605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11835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MK</v>
      </c>
      <c r="D10" s="350"/>
      <c r="E10" s="350"/>
      <c r="F10" s="351" t="s">
        <v>167</v>
      </c>
      <c r="G10" s="352">
        <f>'2229'!G10</f>
        <v>46038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46045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SI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CONSTANZA GUARDA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+569 8259 3410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18</v>
      </c>
      <c r="C22" s="313" t="s">
        <v>35</v>
      </c>
      <c r="D22" s="321">
        <f>'2229'!D21*1000</f>
        <v>3050</v>
      </c>
      <c r="E22" s="321">
        <f>'2229'!E21*1000</f>
        <v>1220</v>
      </c>
      <c r="F22" s="322" t="str">
        <f>'2229'!F21</f>
        <v>VAINILLA 2109 MT</v>
      </c>
      <c r="G22" s="314">
        <f>'2229'!G21</f>
        <v>33748</v>
      </c>
      <c r="H22" s="323">
        <f>G22*B22</f>
        <v>607464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607464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115418.16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722882.16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MK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1190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46038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46045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1190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1220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1350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1220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1220</v>
      </c>
      <c r="F27" s="383" t="str">
        <f t="shared" si="3"/>
        <v>VAINILLA 2109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4">
        <v>2020</v>
      </c>
      <c r="E49" s="434">
        <f>'NOTA DE VENTA'!E22</f>
        <v>1220</v>
      </c>
      <c r="F49" s="434" t="str">
        <f>'NOTA DE VENTA'!F22</f>
        <v>VAINILLA 2109 MT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11835</v>
      </c>
      <c r="C2" s="1">
        <f>'NOTA DE VENTA'!$G$10</f>
        <v>46038</v>
      </c>
      <c r="D2" s="1">
        <f>'NOTA DE VENTA'!$G$11</f>
        <v>46045</v>
      </c>
      <c r="E2" t="str">
        <f>'NOTA DE VENTA'!$C$10</f>
        <v>MK</v>
      </c>
      <c r="F2" t="str">
        <f>'NOTA DE VENTA'!$C$22</f>
        <v>CUB C/R R8</v>
      </c>
      <c r="G2" t="str">
        <f>'NOTA DE VENTA'!$F$22</f>
        <v>VAINILLA 2109 MT</v>
      </c>
      <c r="H2" s="415">
        <f>'NOTA DE VENTA'!$H$25</f>
        <v>607464</v>
      </c>
      <c r="I2" s="415">
        <f>H2*0.19</f>
        <v>115418.16</v>
      </c>
      <c r="J2" s="415">
        <f>I2+H2</f>
        <v>722882.16</v>
      </c>
      <c r="L2" s="61">
        <f>J2-K2</f>
        <v>722882.16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2026-01-13T18:05:57Z</cp:lastPrinted>
  <dcterms:created xsi:type="dcterms:W3CDTF">2013-03-18T13:35:42Z</dcterms:created>
  <dcterms:modified xsi:type="dcterms:W3CDTF">2026-01-16T15:00:24Z</dcterms:modified>
</cp:coreProperties>
</file>