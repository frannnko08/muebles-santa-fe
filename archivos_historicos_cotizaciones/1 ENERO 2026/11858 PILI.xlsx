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6AB84647-6E57-485E-BDD8-EA03967DB75E}" xr6:coauthVersionLast="47" xr6:coauthVersionMax="47" xr10:uidLastSave="{00000000-0000-0000-0000-000000000000}"/>
  <bookViews>
    <workbookView minimized="1" xWindow="-10320" yWindow="5520" windowWidth="12165" windowHeight="888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  <c r="D19" i="3"/>
  <c r="E19" i="3" s="1"/>
  <c r="F19" i="3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C27" i="6"/>
  <c r="F21" i="6" s="1"/>
  <c r="B27" i="6"/>
  <c r="I21" i="6" s="1"/>
  <c r="K21" i="6"/>
  <c r="J21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F15" i="3"/>
  <c r="R21" i="1" l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<sst xmlns="http://schemas.openxmlformats.org/spreadsheetml/2006/main" count="487" uniqueCount="295">
  <si>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</si>
  <si>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</si>
  <si>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</si>
  <si>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</si>
  <si>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</si>
  <si>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</si>
  <si>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</si>
  <si>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</si>
  <si>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</si>
  <si>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</si>
  <si>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</si>
  <si>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</si>
  <si>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</si>
  <si>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</si>
  <si>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</si>
  <si>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</si>
  <si>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</si>
  <si>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</si>
  <si>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</si>
  <si>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</si>
  <si>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</si>
  <si>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</si>
  <si>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</si>
  <si>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</si>
  <si>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</si>
  <si>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</si>
  <si>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</si>
  <si>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</si>
  <si>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</si>
  <si>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</si>
  <si>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</si>
  <si>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</si>
  <si>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</si>
  <si>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</si>
  <si>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</si>
  <si>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</si>
  <si>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</si>
  <si>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</si>
  <si>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</si>
  <si>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</si>
  <si>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</si>
  <si>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</si>
  <si>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</si>
  <si>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</si>
  <si>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</si>
  <si>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</si>
  <si>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</si>
  <si>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</si>
  <si>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</si>
  <si>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</si>
  <si>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</si>
  <si>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</si>
  <si>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</si>
  <si>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</si>
  <si>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</si>
  <si>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</si>
  <si>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</si>
  <si>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</si>
  <si>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</si>
  <si>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</si>
  <si>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</si>
  <si>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</si>
  <si>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</si>
  <si>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</si>
  <si>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</si>
  <si>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</si>
  <si>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</si>
  <si>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</si>
  <si>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</si>
  <si>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</si>
  <si>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</si>
  <si>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</si>
  <si>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</si>
  <si>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</si>
  <si>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</si>
  <si>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</si>
  <si>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</si>
  <si>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</si>
  <si>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</si>
  <si>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</si>
  <si>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</si>
  <si>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</si>
  <si>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</si>
  <si>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</si>
  <si>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</si>
  <si>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</si>
  <si>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</si>
  <si>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</si>
  <si>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</si>
  <si>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</si>
  <si>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</si>
  <si>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</si>
  <si>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</si>
  <si>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</si>
  <si>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</si>
  <si>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</si>
  <si>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</si>
  <si>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</si>
  <si>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</si>
  <si>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</si>
  <si>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</si>
  <si>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</si>
  <si>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</si>
  <si>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</si>
  <si>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</si>
  <si>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</si>
  <si>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</si>
  <si>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</si>
  <si>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</si>
  <si>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</si>
  <si>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</si>
  <si>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</si>
  <si>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</si>
  <si>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</si>
  <si>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</si>
  <si>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</si>
  <si>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</si>
  <si>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</si>
  <si>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</si>
  <si>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</si>
  <si>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</si>
  <si>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</si>
  <si>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</si>
  <si>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</si>
  <si>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</si>
  <si>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</si>
  <si>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</si>
  <si>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</si>
  <si>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</si>
  <si>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</si>
  <si>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</si>
  <si>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</si>
  <si>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</si>
  <si>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</si>
  <si>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</si>
  <si>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</si>
  <si>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</si>
  <si>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</si>
  <si>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</si>
  <si>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</si>
  <si>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</si>
  <si>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</si>
  <si>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</si>
  <si>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</si>
  <si>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</si>
  <si>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</si>
  <si>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</si>
  <si>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</si>
  <si>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</si>
  <si>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</si>
  <si>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</si>
  <si>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</si>
  <si>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</si>
  <si>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</si>
  <si>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</si>
  <si>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</si>
  <si>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</si>
  <si>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</si>
  <si>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</si>
  <si>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</si>
  <si>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</si>
  <si>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</si>
  <si>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</si>
  <si>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</si>
  <si>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</si>
  <si>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</si>
  <si>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</si>
  <si>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</si>
  <si>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</si>
  <si>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</si>
  <si>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</si>
  <si>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</si>
  <si>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</si>
  <si>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</si>
  <si>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</si>
  <si>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</si>
  <si>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</si>
  <si>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</si>
  <si>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</si>
  <si>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</si>
  <si>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</si>
  <si>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</si>
  <si>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</si>
  <si>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</si>
  <si>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</si>
  <si>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</si>
  <si>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</si>
  <si>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</si>
  <si>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</si>
  <si>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</si>
  <si>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</si>
  <si>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</si>
  <si>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</si>
  <si>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</si>
  <si>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</si>
  <si>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</si>
  <si>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</si>
  <si>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</si>
  <si>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</si>
  <si>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</si>
  <si>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</si>
  <si>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</si>
  <si>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</si>
  <si>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</si>
  <si>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</si>
  <si>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</si>
  <si>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</si>
  <si>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</si>
  <si>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</si>
  <si>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</si>
  <si>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</si>
  <si>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</si>
  <si>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</si>
  <si>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</si>
  <si>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</si>
  <si>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</si>
  <si>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</si>
  <si>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</si>
  <si>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</si>
  <si>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</si>
  <si>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</si>
  <si>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</si>
  <si>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</si>
  <si>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</si>
  <si>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</si>
  <si>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</si>
  <si>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</si>
  <si>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</si>
  <si>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</si>
  <si>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</si>
  <si>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</si>
  <si>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</si>
  <si>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</si>
  <si>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</si>
  <si>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</si>
  <si>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</si>
  <si>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</si>
  <si>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</si>
  <si>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</si>
  <si>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</si>
  <si>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</si>
  <si>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</si>
  <si>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</si>
  <si>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</si>
  <si>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</si>
  <si>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</si>
  <si>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</si>
  <si>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</si>
  <si>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</si>
  <si>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</si>
  <si>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</si>
  <si>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</si>
  <si>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</si>
  <si>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</si>
  <si>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</si>
  <si>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</si>
  <si>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</si>
  <si>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</si>
  <si>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</si>
  <si>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</si>
  <si>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</si>
  <si>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</si>
  <si>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</si>
  <si>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</si>
  <si>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</si>
  <si>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</si>
  <si>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</si>
  <si>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</si>
  <si>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</si>
  <si>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</si>
  <si>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</si>
  <si>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</si>
  <si>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</si>
  <si>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</si>
  <si>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</si>
  <si>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</si>
  <si>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</si>
  <si>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</si>
  <si>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</si>
  <si>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</si>
  <si>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</si>
  <si>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</si>
  <si>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</si>
  <si>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</si>
  <si>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</si>
  <si>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</si>
  <si>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</si>
  <si>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11858</t>
  </si>
  <si>
    <t>+569 53711031</t>
  </si>
  <si>
    <t>BLANCO BRILLO</t>
  </si>
  <si>
    <t>CYB CON RESPALDO Y FRENTE 90° R8</t>
  </si>
  <si>
    <t>DE 3 A 5 DIAS HABILES</t>
  </si>
  <si>
    <t>PILAR SALINAS</t>
  </si>
  <si>
    <t>LAMINA CHICA</t>
  </si>
  <si>
    <t>LAMINA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</si>
</sst>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TERMINADA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D16" zoomScale="93" zoomScaleNormal="93" workbookViewId="0">
      <selection activeCell="P34" sqref="P34"/>
    </sheetView>
  </sheetViews>
  <sheetFormatPr baseColWidth="10" defaultRowHeight="14.4" x14ac:dyDescent="0.3"/>
  <cols>
    <col min="1" max="1" width="6" customWidth="1"/>
    <col min="2" max="2" width="10.5546875" customWidth="1"/>
    <col min="3" max="3" width="49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33" t="s">
        <v>292</v>
      </c>
      <c r="D10" s="243"/>
      <c r="E10" s="243"/>
      <c r="F10" s="418" t="s">
        <v>276</v>
      </c>
      <c r="G10" s="275">
        <v>46051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291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9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288</v>
      </c>
      <c r="D15" s="425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6" t="s">
        <v>13</v>
      </c>
      <c r="C17" s="299" t="s">
        <v>286</v>
      </c>
      <c r="D17" s="300"/>
      <c r="E17" s="119"/>
      <c r="F17" s="427" t="s">
        <v>178</v>
      </c>
      <c r="G17" s="427" t="s">
        <v>179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94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76663.758865248223</v>
      </c>
      <c r="R20" s="257">
        <v>5000</v>
      </c>
      <c r="S20" s="38"/>
      <c r="T20" s="14" t="s">
        <v>126</v>
      </c>
      <c r="U20" s="9"/>
      <c r="X20" s="4"/>
    </row>
    <row r="21" spans="1:25" ht="17.399999999999999" x14ac:dyDescent="0.3">
      <c r="B21" s="430">
        <v>1</v>
      </c>
      <c r="C21" s="430" t="s">
        <v>290</v>
      </c>
      <c r="D21" s="431">
        <v>1.8</v>
      </c>
      <c r="E21" s="431">
        <v>0.6</v>
      </c>
      <c r="F21" s="430" t="s">
        <v>289</v>
      </c>
      <c r="G21" s="432">
        <v>91477</v>
      </c>
      <c r="H21" s="432">
        <f>G21*B21</f>
        <v>91477</v>
      </c>
      <c r="I21" s="306"/>
      <c r="J21" s="264"/>
      <c r="K21" s="47"/>
      <c r="L21" s="47">
        <f>B21</f>
        <v>1</v>
      </c>
      <c r="M21" s="39">
        <f>D21+M$19</f>
        <v>1.8800000000000001</v>
      </c>
      <c r="N21" s="39">
        <f>E21+$N$19</f>
        <v>0.6</v>
      </c>
      <c r="O21" s="260">
        <f t="shared" ref="O21" si="0">M21*N21</f>
        <v>1.1280000000000001</v>
      </c>
      <c r="P21" s="258">
        <f t="shared" ref="P21" si="1">O21*L21</f>
        <v>1.1280000000000001</v>
      </c>
      <c r="Q21" s="251">
        <f t="shared" ref="Q21" si="2">Q$20*O21</f>
        <v>86476.72</v>
      </c>
      <c r="R21" s="305">
        <f t="shared" ref="R21" si="3">Q21+R$20</f>
        <v>91476.72</v>
      </c>
      <c r="S21" s="290">
        <f>M21*L21</f>
        <v>1.8800000000000001</v>
      </c>
      <c r="T21" s="46">
        <f>N21*2*L21*2</f>
        <v>2.4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91477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17380.63</v>
      </c>
      <c r="I24" s="308"/>
      <c r="J24" s="264"/>
      <c r="K24" s="47"/>
      <c r="L24" s="47"/>
      <c r="M24" s="39">
        <f>SUM(M21:M23)</f>
        <v>1.8800000000000001</v>
      </c>
      <c r="N24" s="12"/>
      <c r="O24" s="12"/>
      <c r="P24" s="252">
        <f>SUM(P21:P21)</f>
        <v>1.1280000000000001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108857.63</v>
      </c>
      <c r="I25" s="308"/>
      <c r="J25" s="264"/>
      <c r="K25" s="47"/>
      <c r="L25" s="47"/>
      <c r="M25" s="39"/>
      <c r="N25" s="12"/>
      <c r="O25" s="12"/>
      <c r="P25" s="252">
        <f>P24</f>
        <v>1.1280000000000001</v>
      </c>
      <c r="Q25" s="14"/>
      <c r="R25" s="12"/>
      <c r="S25" s="239">
        <f>SUM(S21:S24)</f>
        <v>1.8800000000000001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0.22560000000000002</v>
      </c>
      <c r="Q26" s="39" t="s">
        <v>128</v>
      </c>
      <c r="R26" s="42"/>
      <c r="S26" s="240">
        <f>S25+T23</f>
        <v>4.28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1.3536000000000001</v>
      </c>
      <c r="Q27" s="14"/>
      <c r="R27" s="14"/>
      <c r="S27" s="238">
        <f>S26*20%</f>
        <v>0.85600000000000009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5.1360000000000001</v>
      </c>
      <c r="T28" s="14"/>
      <c r="U28" s="294" t="s">
        <v>21</v>
      </c>
      <c r="V28" s="291" t="s">
        <v>148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1.3536000000000001</v>
      </c>
      <c r="N29" s="12">
        <v>3500</v>
      </c>
      <c r="O29" s="12">
        <f t="shared" ref="O29:O34" si="4">M29*N29</f>
        <v>4737.6000000000004</v>
      </c>
      <c r="P29" s="14" t="s">
        <v>21</v>
      </c>
      <c r="Q29" s="14"/>
      <c r="R29" s="14"/>
      <c r="S29" s="241"/>
      <c r="T29" s="14"/>
      <c r="U29" s="294" t="s">
        <v>149</v>
      </c>
      <c r="V29" s="291">
        <v>3625</v>
      </c>
      <c r="W29" s="59" t="s">
        <v>150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23500</v>
      </c>
      <c r="O30" s="12">
        <f t="shared" si="4"/>
        <v>11750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151</v>
      </c>
      <c r="X30" s="296"/>
    </row>
    <row r="31" spans="1:25" s="230" customFormat="1" ht="17.399999999999999" x14ac:dyDescent="0.35">
      <c r="B31" s="24" t="s">
        <v>147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152</v>
      </c>
      <c r="X31" s="59"/>
    </row>
    <row r="32" spans="1:25" s="230" customFormat="1" ht="17.399999999999999" x14ac:dyDescent="0.35">
      <c r="B32" s="24" t="s">
        <v>161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138</v>
      </c>
      <c r="Q32" s="17"/>
      <c r="S32" s="238"/>
      <c r="T32" s="255"/>
      <c r="U32" s="59"/>
      <c r="V32" s="59">
        <f>V30+V31</f>
        <v>1087.5</v>
      </c>
      <c r="W32" s="296" t="s">
        <v>153</v>
      </c>
      <c r="X32" s="59"/>
    </row>
    <row r="33" spans="1:24" s="230" customFormat="1" ht="17.399999999999999" x14ac:dyDescent="0.35">
      <c r="A33" s="230" t="s">
        <v>282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1.88</v>
      </c>
      <c r="N34" s="12">
        <v>1500</v>
      </c>
      <c r="O34" s="12">
        <f t="shared" si="4"/>
        <v>2820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39307.599999999999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86476.72</v>
      </c>
      <c r="P36" s="14" t="s">
        <v>137</v>
      </c>
      <c r="Q36" s="14"/>
      <c r="R36" s="40">
        <f>P27/R35</f>
        <v>0.36496980155306302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76663.758865248223</v>
      </c>
      <c r="P37" s="45" t="s">
        <v>24</v>
      </c>
      <c r="Q37" s="14"/>
      <c r="R37" s="14"/>
      <c r="S37"/>
      <c r="T37" s="238"/>
      <c r="U37" s="59" t="s">
        <v>154</v>
      </c>
      <c r="V37" s="291">
        <v>43650</v>
      </c>
    </row>
    <row r="38" spans="1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156</v>
      </c>
      <c r="V38" s="292" t="s">
        <v>155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157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152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144</v>
      </c>
    </row>
    <row r="73" spans="3:3" x14ac:dyDescent="0.3">
      <c r="C73" t="s">
        <v>143</v>
      </c>
    </row>
    <row r="76" spans="3:3" x14ac:dyDescent="0.3">
      <c r="C76" t="s">
        <v>143</v>
      </c>
    </row>
    <row r="153" spans="3:3" x14ac:dyDescent="0.3">
      <c r="C153" t="s">
        <v>143</v>
      </c>
    </row>
    <row r="154" spans="3:3" x14ac:dyDescent="0.3">
      <c r="C154" t="s">
        <v>145</v>
      </c>
    </row>
    <row r="155" spans="3:3" x14ac:dyDescent="0.3">
      <c r="C155" t="s">
        <v>146</v>
      </c>
    </row>
    <row r="580" spans="3:3" x14ac:dyDescent="0.3">
      <c r="C580" t="s">
        <v>143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3" workbookViewId="0">
      <selection activeCell="D42" sqref="D4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46051</v>
      </c>
    </row>
    <row r="6" spans="2:31" ht="16.2" thickBot="1" x14ac:dyDescent="0.35">
      <c r="B6" s="140" t="s">
        <v>2</v>
      </c>
      <c r="C6" s="139" t="str">
        <f>'2229'!C10</f>
        <v>PILAR SALINAS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97</v>
      </c>
      <c r="I7" s="439"/>
      <c r="J7" s="439"/>
      <c r="K7" s="440"/>
      <c r="N7" s="75"/>
      <c r="O7" s="43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11858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2992.2982998792263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91477</v>
      </c>
      <c r="E11" s="132">
        <f>D11*0.19</f>
        <v>17380.63</v>
      </c>
      <c r="F11" s="131">
        <f>E11+D11</f>
        <v>108857.63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108982.29829987923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SUM(M44:M46)</f>
        <v>66321.690787439613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90982.298299879229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25155.309212560387</v>
      </c>
      <c r="E13" s="221">
        <f>(D11/D12)-1</f>
        <v>0.37929233880937852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81982.298299879229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42982.298299879229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109430.78979927536</v>
      </c>
      <c r="F15" s="216">
        <f>E15-D12</f>
        <v>43109.099011835744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42982.298299879229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82982.298299879229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294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293</v>
      </c>
      <c r="D19" s="122">
        <f>'2229'!O32</f>
        <v>20000</v>
      </c>
      <c r="E19" s="123">
        <f>D19*0.19</f>
        <v>3800</v>
      </c>
      <c r="F19" s="120">
        <f>SUM(D19:E19)</f>
        <v>23800</v>
      </c>
      <c r="H19" s="192"/>
      <c r="I19" s="202"/>
      <c r="J19" s="184"/>
      <c r="K19" s="158"/>
      <c r="L19" s="61"/>
      <c r="Q19" s="16"/>
      <c r="R19" s="457"/>
      <c r="S19" s="458"/>
      <c r="T19" s="458"/>
      <c r="U19" s="459"/>
      <c r="V19" s="460"/>
      <c r="W19" s="460"/>
      <c r="X19" s="106"/>
    </row>
    <row r="20" spans="1:31" x14ac:dyDescent="0.3">
      <c r="C20" s="79" t="s">
        <v>31</v>
      </c>
      <c r="D20" s="122">
        <f>'2229'!O30</f>
        <v>11750</v>
      </c>
      <c r="E20" s="123">
        <f>D20*0.19</f>
        <v>2232.5</v>
      </c>
      <c r="F20" s="120">
        <f>SUM(D20:E20)</f>
        <v>13982.5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4737.6000000000004</v>
      </c>
      <c r="E21" s="121">
        <f>D21*0.19</f>
        <v>900.14400000000012</v>
      </c>
      <c r="F21" s="120">
        <f>SUM(D21:E21)</f>
        <v>5637.7440000000006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36487.599999999999</v>
      </c>
      <c r="E22" s="116">
        <f>SUM(E18:E21)</f>
        <v>6932.6440000000002</v>
      </c>
      <c r="F22" s="115">
        <f>SUM(F18:F21)</f>
        <v>43420.243999999999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116</v>
      </c>
      <c r="I25" s="155" t="s">
        <v>114</v>
      </c>
      <c r="J25" s="181" t="s">
        <v>75</v>
      </c>
      <c r="K25" s="152" t="s">
        <v>93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107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105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117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118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119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106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108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95</v>
      </c>
      <c r="I37" s="155" t="s">
        <v>114</v>
      </c>
      <c r="J37" s="189" t="s">
        <v>66</v>
      </c>
      <c r="K37" s="152" t="s">
        <v>93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10447.986000000001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91477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36487.599999999999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25155.309212560387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25155.309212560387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11858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PILAR SALINAS</v>
      </c>
      <c r="D10" s="350"/>
      <c r="E10" s="350"/>
      <c r="F10" s="351" t="s">
        <v>166</v>
      </c>
      <c r="G10" s="352">
        <f>'2229'!G10</f>
        <v>46051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46058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+569 53711031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CYB CON RESPALDO Y FRENTE 90° R8</v>
      </c>
      <c r="D22" s="321">
        <f>'2229'!D21*1000</f>
        <v>1800</v>
      </c>
      <c r="E22" s="321">
        <f>'2229'!E21*1000</f>
        <v>600</v>
      </c>
      <c r="F22" s="322" t="str">
        <f>'2229'!F21</f>
        <v>BLANCO BRILLO</v>
      </c>
      <c r="G22" s="314">
        <f>'2229'!G21</f>
        <v>91477</v>
      </c>
      <c r="H22" s="323">
        <f>G22*B22</f>
        <v>91477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91477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17380.63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108857.63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61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PILAR SALINAS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46051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46058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94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11858</v>
      </c>
      <c r="C2" s="1">
        <f>'NOTA DE VENTA'!$G$10</f>
        <v>46051</v>
      </c>
      <c r="D2" s="1">
        <f>'NOTA DE VENTA'!$G$11</f>
        <v>46058</v>
      </c>
      <c r="E2" t="str">
        <f>'NOTA DE VENTA'!$C$10</f>
        <v>PILAR SALINAS</v>
      </c>
      <c r="F2" t="str">
        <f>'NOTA DE VENTA'!$C$22</f>
        <v>CYB CON RESPALDO Y FRENTE 90° R8</v>
      </c>
      <c r="G2" t="str">
        <f>'NOTA DE VENTA'!$F$22</f>
        <v>BLANCO BRILLO</v>
      </c>
      <c r="H2" s="416">
        <f>'NOTA DE VENTA'!$H$25</f>
        <v>91477</v>
      </c>
      <c r="I2" s="416">
        <f>H2*0.19</f>
        <v>17380.63</v>
      </c>
      <c r="J2" s="416">
        <f>I2+H2</f>
        <v>108857.63</v>
      </c>
      <c r="L2" s="61">
        <f>J2-K2</f>
        <v>108857.63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2026-01-29T21:28:34Z</cp:lastPrinted>
  <dcterms:created xsi:type="dcterms:W3CDTF">2013-03-18T13:35:42Z</dcterms:created>
  <dcterms:modified xsi:type="dcterms:W3CDTF">2026-02-06T15:56:41Z</dcterms:modified>
</cp:coreProperties>
</file>