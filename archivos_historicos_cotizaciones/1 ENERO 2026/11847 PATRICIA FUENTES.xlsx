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7764B9A1-A6B3-4D72-AAF3-2050EDDE84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L22" i="1"/>
  <c r="M22" i="1"/>
  <c r="N22" i="1"/>
  <c r="O22" i="1" s="1"/>
  <c r="L21" i="1"/>
  <c r="H23" i="1"/>
  <c r="M23" i="1"/>
  <c r="S23" i="1" s="1"/>
  <c r="N23" i="1"/>
  <c r="K36" i="1"/>
  <c r="P22" i="1" l="1"/>
  <c r="O23" i="1"/>
  <c r="P23" i="1" s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7" i="1" s="1"/>
  <c r="T21" i="1" l="1"/>
  <c r="T26" i="1" s="1"/>
  <c r="S21" i="1"/>
  <c r="S28" i="1" s="1"/>
  <c r="O21" i="1"/>
  <c r="P21" i="1" s="1"/>
  <c r="P27" i="1" s="1"/>
  <c r="K41" i="1"/>
  <c r="S29" i="1" l="1"/>
  <c r="S30" i="1" s="1"/>
  <c r="S31" i="1" s="1"/>
  <c r="V34" i="1"/>
  <c r="V35" i="1" s="1"/>
  <c r="P28" i="1" l="1"/>
  <c r="N20" i="1"/>
  <c r="L20" i="1"/>
  <c r="P29" i="1" l="1"/>
  <c r="P30" i="1" s="1"/>
  <c r="O34" i="1"/>
  <c r="R38" i="1"/>
  <c r="M32" i="1" l="1"/>
  <c r="R39" i="1"/>
  <c r="O33" i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Q22" i="1" s="1"/>
  <c r="R22" i="1" s="1"/>
  <c r="D21" i="3"/>
  <c r="M43" i="3" s="1"/>
  <c r="D12" i="3" s="1"/>
  <c r="F20" i="3"/>
  <c r="F21" i="3" s="1"/>
  <c r="Q23" i="1" l="1"/>
  <c r="R23" i="1" s="1"/>
  <c r="O41" i="1"/>
  <c r="E15" i="3"/>
  <c r="Q21" i="1" l="1"/>
  <c r="F15" i="3"/>
  <c r="R21" i="1" l="1"/>
  <c r="H21" i="1" l="1"/>
  <c r="H26" i="1" s="1"/>
  <c r="H27" i="1" s="1"/>
  <c r="G22" i="4" l="1"/>
  <c r="H22" i="4" s="1"/>
  <c r="H25" i="4" s="1"/>
  <c r="H28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<sst xmlns="http://schemas.openxmlformats.org/spreadsheetml/2006/main" count="489" uniqueCount="297">
  <si>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</si>
  <si>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</si>
  <si>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</si>
  <si>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</si>
  <si>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</si>
  <si>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</si>
  <si>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</si>
  <si>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</si>
  <si>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</si>
  <si>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</si>
  <si>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</si>
  <si>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</si>
  <si>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</si>
  <si>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</si>
  <si>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</si>
  <si>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</si>
  <si>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</si>
  <si>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</si>
  <si>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</si>
  <si>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</si>
  <si>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</si>
  <si>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</si>
  <si>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</si>
  <si>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</si>
  <si>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</si>
  <si>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</si>
  <si>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</si>
  <si>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</si>
  <si>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</si>
  <si>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</si>
  <si>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</si>
  <si>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</si>
  <si>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</si>
  <si>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</si>
  <si>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</si>
  <si>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</si>
  <si>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</si>
  <si>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</si>
  <si>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</si>
  <si>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</si>
  <si>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</si>
  <si>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</si>
  <si>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</si>
  <si>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</si>
  <si>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</si>
  <si>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</si>
  <si>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</si>
  <si>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</si>
  <si>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</si>
  <si>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</si>
  <si>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</si>
  <si>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</si>
  <si>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</si>
  <si>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</si>
  <si>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</si>
  <si>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</si>
  <si>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</si>
  <si>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</si>
  <si>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</si>
  <si>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</si>
  <si>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</si>
  <si>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</si>
  <si>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</si>
  <si>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</si>
  <si>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</si>
  <si>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</si>
  <si>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</si>
  <si>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</si>
  <si>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</si>
  <si>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</si>
  <si>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</si>
  <si>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</si>
  <si>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</si>
  <si>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</si>
  <si>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</si>
  <si>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</si>
  <si>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</si>
  <si>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</si>
  <si>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</si>
  <si>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</si>
  <si>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</si>
  <si>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</si>
  <si>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</si>
  <si>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</si>
  <si>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</si>
  <si>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</si>
  <si>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</si>
  <si>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</si>
  <si>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</si>
  <si>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</si>
  <si>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</si>
  <si>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</si>
  <si>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</si>
  <si>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</si>
  <si>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</si>
  <si>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</si>
  <si>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</si>
  <si>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</si>
  <si>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</si>
  <si>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</si>
  <si>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</si>
  <si>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</si>
  <si>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</si>
  <si>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</si>
  <si>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</si>
  <si>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</si>
  <si>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</si>
  <si>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</si>
  <si>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</si>
  <si>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</si>
  <si>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</si>
  <si>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</si>
  <si>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</si>
  <si>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</si>
  <si>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</si>
  <si>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</si>
  <si>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</si>
  <si>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</si>
  <si>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</si>
  <si>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</si>
  <si>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</si>
  <si>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</si>
  <si>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</si>
  <si>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</si>
  <si>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</si>
  <si>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</si>
  <si>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</si>
  <si>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</si>
  <si>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</si>
  <si>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</si>
  <si>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</si>
  <si>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</si>
  <si>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</si>
  <si>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</si>
  <si>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</si>
  <si>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</si>
  <si>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</si>
  <si>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</si>
  <si>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</si>
  <si>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</si>
  <si>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</si>
  <si>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</si>
  <si>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</si>
  <si>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</si>
  <si>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</si>
  <si>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</si>
  <si>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</si>
  <si>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</si>
  <si>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</si>
  <si>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</si>
  <si>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</si>
  <si>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</si>
  <si>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</si>
  <si>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</si>
  <si>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</si>
  <si>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</si>
  <si>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</si>
  <si>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</si>
  <si>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</si>
  <si>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</si>
  <si>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</si>
  <si>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</si>
  <si>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</si>
  <si>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</si>
  <si>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</si>
  <si>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</si>
  <si>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</si>
  <si>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</si>
  <si>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</si>
  <si>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</si>
  <si>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</si>
  <si>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</si>
  <si>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</si>
  <si>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</si>
  <si>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</si>
  <si>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</si>
  <si>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</si>
  <si>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</si>
  <si>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</si>
  <si>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</si>
  <si>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</si>
  <si>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</si>
  <si>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</si>
  <si>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</si>
  <si>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</si>
  <si>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</si>
  <si>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</si>
  <si>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</si>
  <si>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</si>
  <si>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</si>
  <si>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</si>
  <si>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</si>
  <si>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</si>
  <si>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</si>
  <si>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</si>
  <si>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</si>
  <si>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</si>
  <si>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</si>
  <si>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</si>
  <si>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</si>
  <si>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</si>
  <si>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</si>
  <si>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</si>
  <si>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</si>
  <si>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</si>
  <si>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</si>
  <si>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</si>
  <si>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</si>
  <si>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</si>
  <si>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</si>
  <si>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</si>
  <si>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</si>
  <si>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</si>
  <si>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</si>
  <si>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</si>
  <si>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</si>
  <si>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</si>
  <si>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</si>
  <si>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</si>
  <si>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</si>
  <si>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</si>
  <si>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</si>
  <si>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</si>
  <si>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</si>
  <si>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</si>
  <si>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</si>
  <si>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</si>
  <si>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</si>
  <si>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</si>
  <si>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</si>
  <si>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</si>
  <si>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</si>
  <si>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</si>
  <si>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</si>
  <si>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</si>
  <si>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</si>
  <si>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</si>
  <si>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</si>
  <si>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</si>
  <si>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</si>
  <si>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</si>
  <si>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</si>
  <si>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</si>
  <si>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</si>
  <si>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</si>
  <si>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</si>
  <si>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</si>
  <si>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</si>
  <si>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</si>
  <si>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</si>
  <si>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</si>
  <si>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</si>
  <si>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</si>
  <si>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</si>
  <si>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</si>
  <si>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</si>
  <si>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</si>
  <si>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</si>
  <si>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</si>
  <si>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</si>
  <si>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</si>
  <si>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</si>
  <si>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</si>
  <si>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</si>
  <si>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</si>
  <si>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</si>
  <si>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</si>
  <si>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</si>
  <si>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</si>
  <si>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</si>
  <si>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</si>
  <si>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</si>
  <si>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</si>
  <si>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</si>
  <si>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</si>
  <si>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</si>
  <si>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</si>
  <si>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</si>
  <si>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</si>
  <si>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</si>
  <si>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</si>
  <si>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</si>
  <si>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</si>
  <si>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</si>
  <si>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</si>
  <si>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</si>
  <si>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CUENTA CORRIENTE BANCO SANTANDER Nº 87316181 A NOMBRE DE MUEBLES SANTA FE SPA</t>
  </si>
  <si>
    <t>RUT : 77.054.606-0 CORREO: FDONOSO@TOPMOBILI.CL</t>
  </si>
  <si>
    <t>SI</t>
  </si>
  <si>
    <t>N° 11847</t>
  </si>
  <si>
    <t>PATRICIA FUENTES</t>
  </si>
  <si>
    <t>569 5004 7025</t>
  </si>
  <si>
    <t>7 DIAS HABILES</t>
  </si>
  <si>
    <t>SERVICIO DESPACHO MAS INSTALACION</t>
  </si>
  <si>
    <t>CUB SIN RESPALDO Y FRENTE 90°</t>
  </si>
  <si>
    <t>CUB CON RESPALDO Y FRENTE 90°</t>
  </si>
  <si>
    <t>PUMIC GREY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</si>
</sst>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i/>
      <sz val="12"/>
      <color rgb="FF1F497D"/>
      <name val="Arial"/>
      <family val="2"/>
    </font>
    <font>
      <b/>
      <sz val="14"/>
      <color rgb="FFFF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4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9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0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6" fillId="0" borderId="0" xfId="0" applyFont="1"/>
    <xf numFmtId="42" fontId="0" fillId="0" borderId="0" xfId="6" applyFont="1" applyFill="1"/>
    <xf numFmtId="42" fontId="0" fillId="0" borderId="0" xfId="0" applyNumberFormat="1"/>
    <xf numFmtId="42" fontId="7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7" fillId="9" borderId="7" xfId="6" applyFont="1" applyFill="1" applyBorder="1"/>
    <xf numFmtId="0" fontId="13" fillId="9" borderId="18" xfId="0" applyFont="1" applyFill="1" applyBorder="1" applyAlignment="1">
      <alignment horizontal="center"/>
    </xf>
    <xf numFmtId="41" fontId="14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7" fillId="11" borderId="7" xfId="0" applyNumberFormat="1" applyFont="1" applyFill="1" applyBorder="1"/>
    <xf numFmtId="0" fontId="7" fillId="11" borderId="19" xfId="0" applyFont="1" applyFill="1" applyBorder="1" applyAlignment="1">
      <alignment horizontal="center"/>
    </xf>
    <xf numFmtId="0" fontId="7" fillId="10" borderId="24" xfId="0" applyFont="1" applyFill="1" applyBorder="1"/>
    <xf numFmtId="0" fontId="0" fillId="0" borderId="10" xfId="0" applyBorder="1"/>
    <xf numFmtId="0" fontId="7" fillId="0" borderId="25" xfId="0" applyFont="1" applyBorder="1" applyAlignment="1">
      <alignment horizontal="center"/>
    </xf>
    <xf numFmtId="0" fontId="7" fillId="0" borderId="0" xfId="0" applyFont="1"/>
    <xf numFmtId="42" fontId="7" fillId="11" borderId="7" xfId="6" applyFont="1" applyFill="1" applyBorder="1" applyAlignment="1">
      <alignment horizontal="right"/>
    </xf>
    <xf numFmtId="0" fontId="7" fillId="11" borderId="5" xfId="0" applyFont="1" applyFill="1" applyBorder="1"/>
    <xf numFmtId="42" fontId="0" fillId="0" borderId="20" xfId="0" applyNumberFormat="1" applyBorder="1"/>
    <xf numFmtId="0" fontId="7" fillId="0" borderId="26" xfId="0" applyFont="1" applyBorder="1" applyAlignment="1">
      <alignment horizontal="center"/>
    </xf>
    <xf numFmtId="0" fontId="12" fillId="0" borderId="0" xfId="0" applyFont="1"/>
    <xf numFmtId="42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7" fillId="11" borderId="2" xfId="0" applyFont="1" applyFill="1" applyBorder="1"/>
    <xf numFmtId="42" fontId="0" fillId="0" borderId="29" xfId="6" applyFont="1" applyBorder="1" applyAlignment="1">
      <alignment horizontal="center"/>
    </xf>
    <xf numFmtId="42" fontId="7" fillId="12" borderId="7" xfId="6" applyFont="1" applyFill="1" applyBorder="1"/>
    <xf numFmtId="41" fontId="7" fillId="12" borderId="18" xfId="0" applyNumberFormat="1" applyFont="1" applyFill="1" applyBorder="1" applyAlignment="1">
      <alignment horizontal="left" indent="1"/>
    </xf>
    <xf numFmtId="42" fontId="7" fillId="12" borderId="18" xfId="0" applyNumberFormat="1" applyFont="1" applyFill="1" applyBorder="1"/>
    <xf numFmtId="0" fontId="7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7" fillId="0" borderId="31" xfId="0" applyFont="1" applyBorder="1" applyAlignment="1">
      <alignment horizontal="center"/>
    </xf>
    <xf numFmtId="0" fontId="15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7" fillId="0" borderId="5" xfId="0" applyNumberFormat="1" applyFont="1" applyBorder="1"/>
    <xf numFmtId="42" fontId="15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7" fillId="12" borderId="7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41" fontId="7" fillId="12" borderId="18" xfId="4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/>
    </xf>
    <xf numFmtId="0" fontId="7" fillId="12" borderId="19" xfId="0" applyFont="1" applyFill="1" applyBorder="1"/>
    <xf numFmtId="42" fontId="7" fillId="13" borderId="7" xfId="6" applyFont="1" applyFill="1" applyBorder="1"/>
    <xf numFmtId="42" fontId="7" fillId="13" borderId="18" xfId="6" applyFont="1" applyFill="1" applyBorder="1"/>
    <xf numFmtId="42" fontId="0" fillId="13" borderId="9" xfId="0" applyNumberFormat="1" applyFill="1" applyBorder="1"/>
    <xf numFmtId="41" fontId="7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7" fillId="0" borderId="35" xfId="0" applyFont="1" applyBorder="1" applyAlignment="1">
      <alignment horizontal="center"/>
    </xf>
    <xf numFmtId="173" fontId="0" fillId="0" borderId="0" xfId="0" applyNumberFormat="1"/>
    <xf numFmtId="0" fontId="7" fillId="3" borderId="7" xfId="0" applyFont="1" applyFill="1" applyBorder="1" applyAlignment="1">
      <alignment horizontal="center"/>
    </xf>
    <xf numFmtId="41" fontId="7" fillId="3" borderId="18" xfId="4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/>
    <xf numFmtId="42" fontId="10" fillId="0" borderId="7" xfId="6" applyFont="1" applyFill="1" applyBorder="1"/>
    <xf numFmtId="42" fontId="10" fillId="0" borderId="18" xfId="6" applyFont="1" applyFill="1" applyBorder="1"/>
    <xf numFmtId="42" fontId="10" fillId="0" borderId="38" xfId="6" applyFont="1" applyFill="1" applyBorder="1"/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2" fontId="7" fillId="0" borderId="7" xfId="0" applyNumberFormat="1" applyFont="1" applyBorder="1"/>
    <xf numFmtId="0" fontId="5" fillId="15" borderId="19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22" xfId="0" applyFont="1" applyBorder="1"/>
    <xf numFmtId="0" fontId="7" fillId="0" borderId="16" xfId="0" applyFont="1" applyBorder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42" fontId="7" fillId="9" borderId="7" xfId="6" applyFont="1" applyFill="1" applyBorder="1" applyAlignment="1">
      <alignment horizontal="center"/>
    </xf>
    <xf numFmtId="42" fontId="12" fillId="0" borderId="0" xfId="0" applyNumberFormat="1" applyFont="1"/>
    <xf numFmtId="0" fontId="7" fillId="0" borderId="42" xfId="0" applyFont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7" fillId="9" borderId="2" xfId="0" quotePrefix="1" applyFont="1" applyFill="1" applyBorder="1" applyAlignment="1">
      <alignment horizontal="left"/>
    </xf>
    <xf numFmtId="0" fontId="7" fillId="9" borderId="9" xfId="0" quotePrefix="1" applyFont="1" applyFill="1" applyBorder="1" applyAlignment="1">
      <alignment horizontal="left"/>
    </xf>
    <xf numFmtId="0" fontId="7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6" fillId="0" borderId="0" xfId="1" applyFont="1" applyFill="1" applyBorder="1" applyAlignment="1">
      <alignment horizontal="center"/>
    </xf>
    <xf numFmtId="41" fontId="6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9" borderId="9" xfId="0" applyFont="1" applyFill="1" applyBorder="1"/>
    <xf numFmtId="0" fontId="7" fillId="0" borderId="13" xfId="0" applyFont="1" applyBorder="1" applyAlignment="1">
      <alignment horizontal="center"/>
    </xf>
    <xf numFmtId="0" fontId="7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7" fillId="9" borderId="47" xfId="0" applyFont="1" applyFill="1" applyBorder="1" applyAlignment="1">
      <alignment horizontal="center"/>
    </xf>
    <xf numFmtId="0" fontId="7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7" fillId="0" borderId="0" xfId="0" applyNumberFormat="1" applyFont="1"/>
    <xf numFmtId="42" fontId="7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5" fillId="0" borderId="40" xfId="0" applyFont="1" applyBorder="1"/>
    <xf numFmtId="14" fontId="5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7" fillId="7" borderId="9" xfId="0" applyNumberFormat="1" applyFont="1" applyFill="1" applyBorder="1"/>
    <xf numFmtId="0" fontId="5" fillId="14" borderId="19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9" fontId="5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9" fillId="0" borderId="0" xfId="3" applyFont="1" applyFill="1" applyBorder="1" applyAlignment="1">
      <alignment vertical="center"/>
    </xf>
    <xf numFmtId="0" fontId="20" fillId="0" borderId="0" xfId="0" applyFont="1"/>
    <xf numFmtId="1" fontId="20" fillId="0" borderId="0" xfId="0" applyNumberFormat="1" applyFont="1"/>
    <xf numFmtId="3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indent="15"/>
    </xf>
    <xf numFmtId="0" fontId="20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0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0" fillId="0" borderId="0" xfId="0" applyFont="1" applyAlignment="1">
      <alignment horizontal="left" vertical="center"/>
    </xf>
    <xf numFmtId="171" fontId="0" fillId="0" borderId="0" xfId="0" applyNumberFormat="1"/>
    <xf numFmtId="0" fontId="22" fillId="0" borderId="0" xfId="0" applyFont="1" applyAlignment="1">
      <alignment horizontal="center" vertical="center"/>
    </xf>
    <xf numFmtId="166" fontId="2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/>
    </xf>
    <xf numFmtId="167" fontId="24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14" fontId="25" fillId="8" borderId="46" xfId="0" applyNumberFormat="1" applyFont="1" applyFill="1" applyBorder="1" applyAlignment="1">
      <alignment horizontal="left"/>
    </xf>
    <xf numFmtId="0" fontId="25" fillId="8" borderId="0" xfId="0" applyFont="1" applyFill="1" applyAlignment="1">
      <alignment horizontal="left"/>
    </xf>
    <xf numFmtId="0" fontId="7" fillId="8" borderId="46" xfId="0" applyFont="1" applyFill="1" applyBorder="1"/>
    <xf numFmtId="0" fontId="27" fillId="0" borderId="0" xfId="0" applyFont="1" applyAlignment="1">
      <alignment horizontal="left" vertical="center"/>
    </xf>
    <xf numFmtId="0" fontId="10" fillId="0" borderId="31" xfId="0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66" fontId="25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42" fontId="20" fillId="0" borderId="0" xfId="0" applyNumberFormat="1" applyFont="1"/>
    <xf numFmtId="42" fontId="29" fillId="18" borderId="20" xfId="8" applyFont="1" applyFill="1" applyBorder="1"/>
    <xf numFmtId="42" fontId="29" fillId="0" borderId="29" xfId="8" applyFont="1" applyFill="1" applyBorder="1"/>
    <xf numFmtId="3" fontId="10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6" fillId="0" borderId="0" xfId="4" applyFont="1"/>
    <xf numFmtId="41" fontId="6" fillId="0" borderId="0" xfId="4" applyFont="1" applyAlignment="1">
      <alignment horizontal="right"/>
    </xf>
    <xf numFmtId="175" fontId="6" fillId="0" borderId="0" xfId="4" applyNumberFormat="1" applyFont="1"/>
    <xf numFmtId="1" fontId="6" fillId="0" borderId="0" xfId="0" applyNumberFormat="1" applyFont="1" applyAlignment="1">
      <alignment horizontal="center"/>
    </xf>
    <xf numFmtId="14" fontId="6" fillId="0" borderId="0" xfId="0" applyNumberFormat="1" applyFont="1"/>
    <xf numFmtId="1" fontId="6" fillId="0" borderId="0" xfId="0" applyNumberFormat="1" applyFont="1"/>
    <xf numFmtId="0" fontId="0" fillId="8" borderId="47" xfId="0" applyFill="1" applyBorder="1"/>
    <xf numFmtId="0" fontId="31" fillId="8" borderId="0" xfId="0" applyFont="1" applyFill="1"/>
    <xf numFmtId="0" fontId="25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4" fillId="8" borderId="0" xfId="0" applyFont="1" applyFill="1"/>
    <xf numFmtId="0" fontId="6" fillId="8" borderId="54" xfId="0" applyFont="1" applyFill="1" applyBorder="1"/>
    <xf numFmtId="0" fontId="13" fillId="8" borderId="0" xfId="0" applyFont="1" applyFill="1"/>
    <xf numFmtId="0" fontId="26" fillId="8" borderId="0" xfId="0" applyFont="1" applyFill="1"/>
    <xf numFmtId="41" fontId="10" fillId="2" borderId="0" xfId="4" applyFont="1" applyFill="1" applyBorder="1" applyAlignment="1">
      <alignment horizontal="center"/>
    </xf>
    <xf numFmtId="167" fontId="10" fillId="0" borderId="0" xfId="2" applyNumberFormat="1" applyFont="1" applyFill="1" applyBorder="1" applyAlignment="1">
      <alignment horizontal="center" vertical="center"/>
    </xf>
    <xf numFmtId="41" fontId="20" fillId="0" borderId="0" xfId="4" applyFont="1" applyBorder="1" applyAlignment="1">
      <alignment horizontal="center" vertical="center"/>
    </xf>
    <xf numFmtId="42" fontId="29" fillId="0" borderId="0" xfId="8" applyFont="1" applyFill="1" applyBorder="1"/>
    <xf numFmtId="41" fontId="20" fillId="0" borderId="0" xfId="4" applyFont="1" applyFill="1" applyBorder="1" applyAlignment="1">
      <alignment horizontal="center" vertical="center"/>
    </xf>
    <xf numFmtId="0" fontId="10" fillId="0" borderId="28" xfId="0" applyFont="1" applyBorder="1" applyAlignment="1">
      <alignment horizontal="center"/>
    </xf>
    <xf numFmtId="42" fontId="29" fillId="0" borderId="27" xfId="8" applyFont="1" applyFill="1" applyBorder="1"/>
    <xf numFmtId="0" fontId="28" fillId="0" borderId="28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167" fontId="10" fillId="0" borderId="36" xfId="2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indent="1"/>
    </xf>
    <xf numFmtId="0" fontId="5" fillId="0" borderId="9" xfId="0" applyFont="1" applyBorder="1"/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8" borderId="0" xfId="0" applyFont="1" applyFill="1"/>
    <xf numFmtId="1" fontId="28" fillId="0" borderId="36" xfId="0" applyNumberFormat="1" applyFont="1" applyBorder="1" applyAlignment="1">
      <alignment horizontal="center" vertical="center"/>
    </xf>
    <xf numFmtId="0" fontId="35" fillId="0" borderId="36" xfId="0" applyFont="1" applyBorder="1" applyAlignment="1">
      <alignment horizontal="center" vertical="center"/>
    </xf>
    <xf numFmtId="42" fontId="28" fillId="0" borderId="1" xfId="8" applyFont="1" applyBorder="1" applyAlignment="1">
      <alignment horizontal="center" vertical="center"/>
    </xf>
    <xf numFmtId="42" fontId="28" fillId="0" borderId="0" xfId="8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/>
    </xf>
    <xf numFmtId="167" fontId="5" fillId="0" borderId="27" xfId="2" applyNumberFormat="1" applyFont="1" applyFill="1" applyBorder="1"/>
    <xf numFmtId="3" fontId="5" fillId="8" borderId="26" xfId="0" applyNumberFormat="1" applyFont="1" applyFill="1" applyBorder="1" applyAlignment="1">
      <alignment horizontal="center"/>
    </xf>
    <xf numFmtId="167" fontId="5" fillId="0" borderId="20" xfId="2" applyNumberFormat="1" applyFont="1" applyFill="1" applyBorder="1"/>
    <xf numFmtId="0" fontId="5" fillId="0" borderId="31" xfId="0" applyFont="1" applyBorder="1" applyAlignment="1">
      <alignment horizontal="center"/>
    </xf>
    <xf numFmtId="167" fontId="5" fillId="0" borderId="29" xfId="2" applyNumberFormat="1" applyFont="1" applyFill="1" applyBorder="1"/>
    <xf numFmtId="0" fontId="5" fillId="0" borderId="0" xfId="0" applyFont="1" applyAlignment="1">
      <alignment horizontal="center"/>
    </xf>
    <xf numFmtId="167" fontId="5" fillId="0" borderId="0" xfId="2" applyNumberFormat="1" applyFont="1" applyFill="1" applyBorder="1"/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39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1" fillId="20" borderId="40" xfId="0" applyFont="1" applyFill="1" applyBorder="1" applyAlignment="1">
      <alignment horizontal="center" vertical="center"/>
    </xf>
    <xf numFmtId="0" fontId="41" fillId="20" borderId="39" xfId="0" applyFont="1" applyFill="1" applyBorder="1" applyAlignment="1">
      <alignment horizontal="center" vertical="center"/>
    </xf>
    <xf numFmtId="0" fontId="41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2" fillId="21" borderId="1" xfId="0" applyFont="1" applyFill="1" applyBorder="1" applyAlignment="1">
      <alignment horizontal="center"/>
    </xf>
    <xf numFmtId="0" fontId="42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3" fillId="0" borderId="0" xfId="0" applyFont="1" applyAlignment="1">
      <alignment horizontal="left" indent="1"/>
    </xf>
    <xf numFmtId="0" fontId="33" fillId="8" borderId="0" xfId="0" applyFont="1" applyFill="1" applyAlignment="1">
      <alignment horizontal="left" indent="1"/>
    </xf>
    <xf numFmtId="0" fontId="34" fillId="8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left" wrapText="1" shrinkToFit="1"/>
    </xf>
    <xf numFmtId="0" fontId="34" fillId="0" borderId="0" xfId="0" applyFont="1"/>
    <xf numFmtId="0" fontId="34" fillId="0" borderId="57" xfId="0" applyFont="1" applyBorder="1" applyAlignment="1">
      <alignment horizontal="center"/>
    </xf>
    <xf numFmtId="0" fontId="10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0" fillId="0" borderId="1" xfId="0" applyFont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0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4" fillId="0" borderId="59" xfId="0" applyFont="1" applyBorder="1" applyAlignment="1">
      <alignment horizontal="center"/>
    </xf>
    <xf numFmtId="0" fontId="10" fillId="22" borderId="59" xfId="0" applyFont="1" applyFill="1" applyBorder="1" applyAlignment="1">
      <alignment horizontal="center"/>
    </xf>
    <xf numFmtId="0" fontId="10" fillId="0" borderId="59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34" fillId="0" borderId="2" xfId="0" applyFont="1" applyBorder="1"/>
    <xf numFmtId="0" fontId="34" fillId="0" borderId="9" xfId="0" applyFont="1" applyBorder="1"/>
    <xf numFmtId="0" fontId="34" fillId="0" borderId="3" xfId="0" applyFont="1" applyBorder="1"/>
    <xf numFmtId="0" fontId="34" fillId="0" borderId="1" xfId="0" applyFont="1" applyBorder="1" applyAlignment="1">
      <alignment horizontal="center" vertical="center"/>
    </xf>
    <xf numFmtId="14" fontId="33" fillId="0" borderId="0" xfId="0" applyNumberFormat="1" applyFont="1" applyAlignment="1">
      <alignment horizontal="left" indent="1"/>
    </xf>
    <xf numFmtId="0" fontId="34" fillId="0" borderId="6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63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43" fillId="0" borderId="59" xfId="0" applyFont="1" applyBorder="1" applyAlignment="1">
      <alignment horizontal="center"/>
    </xf>
    <xf numFmtId="0" fontId="5" fillId="0" borderId="64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14" fontId="5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left" vertical="top" wrapText="1" shrinkToFit="1"/>
    </xf>
    <xf numFmtId="0" fontId="44" fillId="20" borderId="2" xfId="0" applyFont="1" applyFill="1" applyBorder="1" applyAlignment="1">
      <alignment horizontal="left" indent="1"/>
    </xf>
    <xf numFmtId="0" fontId="45" fillId="20" borderId="9" xfId="0" applyFont="1" applyFill="1" applyBorder="1"/>
    <xf numFmtId="0" fontId="44" fillId="20" borderId="3" xfId="0" applyFont="1" applyFill="1" applyBorder="1" applyAlignment="1">
      <alignment horizontal="center"/>
    </xf>
    <xf numFmtId="0" fontId="46" fillId="20" borderId="40" xfId="0" applyFont="1" applyFill="1" applyBorder="1" applyAlignment="1">
      <alignment horizontal="center" vertical="center"/>
    </xf>
    <xf numFmtId="0" fontId="46" fillId="20" borderId="39" xfId="0" applyFont="1" applyFill="1" applyBorder="1" applyAlignment="1">
      <alignment horizontal="center" vertical="center"/>
    </xf>
    <xf numFmtId="0" fontId="46" fillId="20" borderId="43" xfId="0" applyFont="1" applyFill="1" applyBorder="1" applyAlignment="1">
      <alignment horizontal="center" vertical="center"/>
    </xf>
    <xf numFmtId="0" fontId="32" fillId="24" borderId="0" xfId="0" applyFont="1" applyFill="1" applyAlignment="1">
      <alignment horizontal="center"/>
    </xf>
    <xf numFmtId="0" fontId="32" fillId="24" borderId="0" xfId="0" applyFont="1" applyFill="1" applyAlignment="1">
      <alignment horizontal="left"/>
    </xf>
    <xf numFmtId="42" fontId="32" fillId="24" borderId="0" xfId="8" applyFont="1" applyFill="1" applyAlignment="1">
      <alignment horizontal="center"/>
    </xf>
    <xf numFmtId="42" fontId="0" fillId="0" borderId="0" xfId="8" applyFont="1"/>
    <xf numFmtId="0" fontId="47" fillId="8" borderId="0" xfId="0" applyFont="1" applyFill="1"/>
    <xf numFmtId="0" fontId="4" fillId="8" borderId="46" xfId="0" applyFont="1" applyFill="1" applyBorder="1" applyAlignment="1">
      <alignment horizontal="left"/>
    </xf>
    <xf numFmtId="0" fontId="0" fillId="0" borderId="54" xfId="0" applyBorder="1"/>
    <xf numFmtId="0" fontId="31" fillId="0" borderId="0" xfId="0" applyFont="1"/>
    <xf numFmtId="14" fontId="25" fillId="0" borderId="0" xfId="0" applyNumberFormat="1" applyFont="1" applyAlignment="1">
      <alignment horizontal="left"/>
    </xf>
    <xf numFmtId="0" fontId="0" fillId="0" borderId="55" xfId="0" applyBorder="1"/>
    <xf numFmtId="0" fontId="25" fillId="0" borderId="0" xfId="0" applyFont="1"/>
    <xf numFmtId="0" fontId="21" fillId="0" borderId="0" xfId="0" applyFont="1"/>
    <xf numFmtId="0" fontId="0" fillId="0" borderId="44" xfId="0" applyBorder="1"/>
    <xf numFmtId="0" fontId="17" fillId="0" borderId="37" xfId="0" applyFont="1" applyBorder="1"/>
    <xf numFmtId="0" fontId="17" fillId="0" borderId="56" xfId="0" applyFont="1" applyBorder="1"/>
    <xf numFmtId="0" fontId="8" fillId="8" borderId="0" xfId="3" applyFill="1"/>
    <xf numFmtId="0" fontId="28" fillId="0" borderId="1" xfId="0" applyFont="1" applyBorder="1" applyAlignment="1">
      <alignment horizontal="center" vertical="center"/>
    </xf>
    <xf numFmtId="166" fontId="28" fillId="0" borderId="1" xfId="0" applyNumberFormat="1" applyFont="1" applyBorder="1" applyAlignment="1">
      <alignment horizontal="center" vertical="center"/>
    </xf>
    <xf numFmtId="167" fontId="10" fillId="0" borderId="1" xfId="2" applyNumberFormat="1" applyFont="1" applyFill="1" applyBorder="1" applyAlignment="1">
      <alignment horizontal="center" vertical="center"/>
    </xf>
    <xf numFmtId="0" fontId="48" fillId="0" borderId="0" xfId="0" quotePrefix="1" applyFont="1" applyAlignment="1">
      <alignment horizontal="left"/>
    </xf>
    <xf numFmtId="0" fontId="49" fillId="0" borderId="0" xfId="0" applyFont="1" applyAlignment="1">
      <alignment horizontal="left" vertical="center"/>
    </xf>
    <xf numFmtId="170" fontId="0" fillId="0" borderId="0" xfId="0" applyNumberFormat="1"/>
    <xf numFmtId="0" fontId="15" fillId="23" borderId="40" xfId="0" applyFont="1" applyFill="1" applyBorder="1" applyAlignment="1">
      <alignment horizontal="center" vertical="center"/>
    </xf>
    <xf numFmtId="0" fontId="15" fillId="23" borderId="39" xfId="0" applyFont="1" applyFill="1" applyBorder="1" applyAlignment="1">
      <alignment horizontal="center" vertical="center"/>
    </xf>
    <xf numFmtId="0" fontId="15" fillId="23" borderId="43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11" borderId="48" xfId="0" applyFont="1" applyFill="1" applyBorder="1" applyAlignment="1">
      <alignment horizontal="center"/>
    </xf>
    <xf numFmtId="0" fontId="7" fillId="11" borderId="51" xfId="0" applyFont="1" applyFill="1" applyBorder="1" applyAlignment="1">
      <alignment horizontal="center"/>
    </xf>
    <xf numFmtId="0" fontId="7" fillId="11" borderId="5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  <xf numFmtId="0" fontId="40" fillId="17" borderId="37" xfId="0" applyFont="1" applyFill="1" applyBorder="1" applyAlignment="1">
      <alignment horizontal="left"/>
    </xf>
    <xf numFmtId="0" fontId="40" fillId="17" borderId="56" xfId="0" applyFont="1" applyFill="1" applyBorder="1" applyAlignment="1">
      <alignment horizontal="left"/>
    </xf>
    <xf numFmtId="0" fontId="34" fillId="8" borderId="2" xfId="0" applyFont="1" applyFill="1" applyBorder="1" applyAlignment="1">
      <alignment horizontal="center" vertical="center"/>
    </xf>
    <xf numFmtId="0" fontId="34" fillId="8" borderId="9" xfId="0" applyFont="1" applyFill="1" applyBorder="1" applyAlignment="1">
      <alignment horizontal="center" vertical="center"/>
    </xf>
    <xf numFmtId="0" fontId="34" fillId="8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4" fillId="8" borderId="60" xfId="0" applyFont="1" applyFill="1" applyBorder="1" applyAlignment="1">
      <alignment horizontal="left" vertical="top" indent="28"/>
    </xf>
    <xf numFmtId="0" fontId="34" fillId="8" borderId="61" xfId="0" applyFont="1" applyFill="1" applyBorder="1" applyAlignment="1">
      <alignment horizontal="left" vertical="top" indent="28"/>
    </xf>
    <xf numFmtId="0" fontId="34" fillId="8" borderId="62" xfId="0" applyFont="1" applyFill="1" applyBorder="1" applyAlignment="1">
      <alignment horizontal="left" vertical="top" indent="28"/>
    </xf>
    <xf numFmtId="0" fontId="34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4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214364</xdr:rowOff>
    </xdr:from>
    <xdr:to>
      <xdr:col>5</xdr:col>
      <xdr:colOff>1728839</xdr:colOff>
      <xdr:row>27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CONSIDERA SERVICIO DE INSTALACION, EN OBRA SE HACER LOS CORTES PARA ENCIMERA Y LAVAPLATOS. NO INCLUYE TRABAJO DE GASFITERIA.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zoomScale="93" zoomScaleNormal="93" workbookViewId="0">
      <selection activeCell="I30" sqref="I30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1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8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8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8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8" t="s">
        <v>160</v>
      </c>
      <c r="O6" s="32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8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289</v>
      </c>
      <c r="F8" s="58"/>
      <c r="K8" s="51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6" t="s">
        <v>158</v>
      </c>
      <c r="C10" s="276" t="s">
        <v>290</v>
      </c>
      <c r="D10" s="242"/>
      <c r="E10" s="242"/>
      <c r="F10" s="417" t="s">
        <v>276</v>
      </c>
      <c r="G10" s="274">
        <v>46048</v>
      </c>
      <c r="H10" s="243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8" t="s">
        <v>285</v>
      </c>
      <c r="G11" s="420" t="s">
        <v>292</v>
      </c>
      <c r="H11" s="421"/>
      <c r="Q11" s="19"/>
      <c r="R11" s="24" t="s">
        <v>18</v>
      </c>
      <c r="S11" s="19"/>
    </row>
    <row r="12" spans="2:24" x14ac:dyDescent="0.3">
      <c r="B12" s="244" t="s">
        <v>142</v>
      </c>
      <c r="C12" s="416"/>
      <c r="D12" s="245"/>
      <c r="E12" s="245"/>
      <c r="F12" s="300" t="s">
        <v>126</v>
      </c>
      <c r="G12" s="275" t="s">
        <v>133</v>
      </c>
      <c r="H12" s="246"/>
      <c r="Q12" s="19"/>
      <c r="R12" s="24"/>
      <c r="S12" s="19"/>
    </row>
    <row r="13" spans="2:24" x14ac:dyDescent="0.3">
      <c r="B13" s="418" t="s">
        <v>143</v>
      </c>
      <c r="F13" s="28" t="s">
        <v>134</v>
      </c>
      <c r="G13" s="422" t="s">
        <v>288</v>
      </c>
      <c r="H13" s="421"/>
      <c r="Q13" s="19"/>
      <c r="R13" s="24"/>
      <c r="S13" s="19"/>
    </row>
    <row r="14" spans="2:24" x14ac:dyDescent="0.3">
      <c r="B14" s="244" t="s">
        <v>137</v>
      </c>
      <c r="C14" s="427"/>
      <c r="D14" s="245"/>
      <c r="E14" s="245"/>
      <c r="F14" s="300" t="s">
        <v>284</v>
      </c>
      <c r="G14" s="422" t="s">
        <v>288</v>
      </c>
      <c r="H14" s="246"/>
      <c r="K14" s="28"/>
      <c r="Q14" s="20"/>
      <c r="R14" s="25" t="s">
        <v>17</v>
      </c>
      <c r="S14" s="20"/>
    </row>
    <row r="15" spans="2:24" ht="15.6" x14ac:dyDescent="0.3">
      <c r="B15" s="418" t="s">
        <v>4</v>
      </c>
      <c r="C15" s="431" t="s">
        <v>291</v>
      </c>
      <c r="D15" s="423"/>
      <c r="F15" s="28" t="s">
        <v>283</v>
      </c>
      <c r="G15" s="422" t="s">
        <v>288</v>
      </c>
      <c r="H15" s="421"/>
    </row>
    <row r="16" spans="2:24" ht="16.8" x14ac:dyDescent="0.4">
      <c r="B16" s="301" t="s">
        <v>3</v>
      </c>
      <c r="C16" s="297"/>
      <c r="D16" s="245"/>
      <c r="E16" s="245"/>
      <c r="F16" s="302" t="s">
        <v>128</v>
      </c>
      <c r="G16" s="303" t="s">
        <v>159</v>
      </c>
      <c r="H16" s="246"/>
    </row>
    <row r="17" spans="2:25" ht="15" thickBot="1" x14ac:dyDescent="0.35">
      <c r="B17" s="424" t="s">
        <v>13</v>
      </c>
      <c r="C17" s="298" t="s">
        <v>161</v>
      </c>
      <c r="D17" s="299"/>
      <c r="E17" s="118"/>
      <c r="F17" s="425" t="s">
        <v>178</v>
      </c>
      <c r="G17" s="425" t="s">
        <v>179</v>
      </c>
      <c r="H17" s="426"/>
      <c r="I17" s="261"/>
      <c r="J17" s="261"/>
      <c r="T17" s="6"/>
      <c r="U17" s="6"/>
    </row>
    <row r="18" spans="2:25" ht="15.75" customHeight="1" thickBot="1" x14ac:dyDescent="0.35">
      <c r="J18" s="46"/>
      <c r="K18" s="5"/>
      <c r="V18" s="9"/>
      <c r="X18" s="6"/>
      <c r="Y18" s="6"/>
    </row>
    <row r="19" spans="2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2"/>
      <c r="J19" s="262"/>
      <c r="K19" s="5"/>
      <c r="L19" s="248"/>
      <c r="M19" s="14">
        <v>0.08</v>
      </c>
      <c r="N19" s="14"/>
      <c r="O19" s="14"/>
      <c r="P19" s="249" t="s">
        <v>6</v>
      </c>
      <c r="Q19" s="35" t="s">
        <v>20</v>
      </c>
      <c r="R19" s="36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3"/>
      <c r="J20" s="263"/>
      <c r="K20" s="46"/>
      <c r="L20" s="266" t="str">
        <f>B20</f>
        <v>UNIDAD</v>
      </c>
      <c r="M20" s="265" t="s">
        <v>130</v>
      </c>
      <c r="N20" s="38" t="str">
        <f>E20</f>
        <v>ANCHO</v>
      </c>
      <c r="O20" s="259" t="s">
        <v>131</v>
      </c>
      <c r="P20" s="257" t="s">
        <v>16</v>
      </c>
      <c r="Q20" s="250">
        <f>O40</f>
        <v>90010.512286547266</v>
      </c>
      <c r="R20" s="256">
        <v>3000</v>
      </c>
      <c r="S20" s="37"/>
      <c r="T20" s="14" t="s">
        <v>127</v>
      </c>
      <c r="U20" s="9"/>
      <c r="X20" s="4"/>
    </row>
    <row r="21" spans="2:25" ht="17.399999999999999" x14ac:dyDescent="0.3">
      <c r="B21" s="428">
        <v>1</v>
      </c>
      <c r="C21" s="428" t="s">
        <v>295</v>
      </c>
      <c r="D21" s="429">
        <v>1.47</v>
      </c>
      <c r="E21" s="429">
        <v>0.55000000000000004</v>
      </c>
      <c r="F21" s="428" t="s">
        <v>296</v>
      </c>
      <c r="G21" s="430">
        <v>79734</v>
      </c>
      <c r="H21" s="430">
        <f>G21*B21</f>
        <v>79734</v>
      </c>
      <c r="I21" s="305"/>
      <c r="J21" s="263"/>
      <c r="K21" s="46"/>
      <c r="L21" s="46">
        <f>B21</f>
        <v>1</v>
      </c>
      <c r="M21" s="38">
        <f>D21+M$19</f>
        <v>1.55</v>
      </c>
      <c r="N21" s="38">
        <f>E21+$N$19</f>
        <v>0.55000000000000004</v>
      </c>
      <c r="O21" s="259">
        <f t="shared" ref="O21" si="0">M21*N21</f>
        <v>0.85250000000000015</v>
      </c>
      <c r="P21" s="257">
        <f t="shared" ref="P21" si="1">O21*L21</f>
        <v>0.85250000000000015</v>
      </c>
      <c r="Q21" s="250">
        <f t="shared" ref="Q21" si="2">Q$20*O21</f>
        <v>76733.961724281558</v>
      </c>
      <c r="R21" s="304">
        <f t="shared" ref="R21" si="3">Q21+R$20</f>
        <v>79733.961724281558</v>
      </c>
      <c r="S21" s="289">
        <f>L21*M21*2</f>
        <v>3.1</v>
      </c>
      <c r="T21" s="45">
        <f>N21*2*L21*2</f>
        <v>2.2000000000000002</v>
      </c>
      <c r="U21" s="9"/>
      <c r="X21" s="4"/>
    </row>
    <row r="22" spans="2:25" ht="17.399999999999999" x14ac:dyDescent="0.3">
      <c r="B22" s="428">
        <v>1</v>
      </c>
      <c r="C22" s="428" t="s">
        <v>294</v>
      </c>
      <c r="D22" s="429">
        <v>0.79</v>
      </c>
      <c r="E22" s="429">
        <v>0.4</v>
      </c>
      <c r="F22" s="428" t="s">
        <v>296</v>
      </c>
      <c r="G22" s="430">
        <v>34324</v>
      </c>
      <c r="H22" s="430">
        <f>G22*B22</f>
        <v>34324</v>
      </c>
      <c r="I22" s="305"/>
      <c r="J22" s="263"/>
      <c r="K22" s="46"/>
      <c r="L22" s="46">
        <f>B22</f>
        <v>1</v>
      </c>
      <c r="M22" s="38">
        <f>D22+M$19</f>
        <v>0.87</v>
      </c>
      <c r="N22" s="38">
        <f>E22+$N$19</f>
        <v>0.4</v>
      </c>
      <c r="O22" s="259">
        <f t="shared" ref="O22" si="4">M22*N22</f>
        <v>0.34800000000000003</v>
      </c>
      <c r="P22" s="257">
        <f t="shared" ref="P22" si="5">O22*L22</f>
        <v>0.34800000000000003</v>
      </c>
      <c r="Q22" s="250">
        <f t="shared" ref="Q22" si="6">Q$20*O22</f>
        <v>31323.658275718451</v>
      </c>
      <c r="R22" s="304">
        <f t="shared" ref="R22" si="7">Q22+R$20</f>
        <v>34323.658275718451</v>
      </c>
      <c r="S22" s="289"/>
      <c r="T22" s="45"/>
      <c r="U22" s="9"/>
      <c r="X22" s="4"/>
    </row>
    <row r="23" spans="2:25" ht="17.399999999999999" x14ac:dyDescent="0.3">
      <c r="B23" s="428">
        <v>1</v>
      </c>
      <c r="C23" s="428" t="s">
        <v>293</v>
      </c>
      <c r="D23" s="429"/>
      <c r="E23" s="429"/>
      <c r="F23" s="428"/>
      <c r="G23" s="430">
        <v>120000</v>
      </c>
      <c r="H23" s="430">
        <f t="shared" ref="H23" si="8">G23*B23</f>
        <v>120000</v>
      </c>
      <c r="I23" s="305"/>
      <c r="J23" s="263"/>
      <c r="K23" s="46"/>
      <c r="L23" s="46"/>
      <c r="M23" s="38">
        <f t="shared" ref="M23" si="9">D23+M$19</f>
        <v>0.08</v>
      </c>
      <c r="N23" s="38">
        <f t="shared" ref="N23" si="10">E23+$N$19</f>
        <v>0</v>
      </c>
      <c r="O23" s="259">
        <f t="shared" ref="O23" si="11">M23*N23</f>
        <v>0</v>
      </c>
      <c r="P23" s="257">
        <f t="shared" ref="P23" si="12">O23*L23</f>
        <v>0</v>
      </c>
      <c r="Q23" s="250">
        <f t="shared" ref="Q23" si="13">Q$20*O23</f>
        <v>0</v>
      </c>
      <c r="R23" s="304">
        <f t="shared" ref="R23" si="14">Q23+R$20</f>
        <v>3000</v>
      </c>
      <c r="S23" s="289">
        <f t="shared" ref="S23" si="15">L23*M23*2</f>
        <v>0</v>
      </c>
      <c r="T23" s="45"/>
      <c r="U23" s="9"/>
      <c r="X23" s="4"/>
    </row>
    <row r="24" spans="2:25" ht="17.399999999999999" x14ac:dyDescent="0.3">
      <c r="B24" s="283"/>
      <c r="C24" s="283"/>
      <c r="D24" s="284"/>
      <c r="E24" s="284"/>
      <c r="F24" s="283"/>
      <c r="G24" s="305"/>
      <c r="H24" s="305"/>
      <c r="I24" s="305"/>
      <c r="J24" s="263"/>
      <c r="K24" s="46"/>
      <c r="L24" s="46"/>
      <c r="M24" s="38"/>
      <c r="N24" s="38"/>
      <c r="O24" s="259"/>
      <c r="P24" s="257"/>
      <c r="Q24" s="250"/>
      <c r="R24" s="304"/>
      <c r="S24" s="289"/>
      <c r="T24" s="45"/>
      <c r="U24" s="9"/>
      <c r="X24" s="4"/>
    </row>
    <row r="25" spans="2:25" ht="18" thickBot="1" x14ac:dyDescent="0.35">
      <c r="B25" s="283"/>
      <c r="C25" s="283"/>
      <c r="D25" s="284"/>
      <c r="E25" s="284"/>
      <c r="F25" s="283"/>
      <c r="G25" s="263"/>
      <c r="H25" s="306"/>
      <c r="I25" s="308"/>
      <c r="J25" s="232"/>
      <c r="K25" s="46"/>
      <c r="L25" s="46"/>
      <c r="M25" s="38"/>
      <c r="N25" s="38"/>
      <c r="O25" s="259"/>
      <c r="P25" s="257"/>
      <c r="Q25" s="250"/>
      <c r="R25" s="256"/>
      <c r="S25" s="289"/>
      <c r="T25" s="14"/>
      <c r="U25" s="9"/>
      <c r="X25" s="4"/>
    </row>
    <row r="26" spans="2:25" ht="17.399999999999999" x14ac:dyDescent="0.3">
      <c r="B26" s="283"/>
      <c r="C26" s="283"/>
      <c r="D26" s="284"/>
      <c r="E26" s="284"/>
      <c r="F26" s="283"/>
      <c r="G26" s="309" t="s">
        <v>28</v>
      </c>
      <c r="H26" s="310">
        <f>SUM(H21:H25)</f>
        <v>234058</v>
      </c>
      <c r="I26" s="307"/>
      <c r="J26" s="263"/>
      <c r="K26" s="46">
        <v>2600000</v>
      </c>
      <c r="L26" s="46"/>
      <c r="M26" s="38"/>
      <c r="N26" s="38"/>
      <c r="O26" s="259"/>
      <c r="P26" s="257"/>
      <c r="Q26" s="250"/>
      <c r="R26" s="256"/>
      <c r="S26" s="289"/>
      <c r="T26" s="45">
        <f>SUM(T21:T25)</f>
        <v>2.2000000000000002</v>
      </c>
      <c r="U26" s="9"/>
      <c r="X26" s="4"/>
    </row>
    <row r="27" spans="2:25" ht="17.399999999999999" x14ac:dyDescent="0.3">
      <c r="B27" s="277"/>
      <c r="C27" s="280"/>
      <c r="D27" s="281"/>
      <c r="E27" s="281"/>
      <c r="F27" s="282"/>
      <c r="G27" s="288" t="s">
        <v>51</v>
      </c>
      <c r="H27" s="286">
        <f>H26*19%</f>
        <v>44471.020000000004</v>
      </c>
      <c r="I27" s="307"/>
      <c r="J27" s="263"/>
      <c r="K27" s="46"/>
      <c r="L27" s="46"/>
      <c r="M27" s="38">
        <f>SUM(M21:M26)</f>
        <v>2.5</v>
      </c>
      <c r="N27" s="12"/>
      <c r="O27" s="12"/>
      <c r="P27" s="251">
        <f>SUM(P21:P23)</f>
        <v>1.2005000000000001</v>
      </c>
      <c r="Q27" s="14"/>
      <c r="R27" s="12"/>
      <c r="S27" s="238"/>
      <c r="T27" s="45"/>
      <c r="U27" s="9"/>
      <c r="X27" s="4"/>
    </row>
    <row r="28" spans="2:25" ht="18" thickBot="1" x14ac:dyDescent="0.35">
      <c r="B28" s="273"/>
      <c r="C28" s="279"/>
      <c r="D28" s="270"/>
      <c r="E28" s="270"/>
      <c r="F28" s="271"/>
      <c r="G28" s="278" t="s">
        <v>6</v>
      </c>
      <c r="H28" s="287">
        <f>H26+H27</f>
        <v>278529.02</v>
      </c>
      <c r="I28" s="307"/>
      <c r="J28" s="263"/>
      <c r="K28" s="46"/>
      <c r="L28" s="46"/>
      <c r="M28" s="38"/>
      <c r="N28" s="12"/>
      <c r="O28" s="12"/>
      <c r="P28" s="251">
        <f>P27</f>
        <v>1.2005000000000001</v>
      </c>
      <c r="Q28" s="14"/>
      <c r="R28" s="12"/>
      <c r="S28" s="238">
        <f>SUM(S21:S27)</f>
        <v>3.1</v>
      </c>
      <c r="T28" s="45"/>
      <c r="U28" s="9"/>
      <c r="X28" s="4"/>
    </row>
    <row r="29" spans="2:25" ht="17.399999999999999" x14ac:dyDescent="0.3">
      <c r="B29" s="273"/>
      <c r="C29" s="269"/>
      <c r="D29" s="270"/>
      <c r="E29" s="270"/>
      <c r="F29" s="271"/>
      <c r="J29" s="263"/>
      <c r="K29" s="46"/>
      <c r="L29" s="46"/>
      <c r="M29" s="14"/>
      <c r="N29" s="12"/>
      <c r="O29" s="12"/>
      <c r="P29" s="38">
        <f>P28*20%</f>
        <v>0.24010000000000004</v>
      </c>
      <c r="Q29" s="38" t="s">
        <v>129</v>
      </c>
      <c r="R29" s="41"/>
      <c r="S29" s="239">
        <f>S28+T26</f>
        <v>5.3000000000000007</v>
      </c>
      <c r="T29" s="14"/>
      <c r="U29" s="9"/>
      <c r="X29" s="4"/>
    </row>
    <row r="30" spans="2:25" ht="17.399999999999999" x14ac:dyDescent="0.35">
      <c r="B30" s="267"/>
      <c r="C30" s="229"/>
      <c r="D30" s="229"/>
      <c r="E30" s="232"/>
      <c r="F30" s="233"/>
      <c r="G30" s="229"/>
      <c r="H30" s="272"/>
      <c r="I30" s="272"/>
      <c r="J30" s="263"/>
      <c r="K30" s="46"/>
      <c r="L30" s="46"/>
      <c r="M30" s="14"/>
      <c r="N30" s="12"/>
      <c r="O30" s="12"/>
      <c r="P30" s="45">
        <f>P28+P29</f>
        <v>1.4406000000000001</v>
      </c>
      <c r="Q30" s="14"/>
      <c r="R30" s="14"/>
      <c r="S30" s="237">
        <f>S29*20%</f>
        <v>1.0600000000000003</v>
      </c>
      <c r="T30" s="14"/>
      <c r="U30" s="9"/>
      <c r="X30" s="4"/>
    </row>
    <row r="31" spans="2:25" ht="17.399999999999999" x14ac:dyDescent="0.35">
      <c r="B31" s="234"/>
      <c r="C31" s="235"/>
      <c r="D31" s="236"/>
      <c r="E31" s="234"/>
      <c r="F31" s="229"/>
      <c r="G31" s="229"/>
      <c r="I31" s="272"/>
      <c r="J31" s="263"/>
      <c r="K31" s="46"/>
      <c r="L31" s="46"/>
      <c r="M31" s="14"/>
      <c r="N31" s="14"/>
      <c r="O31" s="14"/>
      <c r="P31" s="14"/>
      <c r="Q31" s="14"/>
      <c r="R31" s="14"/>
      <c r="S31" s="239">
        <f>S29+S30</f>
        <v>6.3600000000000012</v>
      </c>
      <c r="T31" s="14"/>
      <c r="U31" s="293" t="s">
        <v>21</v>
      </c>
      <c r="V31" s="290" t="s">
        <v>148</v>
      </c>
      <c r="W31" s="294">
        <v>44971</v>
      </c>
      <c r="X31" s="295"/>
    </row>
    <row r="32" spans="2:25" ht="17.399999999999999" x14ac:dyDescent="0.35">
      <c r="B32" s="229"/>
      <c r="C32" s="229"/>
      <c r="D32" s="229"/>
      <c r="E32" s="229"/>
      <c r="F32" s="229"/>
      <c r="G32" s="229"/>
      <c r="J32" s="263"/>
      <c r="K32" s="46"/>
      <c r="L32" s="46"/>
      <c r="M32" s="38">
        <f>P30</f>
        <v>1.4406000000000001</v>
      </c>
      <c r="N32" s="12">
        <v>3500</v>
      </c>
      <c r="O32" s="12">
        <f t="shared" ref="O32:O37" si="16">M32*N32</f>
        <v>5042.1000000000004</v>
      </c>
      <c r="P32" s="14" t="s">
        <v>21</v>
      </c>
      <c r="Q32" s="14"/>
      <c r="R32" s="14"/>
      <c r="S32" s="240"/>
      <c r="T32" s="14"/>
      <c r="U32" s="293" t="s">
        <v>149</v>
      </c>
      <c r="V32" s="290">
        <v>3625</v>
      </c>
      <c r="W32" s="58" t="s">
        <v>150</v>
      </c>
      <c r="X32" s="295"/>
    </row>
    <row r="33" spans="1:24" ht="17.399999999999999" x14ac:dyDescent="0.35">
      <c r="A33" s="229"/>
      <c r="B33" s="229"/>
      <c r="C33" s="229"/>
      <c r="D33" s="229"/>
      <c r="E33" s="229"/>
      <c r="F33" s="229"/>
      <c r="G33" s="229"/>
      <c r="H33" s="229"/>
      <c r="J33" s="263"/>
      <c r="K33" s="46"/>
      <c r="L33" s="46"/>
      <c r="M33" s="247">
        <v>0.5</v>
      </c>
      <c r="N33" s="12">
        <v>23500</v>
      </c>
      <c r="O33" s="12">
        <f t="shared" si="16"/>
        <v>11750</v>
      </c>
      <c r="P33" s="38" t="s">
        <v>31</v>
      </c>
      <c r="Q33" s="41"/>
      <c r="R33" s="14"/>
      <c r="S33" s="239"/>
      <c r="T33" s="14"/>
      <c r="U33" s="293"/>
      <c r="V33" s="58">
        <v>906.25</v>
      </c>
      <c r="W33" s="58" t="s">
        <v>151</v>
      </c>
      <c r="X33" s="295"/>
    </row>
    <row r="34" spans="1:24" s="229" customFormat="1" ht="18" x14ac:dyDescent="0.35">
      <c r="B34" s="432" t="s">
        <v>286</v>
      </c>
      <c r="J34" s="260"/>
      <c r="K34" s="231"/>
      <c r="L34" s="248"/>
      <c r="M34" s="14"/>
      <c r="N34" s="248">
        <v>71000</v>
      </c>
      <c r="O34" s="12">
        <f t="shared" si="16"/>
        <v>0</v>
      </c>
      <c r="P34" s="38" t="s">
        <v>30</v>
      </c>
      <c r="Q34" s="41"/>
      <c r="S34" s="239"/>
      <c r="T34" s="254"/>
      <c r="U34" s="58"/>
      <c r="V34" s="58">
        <f>V33*20%</f>
        <v>181.25</v>
      </c>
      <c r="W34" s="295" t="s">
        <v>152</v>
      </c>
      <c r="X34" s="58"/>
    </row>
    <row r="35" spans="1:24" s="229" customFormat="1" ht="18" x14ac:dyDescent="0.35">
      <c r="B35" s="432" t="s">
        <v>287</v>
      </c>
      <c r="C35"/>
      <c r="D35"/>
      <c r="E35"/>
      <c r="F35"/>
      <c r="J35" s="260"/>
      <c r="K35" s="231">
        <v>55000</v>
      </c>
      <c r="L35" s="248"/>
      <c r="M35" s="14">
        <v>1</v>
      </c>
      <c r="N35" s="248">
        <v>30000</v>
      </c>
      <c r="O35" s="12">
        <f t="shared" si="16"/>
        <v>30000</v>
      </c>
      <c r="P35" s="14" t="s">
        <v>139</v>
      </c>
      <c r="Q35" s="17"/>
      <c r="S35" s="237"/>
      <c r="T35" s="254"/>
      <c r="U35" s="58"/>
      <c r="V35" s="58">
        <f>V33+V34</f>
        <v>1087.5</v>
      </c>
      <c r="W35" s="295" t="s">
        <v>153</v>
      </c>
      <c r="X35" s="58"/>
    </row>
    <row r="36" spans="1:24" s="229" customFormat="1" ht="17.399999999999999" x14ac:dyDescent="0.35">
      <c r="A36" s="229" t="s">
        <v>282</v>
      </c>
      <c r="B36" s="28" t="s">
        <v>124</v>
      </c>
      <c r="C36"/>
      <c r="D36"/>
      <c r="E36"/>
      <c r="F36" s="228" t="s">
        <v>15</v>
      </c>
      <c r="J36" s="260"/>
      <c r="K36" s="258">
        <f>K35*2</f>
        <v>110000</v>
      </c>
      <c r="L36" s="248"/>
      <c r="M36" s="247"/>
      <c r="N36" s="248">
        <v>900</v>
      </c>
      <c r="O36" s="12">
        <f t="shared" si="16"/>
        <v>0</v>
      </c>
      <c r="P36" s="14" t="s">
        <v>32</v>
      </c>
      <c r="Q36" s="14"/>
      <c r="R36" s="229">
        <v>1.52</v>
      </c>
      <c r="S36" s="237"/>
      <c r="T36" s="237"/>
    </row>
    <row r="37" spans="1:24" s="229" customFormat="1" ht="17.399999999999999" x14ac:dyDescent="0.35">
      <c r="J37" s="285"/>
      <c r="K37" s="258"/>
      <c r="L37" s="248"/>
      <c r="M37" s="264">
        <v>1.55</v>
      </c>
      <c r="N37" s="12">
        <v>1500</v>
      </c>
      <c r="O37" s="12">
        <f t="shared" si="16"/>
        <v>2325</v>
      </c>
      <c r="P37" s="14" t="s">
        <v>22</v>
      </c>
      <c r="Q37" s="14"/>
      <c r="R37">
        <v>2.44</v>
      </c>
      <c r="S37"/>
      <c r="T37" s="237"/>
      <c r="X37" s="230"/>
    </row>
    <row r="38" spans="1:24" s="229" customFormat="1" ht="17.399999999999999" x14ac:dyDescent="0.35">
      <c r="K38" s="258"/>
      <c r="L38" s="248"/>
      <c r="M38" s="14"/>
      <c r="N38" s="12"/>
      <c r="O38" s="12">
        <f>SUM(O32:O37)</f>
        <v>49117.1</v>
      </c>
      <c r="P38" s="38" t="s">
        <v>23</v>
      </c>
      <c r="Q38" s="14"/>
      <c r="R38">
        <f>R36*R37</f>
        <v>3.7088000000000001</v>
      </c>
      <c r="S38"/>
      <c r="T38" s="237"/>
      <c r="X38" s="230"/>
    </row>
    <row r="39" spans="1:24" s="229" customFormat="1" ht="17.399999999999999" x14ac:dyDescent="0.35">
      <c r="L39" s="248"/>
      <c r="M39" s="252" t="s">
        <v>33</v>
      </c>
      <c r="N39" s="12"/>
      <c r="O39" s="253">
        <f>O38*2.2</f>
        <v>108057.62000000001</v>
      </c>
      <c r="P39" s="14" t="s">
        <v>138</v>
      </c>
      <c r="Q39" s="14"/>
      <c r="R39" s="433">
        <f>P30/R38</f>
        <v>0.38842752372735118</v>
      </c>
      <c r="S39"/>
      <c r="T39" s="255"/>
    </row>
    <row r="40" spans="1:24" s="229" customFormat="1" ht="17.399999999999999" x14ac:dyDescent="0.35">
      <c r="G40"/>
      <c r="H40" s="258"/>
      <c r="I40" s="258"/>
      <c r="J40" s="258"/>
      <c r="K40" s="229">
        <v>65450</v>
      </c>
      <c r="L40" s="248"/>
      <c r="M40" s="14"/>
      <c r="N40" s="12"/>
      <c r="O40" s="12">
        <f>O39/P28</f>
        <v>90010.512286547266</v>
      </c>
      <c r="P40" s="44" t="s">
        <v>24</v>
      </c>
      <c r="Q40" s="14"/>
      <c r="R40" s="14"/>
      <c r="S40"/>
      <c r="T40" s="237"/>
      <c r="U40" s="58" t="s">
        <v>154</v>
      </c>
      <c r="V40" s="290">
        <v>43650</v>
      </c>
    </row>
    <row r="41" spans="1:24" s="229" customFormat="1" ht="17.399999999999999" x14ac:dyDescent="0.35">
      <c r="G41"/>
      <c r="K41" s="229">
        <f>K40/1.19</f>
        <v>55000</v>
      </c>
      <c r="L41" s="248"/>
      <c r="M41" s="13"/>
      <c r="N41" s="14"/>
      <c r="O41" s="17">
        <f>O39/O38</f>
        <v>2.2000000000000002</v>
      </c>
      <c r="P41" s="15"/>
      <c r="Q41"/>
      <c r="R41"/>
      <c r="S41"/>
      <c r="T41" s="237"/>
      <c r="U41" s="58" t="s">
        <v>156</v>
      </c>
      <c r="V41" s="291" t="s">
        <v>155</v>
      </c>
      <c r="W41" s="58">
        <v>2.4</v>
      </c>
    </row>
    <row r="42" spans="1:24" s="229" customFormat="1" ht="17.399999999999999" x14ac:dyDescent="0.35">
      <c r="G42" s="23"/>
      <c r="L42" s="12"/>
      <c r="T42" s="237"/>
      <c r="U42" s="58" t="s">
        <v>157</v>
      </c>
      <c r="V42" s="292">
        <v>395.37</v>
      </c>
    </row>
    <row r="43" spans="1:24" s="229" customFormat="1" ht="17.399999999999999" x14ac:dyDescent="0.35">
      <c r="B43"/>
      <c r="C43" s="227"/>
      <c r="D43" s="22"/>
      <c r="E43" s="22"/>
      <c r="F43" s="21"/>
      <c r="G43" s="23"/>
      <c r="L43" s="12"/>
      <c r="T43" s="237"/>
      <c r="U43" s="58" t="s">
        <v>152</v>
      </c>
      <c r="V43" s="58">
        <v>474.45</v>
      </c>
    </row>
    <row r="44" spans="1:24" ht="14.4" customHeight="1" x14ac:dyDescent="0.3">
      <c r="L44" s="12"/>
      <c r="U44" s="58"/>
      <c r="V44" s="58"/>
    </row>
    <row r="45" spans="1:24" x14ac:dyDescent="0.3">
      <c r="L45" s="248"/>
    </row>
    <row r="46" spans="1:24" x14ac:dyDescent="0.3">
      <c r="L46" s="248"/>
      <c r="T46" s="268"/>
    </row>
    <row r="47" spans="1:24" x14ac:dyDescent="0.3">
      <c r="L47" s="248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3"/>
      <c r="P52" s="53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2"/>
    </row>
    <row r="65" spans="3:15" x14ac:dyDescent="0.3">
      <c r="O65" s="42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1">
    <mergeCell ref="B19:H19"/>
  </mergeCells>
  <phoneticPr fontId="30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105</v>
      </c>
      <c r="C2" s="47"/>
      <c r="D2" s="47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46048</v>
      </c>
    </row>
    <row r="6" spans="2:31" ht="16.2" thickBot="1" x14ac:dyDescent="0.35">
      <c r="B6" s="139" t="s">
        <v>2</v>
      </c>
      <c r="C6" s="138" t="str">
        <f>'2229'!C10</f>
        <v>PATRICIA FUENTES</v>
      </c>
      <c r="D6" s="137"/>
      <c r="E6" s="137"/>
      <c r="F6" s="137"/>
      <c r="N6" s="74" t="s">
        <v>104</v>
      </c>
      <c r="O6" s="74"/>
      <c r="P6" s="141" t="s">
        <v>103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438" t="s">
        <v>98</v>
      </c>
      <c r="I7" s="439"/>
      <c r="J7" s="439"/>
      <c r="K7" s="440"/>
      <c r="N7" s="74"/>
      <c r="O7" s="437" t="s">
        <v>102</v>
      </c>
      <c r="P7" s="140" t="s">
        <v>101</v>
      </c>
      <c r="Q7" s="140"/>
    </row>
    <row r="8" spans="2:31" ht="16.2" thickBot="1" x14ac:dyDescent="0.35">
      <c r="B8" s="139" t="s">
        <v>100</v>
      </c>
      <c r="C8" s="138" t="str">
        <f>'2229'!D8</f>
        <v>N° 11847</v>
      </c>
      <c r="D8" s="137"/>
      <c r="E8" s="137"/>
      <c r="F8" s="137"/>
      <c r="H8" s="181" t="s">
        <v>117</v>
      </c>
      <c r="I8" s="153" t="s">
        <v>116</v>
      </c>
      <c r="J8" s="226" t="s">
        <v>95</v>
      </c>
      <c r="K8" s="134" t="s">
        <v>6</v>
      </c>
      <c r="L8" s="133" t="s">
        <v>6</v>
      </c>
      <c r="N8" s="74"/>
      <c r="O8" s="437"/>
      <c r="P8" s="74" t="s">
        <v>99</v>
      </c>
      <c r="Q8" s="74"/>
      <c r="X8">
        <f>SUM(Q11:Q16)</f>
        <v>6</v>
      </c>
    </row>
    <row r="9" spans="2:31" ht="15" thickBot="1" x14ac:dyDescent="0.35">
      <c r="H9" s="196" t="s">
        <v>96</v>
      </c>
      <c r="I9" s="197" t="s">
        <v>115</v>
      </c>
      <c r="J9" s="182" t="s">
        <v>92</v>
      </c>
      <c r="K9" s="155"/>
      <c r="L9" s="101">
        <f>SUM(K10:K23)</f>
        <v>2550</v>
      </c>
      <c r="S9" s="27" t="s">
        <v>9</v>
      </c>
      <c r="T9" s="27"/>
      <c r="W9" s="8"/>
      <c r="X9" s="175">
        <f>(E15-D11)/X8</f>
        <v>-26187.464200120772</v>
      </c>
    </row>
    <row r="10" spans="2:31" ht="16.2" thickBot="1" x14ac:dyDescent="0.35">
      <c r="D10" s="217" t="s">
        <v>28</v>
      </c>
      <c r="E10" s="218" t="s">
        <v>51</v>
      </c>
      <c r="F10" s="219" t="s">
        <v>6</v>
      </c>
      <c r="H10" s="189">
        <v>3</v>
      </c>
      <c r="I10" s="203">
        <v>350</v>
      </c>
      <c r="J10" s="200" t="s">
        <v>32</v>
      </c>
      <c r="K10" s="156">
        <f t="shared" ref="K10:K23" si="0">I10*H10</f>
        <v>1050</v>
      </c>
      <c r="Q10" s="27" t="s">
        <v>7</v>
      </c>
      <c r="R10" s="27" t="s">
        <v>1</v>
      </c>
      <c r="S10" s="27" t="s">
        <v>10</v>
      </c>
      <c r="T10" s="27" t="s">
        <v>11</v>
      </c>
      <c r="U10" s="27" t="s">
        <v>8</v>
      </c>
      <c r="V10" s="27" t="s">
        <v>5</v>
      </c>
      <c r="W10" s="27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93</v>
      </c>
      <c r="D11" s="132">
        <f>'2229'!H26</f>
        <v>234058</v>
      </c>
      <c r="E11" s="131">
        <f>D11*0.19</f>
        <v>44471.020000000004</v>
      </c>
      <c r="F11" s="130">
        <f>E11+D11</f>
        <v>278529.02</v>
      </c>
      <c r="H11" s="190">
        <v>3</v>
      </c>
      <c r="I11" s="173">
        <v>500</v>
      </c>
      <c r="J11" s="147" t="s">
        <v>22</v>
      </c>
      <c r="K11" s="157">
        <f t="shared" si="0"/>
        <v>1500</v>
      </c>
      <c r="Q11" s="7">
        <v>1</v>
      </c>
      <c r="R11" s="7" t="s">
        <v>35</v>
      </c>
      <c r="S11" s="50">
        <v>2.8</v>
      </c>
      <c r="T11" s="50">
        <v>0.62</v>
      </c>
      <c r="U11" s="7" t="s">
        <v>38</v>
      </c>
      <c r="V11" s="54">
        <v>105990</v>
      </c>
      <c r="W11" s="48">
        <f t="shared" ref="W11:W18" si="1">V11*Q11</f>
        <v>105990</v>
      </c>
      <c r="X11" s="175">
        <f t="shared" ref="X11:X16" si="2">V11+$X$9</f>
        <v>79802.535799879231</v>
      </c>
      <c r="Y11" s="174">
        <v>108990</v>
      </c>
      <c r="AA11" s="6"/>
      <c r="AB11" s="6"/>
      <c r="AC11" s="224"/>
      <c r="AD11" s="52"/>
      <c r="AE11" s="221"/>
    </row>
    <row r="12" spans="2:31" ht="16.2" thickBot="1" x14ac:dyDescent="0.35">
      <c r="C12" s="136" t="s">
        <v>97</v>
      </c>
      <c r="D12" s="135">
        <f>SUM(M43:M45)</f>
        <v>46626.190787439613</v>
      </c>
      <c r="F12" s="60"/>
      <c r="H12" s="190">
        <v>0</v>
      </c>
      <c r="I12" s="173">
        <v>7500</v>
      </c>
      <c r="J12" s="149" t="s">
        <v>111</v>
      </c>
      <c r="K12" s="157">
        <f t="shared" si="0"/>
        <v>0</v>
      </c>
      <c r="L12" s="60"/>
      <c r="Q12" s="7">
        <v>1</v>
      </c>
      <c r="R12" s="7" t="s">
        <v>35</v>
      </c>
      <c r="S12" s="50">
        <v>2.2999999999999998</v>
      </c>
      <c r="T12" s="50">
        <v>0.62</v>
      </c>
      <c r="U12" s="7" t="s">
        <v>38</v>
      </c>
      <c r="V12" s="54">
        <v>87990</v>
      </c>
      <c r="W12" s="48">
        <f t="shared" si="1"/>
        <v>87990</v>
      </c>
      <c r="X12" s="175">
        <f t="shared" si="2"/>
        <v>61802.535799879231</v>
      </c>
      <c r="Y12" s="174">
        <v>89990</v>
      </c>
      <c r="Z12" s="2"/>
      <c r="AA12" s="222"/>
      <c r="AB12" s="223"/>
      <c r="AC12" s="224"/>
      <c r="AD12" s="52"/>
      <c r="AE12" s="221"/>
    </row>
    <row r="13" spans="2:31" ht="16.2" thickBot="1" x14ac:dyDescent="0.35">
      <c r="C13" s="211" t="s">
        <v>91</v>
      </c>
      <c r="D13" s="216">
        <f>D11-D12</f>
        <v>187431.80921256039</v>
      </c>
      <c r="E13" s="220">
        <f>(D11/D12)-1</f>
        <v>4.0198825176825652</v>
      </c>
      <c r="H13" s="190">
        <v>0</v>
      </c>
      <c r="I13" s="173">
        <v>50</v>
      </c>
      <c r="J13" s="149" t="s">
        <v>112</v>
      </c>
      <c r="K13" s="157">
        <f t="shared" si="0"/>
        <v>0</v>
      </c>
      <c r="L13" s="60"/>
      <c r="Q13" s="7">
        <v>1</v>
      </c>
      <c r="R13" s="7" t="s">
        <v>35</v>
      </c>
      <c r="S13" s="50">
        <v>2.0299999999999998</v>
      </c>
      <c r="T13" s="50">
        <v>0.62</v>
      </c>
      <c r="U13" s="7" t="s">
        <v>38</v>
      </c>
      <c r="V13" s="54">
        <v>78990</v>
      </c>
      <c r="W13" s="48">
        <f t="shared" si="1"/>
        <v>78990</v>
      </c>
      <c r="X13" s="175">
        <f t="shared" si="2"/>
        <v>52802.535799879231</v>
      </c>
      <c r="Y13" s="174">
        <v>81990</v>
      </c>
      <c r="Z13" s="2"/>
      <c r="AA13" s="222"/>
      <c r="AB13" s="223"/>
      <c r="AC13" s="224"/>
      <c r="AD13" s="52"/>
      <c r="AE13" s="221"/>
    </row>
    <row r="14" spans="2:31" ht="15" thickBot="1" x14ac:dyDescent="0.35">
      <c r="D14" s="145" t="s">
        <v>122</v>
      </c>
      <c r="E14" s="178" t="s">
        <v>28</v>
      </c>
      <c r="F14" s="177" t="s">
        <v>110</v>
      </c>
      <c r="H14" s="190">
        <v>0</v>
      </c>
      <c r="I14" s="173">
        <v>50</v>
      </c>
      <c r="J14" s="149" t="s">
        <v>113</v>
      </c>
      <c r="K14" s="157">
        <f t="shared" si="0"/>
        <v>0</v>
      </c>
      <c r="L14" s="60"/>
      <c r="P14" s="125"/>
      <c r="Q14" s="7">
        <v>1</v>
      </c>
      <c r="R14" s="7" t="s">
        <v>35</v>
      </c>
      <c r="S14" s="50">
        <v>1.08</v>
      </c>
      <c r="T14" s="50">
        <v>0.62</v>
      </c>
      <c r="U14" s="7" t="s">
        <v>38</v>
      </c>
      <c r="V14" s="54">
        <v>39990</v>
      </c>
      <c r="W14" s="48">
        <f t="shared" si="1"/>
        <v>39990</v>
      </c>
      <c r="X14" s="175">
        <f t="shared" si="2"/>
        <v>13802.535799879228</v>
      </c>
      <c r="Y14" s="174">
        <v>39990</v>
      </c>
      <c r="Z14" s="2"/>
      <c r="AA14" s="222"/>
      <c r="AB14" s="223"/>
      <c r="AC14" s="224"/>
      <c r="AD14" s="52"/>
      <c r="AE14" s="221"/>
    </row>
    <row r="15" spans="2:31" ht="15" thickBot="1" x14ac:dyDescent="0.35">
      <c r="C15" s="212" t="s">
        <v>121</v>
      </c>
      <c r="D15" s="213">
        <v>0.65</v>
      </c>
      <c r="E15" s="214">
        <f>(100%+D15)*D12</f>
        <v>76933.21479927536</v>
      </c>
      <c r="F15" s="215">
        <f>E15-D12</f>
        <v>30307.024011835747</v>
      </c>
      <c r="H15" s="190">
        <v>0</v>
      </c>
      <c r="I15" s="173">
        <v>10</v>
      </c>
      <c r="J15" s="149" t="s">
        <v>114</v>
      </c>
      <c r="K15" s="157">
        <f t="shared" si="0"/>
        <v>0</v>
      </c>
      <c r="L15" s="60"/>
      <c r="Q15" s="7">
        <v>1</v>
      </c>
      <c r="R15" s="7" t="s">
        <v>35</v>
      </c>
      <c r="S15" s="50">
        <v>1.08</v>
      </c>
      <c r="T15" s="50">
        <v>0.62</v>
      </c>
      <c r="U15" s="7" t="s">
        <v>38</v>
      </c>
      <c r="V15" s="54">
        <v>39990</v>
      </c>
      <c r="W15" s="48">
        <f t="shared" si="1"/>
        <v>39990</v>
      </c>
      <c r="X15" s="175">
        <f t="shared" si="2"/>
        <v>13802.535799879228</v>
      </c>
      <c r="Y15" s="174">
        <v>39990</v>
      </c>
      <c r="Z15" s="100"/>
      <c r="AA15" s="100"/>
      <c r="AB15" s="123"/>
      <c r="AD15" s="39"/>
      <c r="AE15" s="40"/>
    </row>
    <row r="16" spans="2:31" ht="15" thickBot="1" x14ac:dyDescent="0.35">
      <c r="H16" s="191">
        <v>1</v>
      </c>
      <c r="I16" s="201"/>
      <c r="J16" s="147" t="s">
        <v>90</v>
      </c>
      <c r="K16" s="157">
        <f t="shared" si="0"/>
        <v>0</v>
      </c>
      <c r="L16" s="60"/>
      <c r="Q16" s="7">
        <v>1</v>
      </c>
      <c r="R16" s="7" t="s">
        <v>35</v>
      </c>
      <c r="S16" s="50">
        <v>2.06</v>
      </c>
      <c r="T16" s="50">
        <v>0.62</v>
      </c>
      <c r="U16" s="7" t="s">
        <v>38</v>
      </c>
      <c r="V16" s="54">
        <v>79990</v>
      </c>
      <c r="W16" s="48">
        <f t="shared" si="1"/>
        <v>79990</v>
      </c>
      <c r="X16" s="175">
        <f t="shared" si="2"/>
        <v>53802.535799879231</v>
      </c>
      <c r="Y16" s="174">
        <v>83990</v>
      </c>
      <c r="Z16" s="100"/>
      <c r="AA16" s="100"/>
      <c r="AB16" s="38"/>
      <c r="AC16" s="38"/>
      <c r="AD16" s="41"/>
      <c r="AE16" s="41"/>
    </row>
    <row r="17" spans="1:31" ht="15" thickBot="1" x14ac:dyDescent="0.35">
      <c r="B17" s="129" t="s">
        <v>88</v>
      </c>
      <c r="C17" s="128" t="s">
        <v>87</v>
      </c>
      <c r="D17" s="128" t="s">
        <v>28</v>
      </c>
      <c r="E17" s="127" t="s">
        <v>51</v>
      </c>
      <c r="F17" s="126" t="s">
        <v>6</v>
      </c>
      <c r="H17" s="192">
        <v>1</v>
      </c>
      <c r="I17" s="201"/>
      <c r="J17" s="187" t="s">
        <v>89</v>
      </c>
      <c r="K17" s="157">
        <f t="shared" si="0"/>
        <v>0</v>
      </c>
      <c r="L17" s="60"/>
      <c r="Q17" s="7">
        <v>6</v>
      </c>
      <c r="R17" s="7" t="s">
        <v>36</v>
      </c>
      <c r="S17" s="50"/>
      <c r="T17" s="50"/>
      <c r="U17" s="7"/>
      <c r="V17" s="54">
        <v>5000</v>
      </c>
      <c r="W17" s="48">
        <f t="shared" si="1"/>
        <v>30000</v>
      </c>
      <c r="X17" s="105"/>
      <c r="Y17" s="14"/>
      <c r="Z17" s="100"/>
      <c r="AA17" s="100"/>
      <c r="AB17" s="45"/>
    </row>
    <row r="18" spans="1:31" x14ac:dyDescent="0.3">
      <c r="C18" s="124" t="s">
        <v>85</v>
      </c>
      <c r="D18" s="121">
        <f>'2229'!O34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86</v>
      </c>
      <c r="K18" s="157">
        <f t="shared" si="0"/>
        <v>0</v>
      </c>
      <c r="L18" s="60"/>
      <c r="Q18" s="7">
        <v>1</v>
      </c>
      <c r="R18" s="55" t="s">
        <v>37</v>
      </c>
      <c r="S18" s="50"/>
      <c r="T18" s="50"/>
      <c r="U18" s="7"/>
      <c r="V18" s="48">
        <v>10000</v>
      </c>
      <c r="W18" s="48">
        <f t="shared" si="1"/>
        <v>10000</v>
      </c>
      <c r="X18" s="105"/>
    </row>
    <row r="19" spans="1:31" x14ac:dyDescent="0.3">
      <c r="C19" s="78" t="s">
        <v>31</v>
      </c>
      <c r="D19" s="121">
        <f>'2229'!O33</f>
        <v>11750</v>
      </c>
      <c r="E19" s="122">
        <f>D19*0.19</f>
        <v>2232.5</v>
      </c>
      <c r="F19" s="119">
        <f>SUM(D19:E19)</f>
        <v>13982.5</v>
      </c>
      <c r="H19" s="191">
        <v>1</v>
      </c>
      <c r="I19" s="201"/>
      <c r="J19" s="183" t="s">
        <v>84</v>
      </c>
      <c r="K19" s="157">
        <f t="shared" si="0"/>
        <v>0</v>
      </c>
      <c r="L19" s="60"/>
      <c r="Q19" s="16"/>
      <c r="T19" s="5"/>
      <c r="U19" s="6"/>
      <c r="V19" s="29" t="s">
        <v>28</v>
      </c>
      <c r="W19" s="33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21</v>
      </c>
      <c r="D20" s="121">
        <f>'2229'!O32</f>
        <v>5042.1000000000004</v>
      </c>
      <c r="E20" s="120">
        <f>D20*0.19</f>
        <v>957.99900000000002</v>
      </c>
      <c r="F20" s="119">
        <f>SUM(D20:E20)</f>
        <v>6000.0990000000002</v>
      </c>
      <c r="H20" s="191">
        <v>1</v>
      </c>
      <c r="I20" s="201"/>
      <c r="J20" s="183" t="s">
        <v>83</v>
      </c>
      <c r="K20" s="157">
        <f t="shared" si="0"/>
        <v>0</v>
      </c>
      <c r="V20" s="30" t="s">
        <v>29</v>
      </c>
      <c r="W20" s="34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16792.099999999999</v>
      </c>
      <c r="E21" s="115">
        <f>SUM(E18:E20)</f>
        <v>3190.4989999999998</v>
      </c>
      <c r="F21" s="114">
        <f>SUM(F18:F20)</f>
        <v>19982.599000000002</v>
      </c>
      <c r="H21" s="191">
        <v>1</v>
      </c>
      <c r="I21" s="201"/>
      <c r="J21" s="183" t="s">
        <v>82</v>
      </c>
      <c r="K21" s="157">
        <f t="shared" si="0"/>
        <v>0</v>
      </c>
      <c r="M21" s="152">
        <f>B32/9</f>
        <v>2318.840579710145</v>
      </c>
      <c r="Q21" s="49" t="s">
        <v>39</v>
      </c>
      <c r="R21" s="49"/>
      <c r="S21" s="49"/>
      <c r="V21" s="31" t="s">
        <v>6</v>
      </c>
      <c r="W21" s="34">
        <f>W19+W20</f>
        <v>562798.6</v>
      </c>
      <c r="X21" s="105"/>
      <c r="Y21" s="176">
        <f>SUM(Y19:Y20)</f>
        <v>577078.6</v>
      </c>
      <c r="Z21" s="100"/>
      <c r="AA21" s="100"/>
      <c r="AB21" s="38"/>
      <c r="AC21" s="4"/>
      <c r="AE21" s="4"/>
    </row>
    <row r="22" spans="1:31" ht="15" thickBot="1" x14ac:dyDescent="0.35">
      <c r="A22" s="79">
        <f>450000*1.2</f>
        <v>540000</v>
      </c>
      <c r="B22" s="113" t="s">
        <v>80</v>
      </c>
      <c r="C22" s="112" t="s">
        <v>79</v>
      </c>
      <c r="D22" s="111" t="s">
        <v>78</v>
      </c>
      <c r="E22" s="110" t="s">
        <v>77</v>
      </c>
      <c r="F22" s="109" t="s">
        <v>6</v>
      </c>
      <c r="H22" s="191">
        <v>1</v>
      </c>
      <c r="I22" s="201"/>
      <c r="J22" s="147" t="s">
        <v>81</v>
      </c>
      <c r="K22" s="157">
        <f t="shared" si="0"/>
        <v>0</v>
      </c>
      <c r="M22" s="104"/>
      <c r="N22" s="57"/>
      <c r="Q22" s="49" t="s">
        <v>34</v>
      </c>
      <c r="R22" s="49"/>
      <c r="S22" s="49"/>
      <c r="T22" s="49"/>
      <c r="X22" s="95"/>
      <c r="Y22" s="14"/>
      <c r="Z22" s="100"/>
      <c r="AA22" s="100"/>
      <c r="AB22" s="38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25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76</v>
      </c>
      <c r="K23" s="157">
        <f t="shared" si="0"/>
        <v>0</v>
      </c>
      <c r="M23" s="104"/>
      <c r="N23" s="57"/>
      <c r="Q23" s="49" t="s">
        <v>27</v>
      </c>
      <c r="R23" s="49"/>
      <c r="X23" s="103"/>
      <c r="Y23" s="26"/>
      <c r="Z23" s="100"/>
      <c r="AA23" s="100"/>
      <c r="AB23" s="14"/>
      <c r="AC23" s="11"/>
      <c r="AD23" s="42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74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117</v>
      </c>
      <c r="I24" s="154" t="s">
        <v>115</v>
      </c>
      <c r="J24" s="180" t="s">
        <v>75</v>
      </c>
      <c r="K24" s="151" t="s">
        <v>94</v>
      </c>
      <c r="L24" s="101">
        <f>SUM(K25:K35)</f>
        <v>0</v>
      </c>
      <c r="X24" s="100"/>
      <c r="Y24" s="100"/>
      <c r="Z24" s="100"/>
      <c r="AA24" s="100"/>
      <c r="AB24" s="14"/>
      <c r="AD24" s="42"/>
    </row>
    <row r="25" spans="1:31" x14ac:dyDescent="0.3">
      <c r="A25" s="79">
        <v>450000</v>
      </c>
      <c r="B25" s="102">
        <f>A23/23</f>
        <v>41739.130434782608</v>
      </c>
      <c r="C25" s="78" t="s">
        <v>73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108</v>
      </c>
      <c r="K25" s="148">
        <f t="shared" ref="K25:K35" si="5">H25*I25</f>
        <v>0</v>
      </c>
      <c r="X25" s="100"/>
      <c r="Z25" s="100"/>
      <c r="AA25" s="100"/>
      <c r="AB25" s="38"/>
      <c r="AD25" s="42"/>
    </row>
    <row r="26" spans="1:31" x14ac:dyDescent="0.3">
      <c r="A26" s="79"/>
      <c r="B26" s="102">
        <f>A24/23</f>
        <v>19565.217391304348</v>
      </c>
      <c r="C26" s="78" t="s">
        <v>71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72</v>
      </c>
      <c r="K26" s="96">
        <f t="shared" si="5"/>
        <v>0</v>
      </c>
      <c r="L26" s="60"/>
      <c r="X26" s="95"/>
      <c r="Z26" s="100"/>
      <c r="AA26" s="100"/>
      <c r="AB26" s="14"/>
      <c r="AD26" s="43"/>
    </row>
    <row r="27" spans="1:31" x14ac:dyDescent="0.3">
      <c r="A27" s="79">
        <v>350000</v>
      </c>
      <c r="B27" s="102">
        <f>A25/23</f>
        <v>19565.217391304348</v>
      </c>
      <c r="C27" s="78" t="s">
        <v>70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69</v>
      </c>
      <c r="K27" s="96">
        <f t="shared" si="5"/>
        <v>0</v>
      </c>
      <c r="L27" s="60"/>
      <c r="X27" s="95"/>
      <c r="Z27" s="100"/>
      <c r="AA27" s="100"/>
      <c r="AB27" s="44"/>
    </row>
    <row r="28" spans="1:31" x14ac:dyDescent="0.3">
      <c r="A28" s="79">
        <v>500000</v>
      </c>
      <c r="B28" s="102">
        <f>A27/23</f>
        <v>15217.391304347826</v>
      </c>
      <c r="C28" s="78" t="s">
        <v>68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106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67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118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22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119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65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120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64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41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40</v>
      </c>
      <c r="K33" s="96">
        <f t="shared" si="5"/>
        <v>0</v>
      </c>
    </row>
    <row r="34" spans="2:16" ht="15" thickBot="1" x14ac:dyDescent="0.35">
      <c r="B34" s="82" t="s">
        <v>63</v>
      </c>
      <c r="C34" s="81" t="s">
        <v>62</v>
      </c>
      <c r="D34" s="80">
        <f>L9</f>
        <v>2550</v>
      </c>
      <c r="H34" s="191">
        <v>1</v>
      </c>
      <c r="I34" s="173"/>
      <c r="J34" s="147" t="s">
        <v>107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61</v>
      </c>
      <c r="D35" s="77">
        <f>L24</f>
        <v>0</v>
      </c>
      <c r="H35" s="193">
        <v>6</v>
      </c>
      <c r="I35" s="205"/>
      <c r="J35" s="179" t="s">
        <v>109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59</v>
      </c>
      <c r="D36" s="77">
        <f>L36</f>
        <v>18467.665666666668</v>
      </c>
      <c r="E36" s="57"/>
      <c r="H36" s="150" t="s">
        <v>96</v>
      </c>
      <c r="I36" s="154" t="s">
        <v>115</v>
      </c>
      <c r="J36" s="188" t="s">
        <v>66</v>
      </c>
      <c r="K36" s="151" t="s">
        <v>94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42</v>
      </c>
      <c r="D37" s="72"/>
      <c r="H37" s="198">
        <f>$E$33</f>
        <v>3.9000000000000004</v>
      </c>
      <c r="I37" s="203">
        <f>32609.69/9</f>
        <v>3623.2988888888885</v>
      </c>
      <c r="J37" s="186" t="s">
        <v>45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43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44</v>
      </c>
      <c r="K39" s="83">
        <f>I39*H39</f>
        <v>565.5</v>
      </c>
    </row>
    <row r="40" spans="2:16" ht="15" thickBot="1" x14ac:dyDescent="0.35">
      <c r="B40" s="67" t="s">
        <v>52</v>
      </c>
      <c r="C40" s="66" t="s">
        <v>51</v>
      </c>
      <c r="D40" s="65">
        <f>E11-E21</f>
        <v>41280.521000000008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4" t="s">
        <v>46</v>
      </c>
      <c r="C42" s="74"/>
      <c r="D42" s="206">
        <f>E33</f>
        <v>3.9000000000000004</v>
      </c>
      <c r="H42" s="76" t="s">
        <v>58</v>
      </c>
      <c r="I42" s="158" t="s">
        <v>57</v>
      </c>
      <c r="J42" s="159"/>
      <c r="K42" s="159"/>
      <c r="L42" s="160"/>
      <c r="M42" s="75">
        <f>D11</f>
        <v>234058</v>
      </c>
    </row>
    <row r="43" spans="2:16" ht="15" thickBot="1" x14ac:dyDescent="0.35">
      <c r="D43" s="56"/>
      <c r="H43" s="71" t="s">
        <v>56</v>
      </c>
      <c r="I43" s="161" t="s">
        <v>55</v>
      </c>
      <c r="J43" s="162"/>
      <c r="K43" s="162"/>
      <c r="L43" s="163"/>
      <c r="M43" s="63">
        <f>D21</f>
        <v>16792.099999999999</v>
      </c>
    </row>
    <row r="44" spans="2:16" x14ac:dyDescent="0.3">
      <c r="D44" s="56"/>
      <c r="I44" s="164" t="s">
        <v>54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53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50</v>
      </c>
      <c r="J46" s="171"/>
      <c r="K46" s="171"/>
      <c r="L46" s="172"/>
      <c r="M46" s="61">
        <f>M42-(SUM(M43:M45))</f>
        <v>187431.80921256039</v>
      </c>
    </row>
    <row r="47" spans="2:16" x14ac:dyDescent="0.3">
      <c r="I47" s="161" t="s">
        <v>49</v>
      </c>
      <c r="J47" s="162"/>
      <c r="K47" s="162"/>
      <c r="L47" s="163"/>
      <c r="M47" s="63"/>
    </row>
    <row r="48" spans="2:16" ht="15" thickBot="1" x14ac:dyDescent="0.35">
      <c r="D48" s="59"/>
      <c r="I48" s="167" t="s">
        <v>48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47</v>
      </c>
      <c r="J49" s="171"/>
      <c r="K49" s="171"/>
      <c r="L49" s="172"/>
      <c r="M49" s="61">
        <f>M46-SUM(M47:M48)</f>
        <v>187431.80921256039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7"/>
      <c r="B1" s="137"/>
      <c r="C1" s="137"/>
      <c r="D1" s="137"/>
      <c r="E1" s="137"/>
      <c r="F1" s="137"/>
      <c r="G1" s="137"/>
      <c r="H1" s="137"/>
      <c r="I1" s="137"/>
    </row>
    <row r="2" spans="1:17" ht="15.6" x14ac:dyDescent="0.3">
      <c r="A2" s="137"/>
      <c r="B2" s="137"/>
      <c r="C2" s="137"/>
      <c r="D2" s="137"/>
      <c r="E2" s="137"/>
      <c r="F2" s="241" t="s">
        <v>140</v>
      </c>
      <c r="G2" s="137"/>
      <c r="H2" s="137"/>
      <c r="I2" s="137"/>
    </row>
    <row r="3" spans="1:17" ht="15.6" x14ac:dyDescent="0.3">
      <c r="A3" s="137"/>
      <c r="B3" s="137"/>
      <c r="C3" s="137"/>
      <c r="D3" s="137"/>
      <c r="E3" s="137"/>
      <c r="F3" s="137" t="s">
        <v>136</v>
      </c>
      <c r="G3" s="137"/>
      <c r="H3" s="137"/>
      <c r="I3" s="137"/>
    </row>
    <row r="4" spans="1:17" ht="15.6" x14ac:dyDescent="0.3">
      <c r="A4" s="137"/>
      <c r="B4" s="137"/>
      <c r="C4" s="137"/>
      <c r="D4" s="137"/>
      <c r="E4" s="137"/>
      <c r="F4" s="137" t="s">
        <v>141</v>
      </c>
      <c r="G4" s="137"/>
      <c r="H4" s="137"/>
      <c r="I4" s="137"/>
    </row>
    <row r="5" spans="1:17" ht="15.6" x14ac:dyDescent="0.3">
      <c r="A5" s="137"/>
      <c r="B5" s="137"/>
      <c r="C5" s="137"/>
      <c r="D5" s="137"/>
      <c r="E5" s="137"/>
      <c r="F5" s="137" t="s">
        <v>14</v>
      </c>
      <c r="G5" s="137"/>
      <c r="H5" s="137"/>
      <c r="I5" s="137"/>
    </row>
    <row r="6" spans="1:17" ht="15.6" x14ac:dyDescent="0.3">
      <c r="A6" s="137"/>
      <c r="B6" s="137"/>
      <c r="C6" s="137"/>
      <c r="D6" s="137"/>
      <c r="E6" s="137"/>
      <c r="F6" s="137" t="s">
        <v>162</v>
      </c>
      <c r="G6" s="137"/>
      <c r="H6" s="137"/>
      <c r="I6" s="137"/>
    </row>
    <row r="7" spans="1:17" ht="16.2" thickBot="1" x14ac:dyDescent="0.35">
      <c r="A7" s="137"/>
      <c r="B7" s="137"/>
      <c r="C7" s="137"/>
      <c r="D7" s="137"/>
      <c r="E7" s="137"/>
      <c r="F7" s="137" t="s">
        <v>163</v>
      </c>
      <c r="G7" s="137"/>
      <c r="H7" s="137"/>
      <c r="I7" s="137"/>
    </row>
    <row r="8" spans="1:17" ht="16.2" thickBot="1" x14ac:dyDescent="0.35">
      <c r="A8" s="137"/>
      <c r="B8" s="314" t="s">
        <v>125</v>
      </c>
      <c r="C8" s="315"/>
      <c r="D8" s="316" t="str">
        <f>'2229'!D8</f>
        <v>N° 11847</v>
      </c>
      <c r="E8" s="137"/>
      <c r="F8" s="317" t="s">
        <v>164</v>
      </c>
      <c r="G8" s="318"/>
      <c r="H8" s="137"/>
      <c r="I8" s="137"/>
    </row>
    <row r="9" spans="1:17" ht="16.2" thickBot="1" x14ac:dyDescent="0.35">
      <c r="A9" s="137"/>
      <c r="B9" s="137"/>
      <c r="C9" s="137"/>
      <c r="D9" s="137"/>
      <c r="E9" s="137"/>
      <c r="F9" s="137"/>
      <c r="G9" s="137"/>
      <c r="H9" s="137"/>
      <c r="I9" s="137"/>
    </row>
    <row r="10" spans="1:17" ht="15.6" x14ac:dyDescent="0.3">
      <c r="A10" s="137"/>
      <c r="B10" s="348" t="s">
        <v>165</v>
      </c>
      <c r="C10" s="349" t="str">
        <f>IF('2229'!C10="","",'2229'!C10)</f>
        <v>PATRICIA FUENTES</v>
      </c>
      <c r="D10" s="349"/>
      <c r="E10" s="349"/>
      <c r="F10" s="350" t="s">
        <v>166</v>
      </c>
      <c r="G10" s="351">
        <f>'2229'!G10</f>
        <v>46048</v>
      </c>
      <c r="H10" s="352"/>
      <c r="I10" s="137"/>
      <c r="J10" s="137"/>
      <c r="K10" s="137"/>
      <c r="L10" s="137"/>
      <c r="M10" s="137"/>
      <c r="N10" s="137"/>
      <c r="O10" s="137"/>
      <c r="P10" s="137"/>
      <c r="Q10" s="137"/>
    </row>
    <row r="11" spans="1:17" ht="15.6" x14ac:dyDescent="0.3">
      <c r="A11" s="137"/>
      <c r="B11" s="338" t="s">
        <v>12</v>
      </c>
      <c r="C11" s="245" t="str">
        <f>IF('2229'!C11="","",'2229'!C11)</f>
        <v/>
      </c>
      <c r="D11" s="344"/>
      <c r="E11" s="344"/>
      <c r="F11" s="344" t="s">
        <v>167</v>
      </c>
      <c r="G11" s="339">
        <f>WORKDAY(G10,5)</f>
        <v>46055</v>
      </c>
      <c r="H11" s="340"/>
      <c r="I11" s="137"/>
    </row>
    <row r="12" spans="1:17" ht="15.6" x14ac:dyDescent="0.3">
      <c r="A12" s="137"/>
      <c r="B12" s="353" t="s">
        <v>168</v>
      </c>
      <c r="C12" s="354" t="str">
        <f>IF('2229'!C12="","",'2229'!C12)</f>
        <v/>
      </c>
      <c r="D12" s="354"/>
      <c r="E12" s="354"/>
      <c r="F12" s="354" t="s">
        <v>180</v>
      </c>
      <c r="G12" s="354" t="str">
        <f>'2229'!G14</f>
        <v>SI</v>
      </c>
      <c r="H12" s="355"/>
      <c r="I12" s="137"/>
    </row>
    <row r="13" spans="1:17" ht="15.6" x14ac:dyDescent="0.3">
      <c r="A13" s="137"/>
      <c r="B13" s="244" t="s">
        <v>143</v>
      </c>
      <c r="C13" s="245" t="str">
        <f>IF('2229'!C13="","",'2229'!C13)</f>
        <v/>
      </c>
      <c r="D13" s="245"/>
      <c r="E13" s="245"/>
      <c r="F13" s="245" t="s">
        <v>169</v>
      </c>
      <c r="G13" s="345"/>
      <c r="H13" s="246"/>
      <c r="I13" s="137"/>
    </row>
    <row r="14" spans="1:17" ht="15.6" x14ac:dyDescent="0.3">
      <c r="A14" s="137"/>
      <c r="B14" s="353" t="s">
        <v>137</v>
      </c>
      <c r="C14" s="354" t="str">
        <f>IF('2229'!C14="","",'2229'!C14)</f>
        <v/>
      </c>
      <c r="D14" s="354"/>
      <c r="E14" s="354"/>
      <c r="F14" s="354" t="s">
        <v>170</v>
      </c>
      <c r="G14" s="356" t="s">
        <v>171</v>
      </c>
      <c r="H14" s="355"/>
      <c r="I14" s="137"/>
    </row>
    <row r="15" spans="1:17" ht="15.6" x14ac:dyDescent="0.3">
      <c r="A15" s="137"/>
      <c r="B15" s="338" t="s">
        <v>4</v>
      </c>
      <c r="C15" s="245" t="str">
        <f>IF('2229'!C15="","",'2229'!C15)</f>
        <v>569 5004 7025</v>
      </c>
      <c r="D15" s="346"/>
      <c r="E15" s="344"/>
      <c r="F15" s="344" t="s">
        <v>172</v>
      </c>
      <c r="G15" s="344" t="str">
        <f>'2229'!G12</f>
        <v>NO</v>
      </c>
      <c r="H15" s="340"/>
      <c r="I15" s="137"/>
    </row>
    <row r="16" spans="1:17" ht="15.6" x14ac:dyDescent="0.3">
      <c r="A16" s="137"/>
      <c r="B16" s="353" t="s">
        <v>3</v>
      </c>
      <c r="C16" s="354" t="str">
        <f>IF('2229'!C16="","",'2229'!C16)</f>
        <v/>
      </c>
      <c r="D16" s="354"/>
      <c r="E16" s="354"/>
      <c r="F16" s="354" t="s">
        <v>173</v>
      </c>
      <c r="G16" s="354" t="str">
        <f>'2229'!G16</f>
        <v>ABONO 50% SALDO C/ENTREGA</v>
      </c>
      <c r="H16" s="355"/>
      <c r="I16" s="137"/>
    </row>
    <row r="17" spans="1:16" ht="16.2" thickBot="1" x14ac:dyDescent="0.35">
      <c r="A17" s="137"/>
      <c r="B17" s="341" t="s">
        <v>13</v>
      </c>
      <c r="C17" s="347" t="str">
        <f>IF('2229'!C17="","",'2229'!C17)</f>
        <v>SANTIAGO</v>
      </c>
      <c r="D17" s="342"/>
      <c r="E17" s="343"/>
      <c r="F17" s="444" t="s">
        <v>174</v>
      </c>
      <c r="G17" s="444"/>
      <c r="H17" s="445"/>
      <c r="I17" s="137"/>
    </row>
    <row r="18" spans="1:16" ht="15.6" x14ac:dyDescent="0.3">
      <c r="A18" s="137"/>
      <c r="B18" s="137"/>
      <c r="C18" s="137"/>
      <c r="D18" s="137"/>
      <c r="E18" s="137"/>
      <c r="F18" s="137"/>
      <c r="G18" s="137"/>
      <c r="H18" s="137"/>
      <c r="I18" s="137"/>
    </row>
    <row r="19" spans="1:16" ht="16.2" thickBot="1" x14ac:dyDescent="0.35">
      <c r="A19" s="137"/>
      <c r="B19" s="137"/>
      <c r="C19" s="137"/>
      <c r="D19" s="137"/>
      <c r="E19" s="137"/>
      <c r="F19" s="137"/>
      <c r="G19" s="137"/>
      <c r="H19" s="137"/>
      <c r="I19" s="137"/>
    </row>
    <row r="20" spans="1:16" ht="16.2" thickBot="1" x14ac:dyDescent="0.35">
      <c r="A20" s="137"/>
      <c r="B20" s="446" t="s">
        <v>175</v>
      </c>
      <c r="C20" s="447"/>
      <c r="D20" s="447"/>
      <c r="E20" s="447"/>
      <c r="F20" s="447"/>
      <c r="G20" s="447"/>
      <c r="H20" s="448"/>
      <c r="I20" s="137"/>
    </row>
    <row r="21" spans="1:16" ht="16.2" thickBot="1" x14ac:dyDescent="0.35">
      <c r="A21" s="137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7"/>
    </row>
    <row r="22" spans="1:16" ht="15.6" x14ac:dyDescent="0.3">
      <c r="A22" s="137"/>
      <c r="B22" s="311">
        <f>'2229'!B21</f>
        <v>1</v>
      </c>
      <c r="C22" s="312" t="str">
        <f>'2229'!C21</f>
        <v>CUB CON RESPALDO Y FRENTE 90°</v>
      </c>
      <c r="D22" s="320">
        <f>'2229'!D21*1000</f>
        <v>1470</v>
      </c>
      <c r="E22" s="320">
        <f>'2229'!E21*1000</f>
        <v>550</v>
      </c>
      <c r="F22" s="321" t="str">
        <f>'2229'!F21</f>
        <v>PUMIC GREY OPACO</v>
      </c>
      <c r="G22" s="313">
        <f>'2229'!G21</f>
        <v>79734</v>
      </c>
      <c r="H22" s="322">
        <f>G22*B22</f>
        <v>79734</v>
      </c>
      <c r="I22" s="137"/>
      <c r="K22" s="5"/>
      <c r="L22" s="262"/>
      <c r="M22" s="5"/>
      <c r="N22" s="5"/>
      <c r="O22" s="262"/>
      <c r="P22" s="46"/>
    </row>
    <row r="23" spans="1:16" ht="15.6" x14ac:dyDescent="0.3">
      <c r="A23" s="137"/>
      <c r="B23" s="283"/>
      <c r="C23" s="283"/>
      <c r="D23" s="283"/>
      <c r="E23" s="283"/>
      <c r="F23" s="283"/>
      <c r="G23" s="323"/>
      <c r="H23" s="323"/>
      <c r="I23" s="137"/>
      <c r="K23" s="5"/>
      <c r="L23" s="262"/>
      <c r="M23" s="5"/>
      <c r="N23" s="5"/>
      <c r="O23" s="262"/>
      <c r="P23" s="46"/>
    </row>
    <row r="24" spans="1:16" ht="16.2" thickBot="1" x14ac:dyDescent="0.35">
      <c r="A24" s="137"/>
      <c r="B24" s="283"/>
      <c r="C24" s="283"/>
      <c r="D24" s="283"/>
      <c r="E24" s="283"/>
      <c r="F24" s="324"/>
      <c r="G24" s="323"/>
      <c r="H24" s="323"/>
      <c r="I24" s="137"/>
      <c r="K24" s="5"/>
      <c r="L24" s="262"/>
      <c r="M24" s="5"/>
      <c r="N24" s="5"/>
      <c r="O24" s="262"/>
      <c r="P24" s="46"/>
    </row>
    <row r="25" spans="1:16" ht="15.6" x14ac:dyDescent="0.3">
      <c r="A25" s="137"/>
      <c r="B25" s="137"/>
      <c r="C25" s="137"/>
      <c r="D25" s="137"/>
      <c r="E25" s="137"/>
      <c r="F25" s="137"/>
      <c r="G25" s="326" t="s">
        <v>28</v>
      </c>
      <c r="H25" s="327">
        <f>SUM(H22:H24)</f>
        <v>79734</v>
      </c>
      <c r="I25" s="137"/>
    </row>
    <row r="26" spans="1:16" ht="15.6" x14ac:dyDescent="0.3">
      <c r="A26" s="137"/>
      <c r="B26" s="137"/>
      <c r="C26" s="137"/>
      <c r="D26" s="137"/>
      <c r="E26" s="137"/>
      <c r="F26" s="137"/>
      <c r="G26" s="328" t="s">
        <v>29</v>
      </c>
      <c r="H26" s="329">
        <f>H25*19%</f>
        <v>15149.460000000001</v>
      </c>
      <c r="I26" s="137"/>
    </row>
    <row r="27" spans="1:16" ht="16.2" thickBot="1" x14ac:dyDescent="0.35">
      <c r="A27" s="137"/>
      <c r="B27" s="137"/>
      <c r="C27" s="137"/>
      <c r="D27" s="137"/>
      <c r="E27" s="137"/>
      <c r="F27" s="137"/>
      <c r="G27" s="330" t="s">
        <v>6</v>
      </c>
      <c r="H27" s="331">
        <f>H25+H26</f>
        <v>94883.46</v>
      </c>
      <c r="I27" s="137"/>
    </row>
    <row r="28" spans="1:16" ht="15.6" x14ac:dyDescent="0.3">
      <c r="A28" s="137"/>
      <c r="B28" s="137"/>
      <c r="C28" s="137"/>
      <c r="D28" s="137"/>
      <c r="E28" s="137"/>
      <c r="F28" s="137"/>
      <c r="G28" s="332"/>
      <c r="H28" s="333"/>
      <c r="I28" s="137"/>
    </row>
    <row r="29" spans="1:16" ht="15.6" x14ac:dyDescent="0.3">
      <c r="A29" s="137"/>
      <c r="B29" s="137"/>
      <c r="C29" s="137"/>
      <c r="D29" s="137"/>
      <c r="E29" s="137"/>
      <c r="F29" s="137"/>
      <c r="G29" s="137"/>
      <c r="H29" s="137"/>
      <c r="I29" s="137"/>
    </row>
    <row r="30" spans="1:16" ht="15.6" x14ac:dyDescent="0.3">
      <c r="A30" s="137"/>
      <c r="B30" s="334" t="s">
        <v>176</v>
      </c>
      <c r="C30" s="335"/>
      <c r="D30" s="336"/>
      <c r="E30" s="336"/>
      <c r="F30" s="325"/>
      <c r="G30" s="137"/>
      <c r="H30" s="137"/>
      <c r="I30" s="137"/>
    </row>
    <row r="31" spans="1:16" ht="15.6" x14ac:dyDescent="0.3">
      <c r="A31" s="137"/>
      <c r="B31" s="334" t="s">
        <v>177</v>
      </c>
      <c r="C31" s="335"/>
      <c r="D31" s="336"/>
      <c r="E31" s="336"/>
      <c r="F31" s="325"/>
      <c r="G31" s="137"/>
      <c r="H31" s="137"/>
      <c r="I31" s="137"/>
    </row>
    <row r="32" spans="1:16" ht="15.6" x14ac:dyDescent="0.3">
      <c r="A32" s="137"/>
      <c r="B32" s="137" t="s">
        <v>124</v>
      </c>
      <c r="C32" s="137"/>
      <c r="D32" s="137"/>
      <c r="E32" s="337" t="s">
        <v>15</v>
      </c>
      <c r="F32" s="137"/>
      <c r="G32" s="137"/>
      <c r="H32" s="137"/>
      <c r="I32" s="137"/>
    </row>
    <row r="33" spans="1:9" ht="15.6" x14ac:dyDescent="0.3">
      <c r="A33" s="137"/>
      <c r="B33" s="137"/>
      <c r="C33" s="137"/>
      <c r="D33" s="137"/>
      <c r="E33" s="137"/>
      <c r="F33" s="137"/>
      <c r="G33" s="137"/>
      <c r="H33" s="137"/>
      <c r="I33" s="137"/>
    </row>
    <row r="34" spans="1:9" ht="15.6" x14ac:dyDescent="0.3">
      <c r="A34" s="137"/>
      <c r="B34" s="137"/>
      <c r="C34" s="137"/>
      <c r="D34" s="137"/>
      <c r="E34" s="137"/>
      <c r="F34" s="137"/>
      <c r="G34" s="137"/>
      <c r="H34" s="137"/>
      <c r="I34" s="137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181</v>
      </c>
      <c r="C2" s="449"/>
      <c r="D2" s="449"/>
      <c r="E2" s="360"/>
      <c r="G2" s="449" t="s">
        <v>182</v>
      </c>
      <c r="H2" s="449"/>
      <c r="I2" s="449"/>
      <c r="P2" s="450" t="s">
        <v>183</v>
      </c>
      <c r="Q2" s="450"/>
      <c r="R2" s="450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184</v>
      </c>
      <c r="E4" s="245" t="s">
        <v>185</v>
      </c>
      <c r="G4" s="361">
        <v>50</v>
      </c>
      <c r="H4" s="361">
        <v>100</v>
      </c>
      <c r="I4" s="366" t="s">
        <v>184</v>
      </c>
      <c r="J4" s="53" t="s">
        <v>186</v>
      </c>
      <c r="K4" s="53"/>
      <c r="L4" s="53"/>
      <c r="M4" s="53"/>
      <c r="P4">
        <v>50</v>
      </c>
      <c r="Q4">
        <v>-30</v>
      </c>
      <c r="R4" t="s">
        <v>187</v>
      </c>
    </row>
    <row r="5" spans="2:18" x14ac:dyDescent="0.3">
      <c r="B5" s="364">
        <v>40</v>
      </c>
      <c r="C5" s="364">
        <v>90</v>
      </c>
      <c r="D5" s="365" t="s">
        <v>188</v>
      </c>
      <c r="E5" s="245" t="s">
        <v>189</v>
      </c>
      <c r="G5" s="361">
        <v>50</v>
      </c>
      <c r="H5" s="361"/>
      <c r="I5" s="366" t="s">
        <v>190</v>
      </c>
      <c r="J5" s="53" t="s">
        <v>191</v>
      </c>
      <c r="K5" s="53"/>
      <c r="L5" s="53"/>
      <c r="M5" s="53"/>
      <c r="P5">
        <v>50</v>
      </c>
      <c r="Q5">
        <v>-30</v>
      </c>
      <c r="R5" t="s">
        <v>187</v>
      </c>
    </row>
    <row r="6" spans="2:18" x14ac:dyDescent="0.3">
      <c r="B6" s="364">
        <v>40</v>
      </c>
      <c r="C6" s="364">
        <v>100</v>
      </c>
      <c r="D6" s="365" t="s">
        <v>192</v>
      </c>
      <c r="E6" s="245" t="s">
        <v>193</v>
      </c>
      <c r="G6" s="364">
        <v>50</v>
      </c>
      <c r="H6" s="364">
        <v>100</v>
      </c>
      <c r="I6" s="365" t="s">
        <v>192</v>
      </c>
      <c r="P6">
        <v>50</v>
      </c>
      <c r="Q6">
        <v>-30</v>
      </c>
      <c r="R6" t="s">
        <v>194</v>
      </c>
    </row>
    <row r="7" spans="2:18" x14ac:dyDescent="0.3">
      <c r="B7" s="364">
        <v>40</v>
      </c>
      <c r="C7" s="364">
        <v>150</v>
      </c>
      <c r="D7" s="365" t="s">
        <v>195</v>
      </c>
      <c r="E7" s="245" t="s">
        <v>196</v>
      </c>
      <c r="G7" s="364">
        <v>50</v>
      </c>
      <c r="H7" s="364"/>
      <c r="I7" s="365" t="s">
        <v>195</v>
      </c>
      <c r="P7">
        <v>50</v>
      </c>
      <c r="Q7">
        <v>-30</v>
      </c>
      <c r="R7" t="s">
        <v>197</v>
      </c>
    </row>
    <row r="8" spans="2:18" x14ac:dyDescent="0.3">
      <c r="B8" s="364">
        <v>40</v>
      </c>
      <c r="C8" s="364">
        <v>100</v>
      </c>
      <c r="D8" s="365" t="s">
        <v>198</v>
      </c>
      <c r="E8" s="245" t="s">
        <v>199</v>
      </c>
      <c r="G8" s="364">
        <v>50</v>
      </c>
      <c r="H8" s="364">
        <v>100</v>
      </c>
      <c r="I8" s="365" t="s">
        <v>198</v>
      </c>
      <c r="L8" s="450" t="s">
        <v>183</v>
      </c>
      <c r="M8" s="450"/>
      <c r="N8" s="450"/>
      <c r="P8">
        <v>50</v>
      </c>
      <c r="Q8">
        <v>-30</v>
      </c>
      <c r="R8" t="s">
        <v>200</v>
      </c>
    </row>
    <row r="9" spans="2:18" x14ac:dyDescent="0.3">
      <c r="B9" s="364">
        <v>40</v>
      </c>
      <c r="C9" s="364">
        <v>50</v>
      </c>
      <c r="D9" s="365" t="s">
        <v>201</v>
      </c>
      <c r="E9" s="245" t="s">
        <v>202</v>
      </c>
      <c r="G9" s="364">
        <v>50</v>
      </c>
      <c r="H9" s="364">
        <v>100</v>
      </c>
      <c r="I9" s="365" t="s">
        <v>203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204</v>
      </c>
    </row>
    <row r="10" spans="2:18" x14ac:dyDescent="0.3">
      <c r="B10" s="364">
        <v>40</v>
      </c>
      <c r="C10" s="364">
        <v>80</v>
      </c>
      <c r="D10" s="365" t="s">
        <v>205</v>
      </c>
      <c r="E10" s="245" t="s">
        <v>206</v>
      </c>
      <c r="G10" s="364">
        <v>50</v>
      </c>
      <c r="H10" s="364"/>
      <c r="I10" s="365" t="s">
        <v>207</v>
      </c>
      <c r="L10" s="364">
        <v>50</v>
      </c>
      <c r="M10" s="364">
        <v>-30</v>
      </c>
      <c r="N10" s="365" t="s">
        <v>187</v>
      </c>
      <c r="P10">
        <v>50</v>
      </c>
      <c r="Q10">
        <v>0</v>
      </c>
      <c r="R10" t="s">
        <v>208</v>
      </c>
    </row>
    <row r="11" spans="2:18" x14ac:dyDescent="0.3">
      <c r="B11" s="364">
        <v>40</v>
      </c>
      <c r="C11" s="364">
        <v>60</v>
      </c>
      <c r="D11" s="365" t="s">
        <v>209</v>
      </c>
      <c r="E11" s="245" t="s">
        <v>210</v>
      </c>
      <c r="G11" s="364">
        <v>50</v>
      </c>
      <c r="H11" s="364">
        <v>100</v>
      </c>
      <c r="I11" s="365" t="s">
        <v>201</v>
      </c>
      <c r="L11" s="364">
        <v>50</v>
      </c>
      <c r="M11" s="364">
        <v>0</v>
      </c>
      <c r="N11" s="365" t="s">
        <v>211</v>
      </c>
      <c r="P11">
        <v>50</v>
      </c>
      <c r="Q11">
        <v>0</v>
      </c>
      <c r="R11" t="s">
        <v>212</v>
      </c>
    </row>
    <row r="12" spans="2:18" x14ac:dyDescent="0.3">
      <c r="B12" s="364">
        <v>40</v>
      </c>
      <c r="C12" s="364">
        <v>100</v>
      </c>
      <c r="D12" s="365" t="s">
        <v>213</v>
      </c>
      <c r="E12" s="245" t="s">
        <v>214</v>
      </c>
      <c r="G12" s="364">
        <v>50</v>
      </c>
      <c r="H12" s="364"/>
      <c r="I12" s="365" t="s">
        <v>205</v>
      </c>
      <c r="L12" s="364">
        <v>50</v>
      </c>
      <c r="M12" s="364">
        <v>-2</v>
      </c>
      <c r="N12" s="365" t="s">
        <v>215</v>
      </c>
      <c r="P12">
        <v>50</v>
      </c>
      <c r="Q12">
        <v>0</v>
      </c>
      <c r="R12" t="s">
        <v>216</v>
      </c>
    </row>
    <row r="13" spans="2:18" x14ac:dyDescent="0.3">
      <c r="B13" s="364">
        <v>40</v>
      </c>
      <c r="C13" s="364">
        <v>130</v>
      </c>
      <c r="D13" s="365" t="s">
        <v>217</v>
      </c>
      <c r="E13" s="245" t="s">
        <v>218</v>
      </c>
      <c r="G13" s="364">
        <v>50</v>
      </c>
      <c r="H13" s="364">
        <v>-30</v>
      </c>
      <c r="I13" s="365" t="s">
        <v>187</v>
      </c>
      <c r="P13">
        <v>50</v>
      </c>
      <c r="Q13">
        <v>0</v>
      </c>
      <c r="R13" t="s">
        <v>219</v>
      </c>
    </row>
    <row r="14" spans="2:18" x14ac:dyDescent="0.3">
      <c r="B14" s="364">
        <v>40</v>
      </c>
      <c r="C14" s="364">
        <v>150</v>
      </c>
      <c r="D14" s="365" t="s">
        <v>194</v>
      </c>
      <c r="E14" s="245"/>
      <c r="G14" s="364">
        <v>50</v>
      </c>
      <c r="H14" s="364">
        <v>-30</v>
      </c>
      <c r="I14" s="365" t="s">
        <v>194</v>
      </c>
    </row>
    <row r="15" spans="2:18" x14ac:dyDescent="0.3">
      <c r="B15" s="364">
        <v>40</v>
      </c>
      <c r="C15" s="364">
        <v>150</v>
      </c>
      <c r="D15" s="365" t="s">
        <v>220</v>
      </c>
      <c r="E15" s="245" t="s">
        <v>221</v>
      </c>
      <c r="G15" s="364">
        <v>50</v>
      </c>
      <c r="H15" s="364">
        <v>-30</v>
      </c>
      <c r="I15" s="365" t="s">
        <v>197</v>
      </c>
      <c r="P15">
        <v>50</v>
      </c>
      <c r="Q15">
        <v>0</v>
      </c>
      <c r="R15" t="s">
        <v>222</v>
      </c>
    </row>
    <row r="16" spans="2:18" x14ac:dyDescent="0.3">
      <c r="B16" s="364">
        <v>40</v>
      </c>
      <c r="C16" s="364">
        <v>130</v>
      </c>
      <c r="D16" s="365" t="s">
        <v>223</v>
      </c>
      <c r="E16" s="245" t="s">
        <v>224</v>
      </c>
      <c r="G16" s="364">
        <v>50</v>
      </c>
      <c r="H16" s="364">
        <v>-30</v>
      </c>
      <c r="I16" s="365" t="s">
        <v>225</v>
      </c>
      <c r="P16">
        <v>50</v>
      </c>
      <c r="Q16">
        <v>0</v>
      </c>
      <c r="R16" t="s">
        <v>226</v>
      </c>
    </row>
    <row r="17" spans="2:18" x14ac:dyDescent="0.3">
      <c r="B17" s="364">
        <v>40</v>
      </c>
      <c r="C17" s="364">
        <v>150</v>
      </c>
      <c r="D17" s="365" t="s">
        <v>212</v>
      </c>
      <c r="E17" s="245" t="s">
        <v>227</v>
      </c>
      <c r="G17" s="364">
        <v>50</v>
      </c>
      <c r="H17" s="364"/>
      <c r="I17" s="365" t="s">
        <v>212</v>
      </c>
      <c r="P17">
        <v>50</v>
      </c>
      <c r="Q17">
        <v>0</v>
      </c>
      <c r="R17" t="s">
        <v>228</v>
      </c>
    </row>
    <row r="18" spans="2:18" x14ac:dyDescent="0.3">
      <c r="B18" s="364">
        <v>140</v>
      </c>
      <c r="C18" s="364">
        <v>150</v>
      </c>
      <c r="D18" s="365" t="s">
        <v>216</v>
      </c>
      <c r="E18" s="245" t="s">
        <v>229</v>
      </c>
      <c r="G18" s="364">
        <v>50</v>
      </c>
      <c r="H18" s="364"/>
      <c r="I18" s="365" t="s">
        <v>216</v>
      </c>
      <c r="P18">
        <v>50</v>
      </c>
      <c r="Q18">
        <v>0</v>
      </c>
      <c r="R18" t="s">
        <v>230</v>
      </c>
    </row>
    <row r="19" spans="2:18" x14ac:dyDescent="0.3">
      <c r="B19" s="364">
        <v>150</v>
      </c>
      <c r="C19" s="364">
        <v>150</v>
      </c>
      <c r="D19" s="365" t="s">
        <v>219</v>
      </c>
      <c r="E19" s="245" t="s">
        <v>231</v>
      </c>
      <c r="G19" s="364">
        <v>50</v>
      </c>
      <c r="H19" s="364"/>
      <c r="I19" s="365" t="s">
        <v>219</v>
      </c>
      <c r="P19">
        <v>50</v>
      </c>
      <c r="Q19">
        <v>0</v>
      </c>
      <c r="R19" t="s">
        <v>232</v>
      </c>
    </row>
    <row r="20" spans="2:18" x14ac:dyDescent="0.3">
      <c r="B20" s="364">
        <v>40</v>
      </c>
      <c r="C20" s="364">
        <v>100</v>
      </c>
      <c r="D20" s="365" t="s">
        <v>233</v>
      </c>
      <c r="E20" s="245" t="s">
        <v>234</v>
      </c>
      <c r="G20" s="364">
        <v>50</v>
      </c>
      <c r="H20" s="364">
        <v>0</v>
      </c>
      <c r="I20" s="365" t="s">
        <v>233</v>
      </c>
      <c r="J20" s="53" t="s">
        <v>235</v>
      </c>
      <c r="K20" s="53"/>
      <c r="L20" s="53"/>
      <c r="M20" s="53"/>
      <c r="P20">
        <v>50</v>
      </c>
      <c r="Q20">
        <v>0</v>
      </c>
      <c r="R20" t="s">
        <v>236</v>
      </c>
    </row>
    <row r="21" spans="2:18" x14ac:dyDescent="0.3">
      <c r="B21" s="364">
        <v>100</v>
      </c>
      <c r="C21" s="364">
        <v>100</v>
      </c>
      <c r="D21" s="365" t="s">
        <v>237</v>
      </c>
      <c r="E21" s="245" t="s">
        <v>238</v>
      </c>
      <c r="G21" s="364">
        <v>50</v>
      </c>
      <c r="H21" s="364">
        <v>0</v>
      </c>
      <c r="I21" s="365" t="s">
        <v>237</v>
      </c>
      <c r="P21">
        <v>50</v>
      </c>
      <c r="Q21">
        <v>0</v>
      </c>
      <c r="R21" t="s">
        <v>239</v>
      </c>
    </row>
    <row r="22" spans="2:18" x14ac:dyDescent="0.3">
      <c r="B22" s="364">
        <v>100</v>
      </c>
      <c r="C22" s="364">
        <v>100</v>
      </c>
      <c r="D22" s="365" t="s">
        <v>222</v>
      </c>
      <c r="E22" s="245" t="s">
        <v>240</v>
      </c>
      <c r="G22" s="361"/>
      <c r="H22" s="361"/>
      <c r="I22" s="366" t="s">
        <v>222</v>
      </c>
      <c r="P22">
        <v>50</v>
      </c>
      <c r="Q22">
        <v>0</v>
      </c>
      <c r="R22" t="s">
        <v>241</v>
      </c>
    </row>
    <row r="23" spans="2:18" x14ac:dyDescent="0.3">
      <c r="B23" s="364">
        <v>40</v>
      </c>
      <c r="C23" s="364">
        <v>150</v>
      </c>
      <c r="D23" s="365" t="s">
        <v>226</v>
      </c>
      <c r="E23" s="245" t="s">
        <v>242</v>
      </c>
      <c r="G23" s="364">
        <v>50</v>
      </c>
      <c r="H23" s="364"/>
      <c r="I23" s="365" t="s">
        <v>226</v>
      </c>
      <c r="R23" t="s">
        <v>243</v>
      </c>
    </row>
    <row r="24" spans="2:18" x14ac:dyDescent="0.3">
      <c r="B24" s="364">
        <v>140</v>
      </c>
      <c r="C24" s="364">
        <v>150</v>
      </c>
      <c r="D24" s="365" t="s">
        <v>228</v>
      </c>
      <c r="E24" s="245" t="s">
        <v>244</v>
      </c>
      <c r="G24" s="364">
        <v>50</v>
      </c>
      <c r="H24" s="364"/>
      <c r="I24" s="365" t="s">
        <v>228</v>
      </c>
      <c r="R24" t="s">
        <v>245</v>
      </c>
    </row>
    <row r="25" spans="2:18" x14ac:dyDescent="0.3">
      <c r="B25" s="364">
        <v>150</v>
      </c>
      <c r="C25" s="364">
        <v>150</v>
      </c>
      <c r="D25" s="365" t="s">
        <v>230</v>
      </c>
      <c r="E25" s="245" t="s">
        <v>246</v>
      </c>
      <c r="G25" s="364">
        <v>50</v>
      </c>
      <c r="H25" s="364"/>
      <c r="I25" s="365" t="s">
        <v>230</v>
      </c>
      <c r="R25" t="s">
        <v>192</v>
      </c>
    </row>
    <row r="26" spans="2:18" x14ac:dyDescent="0.3">
      <c r="B26" s="364">
        <v>40</v>
      </c>
      <c r="C26" s="364">
        <v>77</v>
      </c>
      <c r="D26" s="365" t="s">
        <v>232</v>
      </c>
      <c r="E26" s="245" t="s">
        <v>247</v>
      </c>
      <c r="G26" s="364">
        <v>50</v>
      </c>
      <c r="H26" s="364"/>
      <c r="I26" s="365" t="s">
        <v>232</v>
      </c>
      <c r="R26" t="s">
        <v>195</v>
      </c>
    </row>
    <row r="27" spans="2:18" x14ac:dyDescent="0.3">
      <c r="B27" s="364">
        <v>110</v>
      </c>
      <c r="C27" s="364">
        <v>77</v>
      </c>
      <c r="D27" s="365" t="s">
        <v>236</v>
      </c>
      <c r="E27" s="245" t="s">
        <v>248</v>
      </c>
      <c r="G27" s="364">
        <v>50</v>
      </c>
      <c r="H27" s="364"/>
      <c r="I27" s="365" t="s">
        <v>236</v>
      </c>
      <c r="R27" t="s">
        <v>198</v>
      </c>
    </row>
    <row r="28" spans="2:18" x14ac:dyDescent="0.3">
      <c r="B28" s="364">
        <v>120</v>
      </c>
      <c r="C28" s="364">
        <v>77</v>
      </c>
      <c r="D28" s="365" t="s">
        <v>239</v>
      </c>
      <c r="E28" s="245" t="s">
        <v>249</v>
      </c>
      <c r="G28" s="364">
        <v>50</v>
      </c>
      <c r="H28" s="364"/>
      <c r="I28" s="365" t="s">
        <v>239</v>
      </c>
      <c r="R28" t="s">
        <v>203</v>
      </c>
    </row>
    <row r="29" spans="2:18" x14ac:dyDescent="0.3">
      <c r="B29" s="364">
        <v>40</v>
      </c>
      <c r="C29" s="364">
        <v>50</v>
      </c>
      <c r="D29" s="365" t="s">
        <v>241</v>
      </c>
      <c r="E29" s="245" t="s">
        <v>250</v>
      </c>
      <c r="G29" s="364">
        <v>50</v>
      </c>
      <c r="H29" s="364"/>
      <c r="I29" s="365" t="s">
        <v>241</v>
      </c>
      <c r="R29" t="s">
        <v>207</v>
      </c>
    </row>
    <row r="30" spans="2:18" x14ac:dyDescent="0.3">
      <c r="B30" s="364">
        <v>40</v>
      </c>
      <c r="C30" s="364">
        <v>60</v>
      </c>
      <c r="D30" s="365" t="s">
        <v>251</v>
      </c>
      <c r="E30" s="245" t="s">
        <v>252</v>
      </c>
      <c r="G30" s="364">
        <v>50</v>
      </c>
      <c r="H30" s="364"/>
      <c r="I30" s="365" t="s">
        <v>208</v>
      </c>
      <c r="R30" t="s">
        <v>201</v>
      </c>
    </row>
    <row r="31" spans="2:18" x14ac:dyDescent="0.3">
      <c r="B31" s="364">
        <v>40</v>
      </c>
      <c r="C31" s="364">
        <v>100</v>
      </c>
      <c r="D31" s="365" t="s">
        <v>204</v>
      </c>
      <c r="E31" s="245" t="s">
        <v>253</v>
      </c>
      <c r="G31" s="364">
        <v>50</v>
      </c>
      <c r="H31" s="364"/>
      <c r="I31" s="365" t="s">
        <v>204</v>
      </c>
      <c r="R31" t="s">
        <v>205</v>
      </c>
    </row>
    <row r="32" spans="2:18" x14ac:dyDescent="0.3">
      <c r="B32" s="364">
        <v>40</v>
      </c>
      <c r="C32" s="364">
        <v>60</v>
      </c>
      <c r="D32" s="365" t="s">
        <v>254</v>
      </c>
      <c r="E32" s="245" t="s">
        <v>255</v>
      </c>
      <c r="G32" s="364">
        <v>50</v>
      </c>
      <c r="H32" s="364"/>
      <c r="I32" s="365" t="s">
        <v>254</v>
      </c>
      <c r="R32" t="s">
        <v>256</v>
      </c>
    </row>
    <row r="33" spans="2:18" x14ac:dyDescent="0.3">
      <c r="B33" s="364">
        <v>40</v>
      </c>
      <c r="C33" s="364">
        <v>90</v>
      </c>
      <c r="D33" s="365" t="s">
        <v>257</v>
      </c>
      <c r="E33" s="245" t="s">
        <v>258</v>
      </c>
      <c r="G33" s="364">
        <v>50</v>
      </c>
      <c r="H33" s="364">
        <v>-2</v>
      </c>
      <c r="I33" s="365" t="s">
        <v>257</v>
      </c>
      <c r="R33" t="s">
        <v>259</v>
      </c>
    </row>
    <row r="34" spans="2:18" x14ac:dyDescent="0.3">
      <c r="B34" s="364">
        <v>40</v>
      </c>
      <c r="C34" s="364">
        <v>90</v>
      </c>
      <c r="D34" s="365" t="s">
        <v>260</v>
      </c>
      <c r="E34" s="245"/>
      <c r="G34" s="364">
        <v>50</v>
      </c>
      <c r="H34" s="364">
        <v>-2</v>
      </c>
      <c r="I34" s="365" t="s">
        <v>260</v>
      </c>
    </row>
    <row r="35" spans="2:18" x14ac:dyDescent="0.3">
      <c r="B35" s="364">
        <v>40</v>
      </c>
      <c r="C35" s="364">
        <v>90</v>
      </c>
      <c r="D35" s="365" t="s">
        <v>256</v>
      </c>
      <c r="E35" s="245" t="s">
        <v>261</v>
      </c>
      <c r="G35" s="364">
        <v>50</v>
      </c>
      <c r="H35" s="364">
        <v>-2</v>
      </c>
      <c r="I35" s="365" t="s">
        <v>256</v>
      </c>
      <c r="R35" t="s">
        <v>262</v>
      </c>
    </row>
    <row r="36" spans="2:18" x14ac:dyDescent="0.3">
      <c r="B36" s="367">
        <v>40</v>
      </c>
      <c r="C36" s="367">
        <v>90</v>
      </c>
      <c r="D36" s="368" t="s">
        <v>259</v>
      </c>
      <c r="G36" s="364">
        <v>50</v>
      </c>
      <c r="H36" s="364">
        <v>-2</v>
      </c>
      <c r="I36" s="365" t="s">
        <v>259</v>
      </c>
      <c r="R36" t="s">
        <v>257</v>
      </c>
    </row>
    <row r="37" spans="2:18" x14ac:dyDescent="0.3">
      <c r="B37" s="367">
        <v>40</v>
      </c>
      <c r="C37" s="367">
        <v>90</v>
      </c>
      <c r="D37" s="368" t="s">
        <v>262</v>
      </c>
      <c r="G37" s="364">
        <v>50</v>
      </c>
      <c r="H37" s="364">
        <v>-2</v>
      </c>
      <c r="I37" s="365" t="s">
        <v>262</v>
      </c>
      <c r="R37" t="s">
        <v>260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7"/>
      <c r="B1" s="137"/>
      <c r="C1" s="137"/>
      <c r="D1" s="137"/>
      <c r="E1" s="137"/>
      <c r="F1" s="137"/>
      <c r="G1" s="137"/>
    </row>
    <row r="2" spans="1:14" ht="16.5" customHeight="1" x14ac:dyDescent="0.3">
      <c r="A2" s="137"/>
      <c r="B2" s="137"/>
      <c r="C2" s="137"/>
      <c r="D2" s="137"/>
      <c r="E2" s="137"/>
      <c r="F2" s="137"/>
      <c r="G2" s="137"/>
      <c r="K2" s="74" t="s">
        <v>263</v>
      </c>
      <c r="L2" s="74"/>
      <c r="M2" s="74"/>
    </row>
    <row r="3" spans="1:14" ht="15.6" x14ac:dyDescent="0.3">
      <c r="A3" s="137"/>
      <c r="B3" s="137"/>
      <c r="C3" s="137"/>
      <c r="D3" s="137"/>
      <c r="E3" s="137"/>
      <c r="F3" s="137"/>
      <c r="G3" s="137"/>
      <c r="K3" s="455" t="s">
        <v>264</v>
      </c>
      <c r="L3" s="455"/>
      <c r="M3" s="455" t="s">
        <v>265</v>
      </c>
      <c r="N3" s="455"/>
    </row>
    <row r="4" spans="1:14" ht="15.75" customHeight="1" x14ac:dyDescent="0.3">
      <c r="A4" s="137"/>
      <c r="B4" s="137"/>
      <c r="C4" s="369" t="s">
        <v>164</v>
      </c>
      <c r="D4" s="139" t="str">
        <f>IF('NOTA DE VENTA'!$G$8="","",'NOTA DE VENTA'!$G$8)</f>
        <v/>
      </c>
      <c r="E4" s="137"/>
      <c r="F4" s="137"/>
      <c r="G4" s="137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7"/>
      <c r="B5" s="137"/>
      <c r="C5" s="370" t="s">
        <v>266</v>
      </c>
      <c r="D5" s="371" t="str">
        <f>'NOTA DE VENTA'!$C$10</f>
        <v>PATRICIA FUENTES</v>
      </c>
      <c r="E5" s="319"/>
      <c r="F5" s="319"/>
      <c r="G5" s="137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7"/>
      <c r="B6" s="137"/>
      <c r="C6" s="372"/>
      <c r="D6" s="373"/>
      <c r="E6" s="137"/>
      <c r="F6" s="137"/>
      <c r="G6" s="137"/>
    </row>
    <row r="7" spans="1:14" ht="15.6" x14ac:dyDescent="0.3">
      <c r="A7" s="137"/>
      <c r="B7" s="137"/>
      <c r="C7" s="395" t="str">
        <f>'NOTA DE VENTA'!$F$10</f>
        <v>FECHA :</v>
      </c>
      <c r="D7" s="405">
        <f>'NOTA DE VENTA'!$G$10</f>
        <v>46048</v>
      </c>
      <c r="E7" s="137"/>
      <c r="F7" s="137"/>
      <c r="G7" s="137"/>
    </row>
    <row r="8" spans="1:14" ht="15.6" x14ac:dyDescent="0.3">
      <c r="A8" s="137"/>
      <c r="B8" s="137"/>
      <c r="C8" s="369" t="s">
        <v>267</v>
      </c>
      <c r="D8" s="404">
        <f>'NOTA DE VENTA'!$G$11</f>
        <v>46055</v>
      </c>
      <c r="E8" s="137"/>
      <c r="F8" s="137"/>
      <c r="G8" s="137"/>
    </row>
    <row r="9" spans="1:14" ht="15.6" x14ac:dyDescent="0.3">
      <c r="A9" s="137"/>
      <c r="B9" s="137"/>
      <c r="C9" s="137"/>
      <c r="D9" s="137"/>
      <c r="E9" s="137"/>
      <c r="F9" s="137"/>
      <c r="G9" s="137"/>
    </row>
    <row r="10" spans="1:14" ht="15" customHeight="1" x14ac:dyDescent="0.3">
      <c r="A10" s="456" t="s">
        <v>264</v>
      </c>
      <c r="B10" s="456"/>
      <c r="C10" s="456"/>
      <c r="D10" s="456"/>
      <c r="E10" s="456"/>
      <c r="F10" s="456"/>
      <c r="G10" s="137"/>
    </row>
    <row r="11" spans="1:14" ht="15.6" x14ac:dyDescent="0.3">
      <c r="A11" s="137"/>
      <c r="B11" s="137"/>
      <c r="C11" s="375"/>
      <c r="D11" s="137"/>
      <c r="E11" s="137"/>
      <c r="F11" s="137"/>
      <c r="G11" s="137"/>
    </row>
    <row r="12" spans="1:14" ht="15.6" x14ac:dyDescent="0.3">
      <c r="A12" s="137"/>
      <c r="B12" s="137"/>
      <c r="C12" s="137"/>
      <c r="D12" s="332" t="s">
        <v>130</v>
      </c>
      <c r="E12" s="332" t="s">
        <v>11</v>
      </c>
      <c r="F12" s="137"/>
      <c r="G12" s="137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268</v>
      </c>
      <c r="G13" s="137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7"/>
      <c r="I14" s="383">
        <f>I21</f>
        <v>1</v>
      </c>
      <c r="J14" s="149">
        <f t="shared" ref="J14:K14" si="1">D27</f>
        <v>1800</v>
      </c>
      <c r="K14" s="149">
        <f t="shared" si="1"/>
        <v>500</v>
      </c>
    </row>
    <row r="15" spans="1:14" ht="15.6" x14ac:dyDescent="0.3">
      <c r="A15" s="332"/>
      <c r="B15" s="51"/>
      <c r="C15" s="51"/>
      <c r="D15" s="51"/>
      <c r="E15" s="384"/>
      <c r="F15" s="51"/>
      <c r="G15" s="137"/>
      <c r="I15" s="385"/>
      <c r="J15" s="6"/>
      <c r="K15" s="6"/>
    </row>
    <row r="16" spans="1:14" ht="6.75" customHeight="1" x14ac:dyDescent="0.3">
      <c r="A16" s="137"/>
      <c r="B16" s="137"/>
      <c r="C16" s="137"/>
      <c r="D16" s="137"/>
      <c r="E16" s="137"/>
      <c r="F16" s="137"/>
      <c r="G16" s="137"/>
    </row>
    <row r="17" spans="1:11" ht="15.6" x14ac:dyDescent="0.3">
      <c r="A17" s="456" t="s">
        <v>265</v>
      </c>
      <c r="B17" s="456"/>
      <c r="C17" s="456"/>
      <c r="D17" s="456"/>
      <c r="E17" s="456"/>
      <c r="F17" s="456"/>
      <c r="G17" s="137"/>
    </row>
    <row r="18" spans="1:11" ht="10.5" customHeight="1" x14ac:dyDescent="0.3">
      <c r="A18" s="137"/>
      <c r="B18" s="137"/>
      <c r="C18" s="375"/>
      <c r="D18" s="137"/>
      <c r="E18" s="137"/>
      <c r="F18" s="137"/>
      <c r="G18" s="137"/>
    </row>
    <row r="19" spans="1:11" ht="15.6" x14ac:dyDescent="0.3">
      <c r="A19" s="137"/>
      <c r="B19" s="137"/>
      <c r="C19" s="137"/>
      <c r="D19" s="332" t="s">
        <v>130</v>
      </c>
      <c r="E19" s="332" t="s">
        <v>11</v>
      </c>
      <c r="F19" s="137"/>
      <c r="G19" s="137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268</v>
      </c>
      <c r="G20" s="137"/>
      <c r="J20" s="378" t="s">
        <v>130</v>
      </c>
      <c r="K20" s="378" t="s">
        <v>11</v>
      </c>
    </row>
    <row r="21" spans="1:11" ht="15.6" x14ac:dyDescent="0.3">
      <c r="A21" s="379" t="s">
        <v>269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7"/>
      <c r="I21" s="383">
        <f>B27</f>
        <v>1</v>
      </c>
      <c r="J21" s="149">
        <f>D27</f>
        <v>1800</v>
      </c>
      <c r="K21" s="149">
        <f>E27</f>
        <v>500</v>
      </c>
    </row>
    <row r="22" spans="1:11" ht="15.6" x14ac:dyDescent="0.3">
      <c r="A22" s="390"/>
      <c r="B22" s="51"/>
      <c r="C22" s="51"/>
      <c r="D22" s="51"/>
      <c r="E22" s="51"/>
      <c r="F22" s="51"/>
      <c r="G22" s="137"/>
      <c r="I22" s="385"/>
      <c r="J22" s="6"/>
      <c r="K22" s="6"/>
    </row>
    <row r="23" spans="1:11" ht="16.2" thickBot="1" x14ac:dyDescent="0.35">
      <c r="A23" s="332"/>
      <c r="B23" s="51"/>
      <c r="C23" s="51"/>
      <c r="D23" s="51"/>
      <c r="E23" s="51"/>
      <c r="F23" s="51"/>
      <c r="G23" s="137"/>
      <c r="I23" s="6"/>
      <c r="J23" s="6"/>
      <c r="K23" s="6"/>
    </row>
    <row r="24" spans="1:11" ht="16.2" thickBot="1" x14ac:dyDescent="0.35">
      <c r="A24" s="332"/>
      <c r="B24" s="391" t="s">
        <v>270</v>
      </c>
      <c r="C24" s="392"/>
      <c r="D24" s="392"/>
      <c r="E24" s="392"/>
      <c r="F24" s="393"/>
      <c r="G24" s="137"/>
      <c r="I24" s="6"/>
      <c r="J24" s="6"/>
      <c r="K24" s="6"/>
    </row>
    <row r="25" spans="1:11" ht="10.5" customHeight="1" x14ac:dyDescent="0.3">
      <c r="A25" s="137"/>
      <c r="B25" s="137"/>
      <c r="C25" s="137"/>
      <c r="D25" s="137"/>
      <c r="E25" s="137"/>
      <c r="F25" s="137"/>
      <c r="G25" s="137"/>
    </row>
    <row r="26" spans="1:11" ht="15.6" x14ac:dyDescent="0.3">
      <c r="A26" s="332" t="s">
        <v>87</v>
      </c>
      <c r="B26" s="394" t="s">
        <v>96</v>
      </c>
      <c r="C26" s="394" t="s">
        <v>268</v>
      </c>
      <c r="D26" s="394" t="s">
        <v>130</v>
      </c>
      <c r="E26" s="394" t="s">
        <v>11</v>
      </c>
      <c r="F26" s="394" t="s">
        <v>8</v>
      </c>
      <c r="G26" s="137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7"/>
    </row>
    <row r="28" spans="1:11" ht="15.6" x14ac:dyDescent="0.3">
      <c r="A28" s="390"/>
      <c r="B28" s="51"/>
      <c r="C28" s="51"/>
      <c r="D28" s="51"/>
      <c r="E28" s="51"/>
      <c r="F28" s="51"/>
      <c r="G28" s="137"/>
    </row>
    <row r="29" spans="1:11" ht="15.6" x14ac:dyDescent="0.3">
      <c r="A29" s="332"/>
      <c r="B29" s="51"/>
      <c r="C29" s="51"/>
      <c r="D29" s="51"/>
      <c r="E29" s="51"/>
      <c r="F29" s="51"/>
      <c r="G29" s="137"/>
    </row>
    <row r="30" spans="1:11" ht="15.6" x14ac:dyDescent="0.3">
      <c r="A30" s="137"/>
      <c r="B30" s="51"/>
      <c r="C30" s="51"/>
      <c r="D30" s="51"/>
      <c r="E30" s="51"/>
      <c r="F30" s="51"/>
      <c r="G30" s="137"/>
    </row>
    <row r="31" spans="1:11" ht="15.6" x14ac:dyDescent="0.3">
      <c r="A31" s="137"/>
      <c r="B31" s="51"/>
      <c r="C31" s="51"/>
      <c r="D31" s="51"/>
      <c r="E31" s="51"/>
      <c r="F31" s="51"/>
      <c r="G31" s="137"/>
    </row>
    <row r="32" spans="1:11" ht="15.6" x14ac:dyDescent="0.3">
      <c r="A32" s="137"/>
      <c r="B32" s="51"/>
      <c r="C32" s="51"/>
      <c r="D32" s="51"/>
      <c r="E32" s="51"/>
      <c r="F32" s="51"/>
      <c r="G32" s="137"/>
    </row>
    <row r="33" spans="1:7" ht="15.6" x14ac:dyDescent="0.3">
      <c r="A33" s="137"/>
      <c r="B33" s="51"/>
      <c r="C33" s="51"/>
      <c r="D33" s="51"/>
      <c r="E33" s="51"/>
      <c r="F33" s="51"/>
      <c r="G33" s="137"/>
    </row>
    <row r="34" spans="1:7" ht="15.6" x14ac:dyDescent="0.3">
      <c r="A34" s="137"/>
      <c r="B34" s="51"/>
      <c r="C34" s="51"/>
      <c r="D34" s="51"/>
      <c r="E34" s="51"/>
      <c r="F34" s="51"/>
      <c r="G34" s="137"/>
    </row>
    <row r="35" spans="1:7" ht="15.6" x14ac:dyDescent="0.3">
      <c r="A35" s="137"/>
      <c r="B35" s="51"/>
      <c r="C35" s="51"/>
      <c r="D35" s="51"/>
      <c r="E35" s="51"/>
      <c r="F35" s="51"/>
      <c r="G35" s="137"/>
    </row>
    <row r="36" spans="1:7" ht="15.6" x14ac:dyDescent="0.3">
      <c r="A36" s="137"/>
      <c r="B36" s="51"/>
      <c r="C36" s="51"/>
      <c r="D36" s="51"/>
      <c r="E36" s="51"/>
      <c r="F36" s="51"/>
      <c r="G36" s="137"/>
    </row>
    <row r="37" spans="1:7" ht="15.6" x14ac:dyDescent="0.3">
      <c r="A37" s="137"/>
      <c r="B37" s="51"/>
      <c r="C37" s="51"/>
      <c r="D37" s="51"/>
      <c r="E37" s="51"/>
      <c r="F37" s="51"/>
      <c r="G37" s="137"/>
    </row>
    <row r="38" spans="1:7" ht="15.6" x14ac:dyDescent="0.3">
      <c r="A38" s="137"/>
      <c r="B38" s="137"/>
      <c r="C38" s="137"/>
      <c r="D38" s="137"/>
      <c r="E38" s="137"/>
      <c r="F38" s="137"/>
      <c r="G38" s="137"/>
    </row>
    <row r="39" spans="1:7" ht="15.6" x14ac:dyDescent="0.3">
      <c r="A39" s="137"/>
      <c r="B39" s="137"/>
      <c r="C39" s="369" t="s">
        <v>164</v>
      </c>
      <c r="D39" s="139">
        <f>'[1]4637'!G8</f>
        <v>7332</v>
      </c>
      <c r="E39" s="137"/>
      <c r="F39" s="137"/>
      <c r="G39" s="137"/>
    </row>
    <row r="40" spans="1:7" ht="17.25" customHeight="1" x14ac:dyDescent="0.3">
      <c r="A40" s="137"/>
      <c r="B40" s="137"/>
      <c r="C40" s="370" t="s">
        <v>266</v>
      </c>
      <c r="D40" s="371" t="str">
        <f>'[1]4637'!C10</f>
        <v>FMR MAKING SPA</v>
      </c>
      <c r="E40" s="319"/>
      <c r="F40" s="319"/>
      <c r="G40" s="137"/>
    </row>
    <row r="41" spans="1:7" ht="4.5" customHeight="1" x14ac:dyDescent="0.3">
      <c r="A41" s="137"/>
      <c r="B41" s="137"/>
      <c r="C41" s="372"/>
      <c r="D41" s="373"/>
      <c r="E41" s="137"/>
      <c r="F41" s="137"/>
      <c r="G41" s="137"/>
    </row>
    <row r="42" spans="1:7" ht="15.6" x14ac:dyDescent="0.3">
      <c r="A42" s="137"/>
      <c r="B42" s="137"/>
      <c r="C42" s="395" t="str">
        <f>'[1]4637'!F11</f>
        <v>FECHA LIMITE :</v>
      </c>
      <c r="D42" s="374">
        <f>'[1]4637'!G11</f>
        <v>45996</v>
      </c>
      <c r="E42" s="137"/>
      <c r="F42" s="137"/>
      <c r="G42" s="137"/>
    </row>
    <row r="43" spans="1:7" ht="15.6" x14ac:dyDescent="0.3">
      <c r="A43" s="137"/>
      <c r="B43" s="137"/>
      <c r="C43" s="137"/>
      <c r="D43" s="137"/>
      <c r="E43" s="137"/>
      <c r="F43" s="137"/>
      <c r="G43" s="137"/>
    </row>
    <row r="44" spans="1:7" ht="15.6" x14ac:dyDescent="0.3">
      <c r="A44" s="137"/>
      <c r="B44" s="137"/>
      <c r="C44" s="137"/>
      <c r="D44" s="137"/>
      <c r="E44" s="137"/>
      <c r="F44" s="137"/>
      <c r="G44" s="137"/>
    </row>
    <row r="45" spans="1:7" ht="15.6" x14ac:dyDescent="0.3">
      <c r="A45" s="456" t="s">
        <v>271</v>
      </c>
      <c r="B45" s="456"/>
      <c r="C45" s="456"/>
      <c r="D45" s="456"/>
      <c r="E45" s="456"/>
      <c r="F45" s="456"/>
      <c r="G45" s="137"/>
    </row>
    <row r="46" spans="1:7" ht="15.6" x14ac:dyDescent="0.3">
      <c r="A46" s="137"/>
      <c r="B46" s="137"/>
      <c r="C46" s="137"/>
      <c r="D46" s="137"/>
      <c r="E46" s="137"/>
      <c r="F46" s="137"/>
      <c r="G46" s="137"/>
    </row>
    <row r="47" spans="1:7" ht="15.75" customHeight="1" x14ac:dyDescent="0.3">
      <c r="A47" s="137"/>
      <c r="B47" s="451" t="s">
        <v>95</v>
      </c>
      <c r="C47" s="452"/>
      <c r="D47" s="453"/>
      <c r="E47" s="453"/>
      <c r="F47" s="454"/>
      <c r="G47" s="137"/>
    </row>
    <row r="48" spans="1:7" s="58" customFormat="1" ht="12.75" customHeight="1" x14ac:dyDescent="0.3">
      <c r="A48" s="137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272</v>
      </c>
      <c r="G48" s="137"/>
    </row>
    <row r="49" spans="1:7" s="58" customFormat="1" ht="15" customHeight="1" x14ac:dyDescent="0.3">
      <c r="A49" s="379" t="s">
        <v>273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7"/>
    </row>
    <row r="50" spans="1:7" s="58" customFormat="1" ht="15" customHeight="1" x14ac:dyDescent="0.3">
      <c r="A50" s="390"/>
      <c r="B50" s="332"/>
      <c r="C50" s="402"/>
      <c r="D50" s="332"/>
      <c r="E50" s="332"/>
      <c r="F50" s="332"/>
      <c r="G50" s="137"/>
    </row>
    <row r="51" spans="1:7" s="58" customFormat="1" ht="15" customHeight="1" x14ac:dyDescent="0.3">
      <c r="A51" s="138"/>
      <c r="B51" s="332"/>
      <c r="C51" s="332"/>
      <c r="D51" s="332"/>
      <c r="E51" s="332"/>
      <c r="F51" s="332"/>
      <c r="G51" s="137"/>
    </row>
    <row r="52" spans="1:7" ht="15.6" x14ac:dyDescent="0.3">
      <c r="A52" s="51"/>
      <c r="B52" s="51"/>
      <c r="C52" s="137"/>
      <c r="D52" s="51"/>
      <c r="E52" s="51"/>
      <c r="F52" s="372"/>
      <c r="G52" s="137"/>
    </row>
    <row r="53" spans="1:7" ht="15.6" x14ac:dyDescent="0.3">
      <c r="A53" s="51"/>
      <c r="B53" s="51"/>
      <c r="C53" s="137"/>
      <c r="D53" s="51"/>
      <c r="E53" s="51"/>
      <c r="F53" s="51"/>
      <c r="G53" s="137"/>
    </row>
    <row r="54" spans="1:7" ht="15.6" x14ac:dyDescent="0.3">
      <c r="A54" s="137"/>
      <c r="B54" s="137"/>
      <c r="C54" s="137"/>
      <c r="D54" s="137"/>
      <c r="E54" s="137"/>
      <c r="F54" s="137"/>
      <c r="G54" s="137"/>
    </row>
    <row r="55" spans="1:7" ht="15.6" x14ac:dyDescent="0.3">
      <c r="A55" s="137"/>
      <c r="B55" s="137"/>
      <c r="C55" s="137"/>
      <c r="D55" s="137"/>
      <c r="E55" s="137"/>
      <c r="F55" s="137"/>
      <c r="G55" s="137"/>
    </row>
    <row r="56" spans="1:7" ht="15.6" x14ac:dyDescent="0.3">
      <c r="A56" s="137"/>
      <c r="B56" s="137"/>
      <c r="C56" s="137"/>
      <c r="D56" s="137"/>
      <c r="E56" s="137"/>
      <c r="F56" s="137"/>
      <c r="G56" s="137"/>
    </row>
    <row r="57" spans="1:7" ht="15" customHeight="1" x14ac:dyDescent="0.3">
      <c r="A57" s="137"/>
      <c r="B57" s="137"/>
      <c r="C57" s="137"/>
      <c r="D57" s="137"/>
      <c r="E57" s="137"/>
      <c r="F57" s="137"/>
      <c r="G57" s="137"/>
    </row>
    <row r="58" spans="1:7" ht="15.6" x14ac:dyDescent="0.3">
      <c r="A58" s="137"/>
      <c r="B58" s="137"/>
      <c r="C58" s="137"/>
      <c r="D58" s="137"/>
      <c r="E58" s="137"/>
      <c r="F58" s="137"/>
      <c r="G58" s="137"/>
    </row>
    <row r="59" spans="1:7" ht="15.6" x14ac:dyDescent="0.3">
      <c r="A59" s="51"/>
      <c r="B59" s="403"/>
      <c r="C59" s="137"/>
      <c r="D59" s="137"/>
      <c r="E59" s="137"/>
      <c r="F59" s="137"/>
      <c r="G59" s="137"/>
    </row>
    <row r="60" spans="1:7" ht="15.6" x14ac:dyDescent="0.3">
      <c r="A60" s="137"/>
      <c r="B60" s="137"/>
      <c r="C60" s="137"/>
      <c r="D60" s="137"/>
      <c r="E60" s="137"/>
      <c r="F60" s="137"/>
      <c r="G60" s="137"/>
    </row>
    <row r="61" spans="1:7" x14ac:dyDescent="0.3">
      <c r="B61" s="28"/>
      <c r="C61" s="28"/>
      <c r="D61" s="28"/>
      <c r="E61" s="28"/>
      <c r="F61" s="28"/>
    </row>
    <row r="62" spans="1:7" x14ac:dyDescent="0.3">
      <c r="B62" s="28"/>
      <c r="C62" s="28"/>
      <c r="E62" s="28"/>
      <c r="F62" s="28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274</v>
      </c>
      <c r="B1" s="413" t="s">
        <v>275</v>
      </c>
      <c r="C1" s="412" t="s">
        <v>276</v>
      </c>
      <c r="D1" s="412" t="s">
        <v>277</v>
      </c>
      <c r="E1" s="412" t="s">
        <v>278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279</v>
      </c>
      <c r="L1" s="414" t="s">
        <v>280</v>
      </c>
      <c r="M1" s="412" t="s">
        <v>281</v>
      </c>
    </row>
    <row r="2" spans="1:13" x14ac:dyDescent="0.3">
      <c r="A2">
        <f>'NOTA DE VENTA'!$G$8</f>
        <v>0</v>
      </c>
      <c r="B2" t="str">
        <f>'NOTA DE VENTA'!$D$8</f>
        <v>N° 11847</v>
      </c>
      <c r="C2" s="1">
        <f>'NOTA DE VENTA'!$G$10</f>
        <v>46048</v>
      </c>
      <c r="D2" s="1">
        <f>'NOTA DE VENTA'!$G$11</f>
        <v>46055</v>
      </c>
      <c r="E2" t="str">
        <f>'NOTA DE VENTA'!$C$10</f>
        <v>PATRICIA FUENTES</v>
      </c>
      <c r="F2" t="str">
        <f>'NOTA DE VENTA'!$C$22</f>
        <v>CUB CON RESPALDO Y FRENTE 90°</v>
      </c>
      <c r="G2" t="str">
        <f>'NOTA DE VENTA'!$F$22</f>
        <v>PUMIC GREY OPACO</v>
      </c>
      <c r="H2" s="415">
        <f>'NOTA DE VENTA'!$H$25</f>
        <v>79734</v>
      </c>
      <c r="I2" s="415">
        <f>H2*0.19</f>
        <v>15149.460000000001</v>
      </c>
      <c r="J2" s="415">
        <f>I2+H2</f>
        <v>94883.46</v>
      </c>
      <c r="L2" s="60">
        <f>J2-K2</f>
        <v>94883.46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2026-01-23T12:43:17Z</cp:lastPrinted>
  <dcterms:created xsi:type="dcterms:W3CDTF">2013-03-18T13:35:42Z</dcterms:created>
  <dcterms:modified xsi:type="dcterms:W3CDTF">2026-01-26T21:33:06Z</dcterms:modified>
</cp:coreProperties>
</file>