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2FF2755A-3FFD-4E15-AAD2-6275DAD48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L21" i="1"/>
  <c r="J41" i="1"/>
  <c r="K35" i="1"/>
  <c r="K36" i="1" s="1"/>
  <c r="O22" i="1" l="1"/>
  <c r="P22" i="1" s="1"/>
  <c r="S22" i="1"/>
  <c r="H21" i="1"/>
  <c r="M21" i="1"/>
  <c r="S21" i="1" s="1"/>
  <c r="N21" i="1"/>
  <c r="J15" i="1"/>
  <c r="J10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<sst xmlns="http://schemas.openxmlformats.org/spreadsheetml/2006/main" count="232" uniqueCount="175">
  <si>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</si>
  <si>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</si>
  <si>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</si>
  <si>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</si>
  <si>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</si>
  <si>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</si>
  <si>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</si>
  <si>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</si>
  <si>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</si>
  <si>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</si>
  <si>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</si>
  <si>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</si>
  <si>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</si>
  <si>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</si>
  <si>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</si>
  <si>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</si>
  <si>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</si>
  <si>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</si>
  <si>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</si>
  <si>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</si>
  <si>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</si>
  <si>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</si>
  <si>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</si>
  <si>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</si>
  <si>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</si>
  <si>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</si>
  <si>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</si>
  <si>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</si>
  <si>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</si>
  <si>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</si>
  <si>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</si>
  <si>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</si>
  <si>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</si>
  <si>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</si>
  <si>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</si>
  <si>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</si>
  <si>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</si>
  <si>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</si>
  <si>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</si>
  <si>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</si>
  <si>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</si>
  <si>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</si>
  <si>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</si>
  <si>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</si>
  <si>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</si>
  <si>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</si>
  <si>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</si>
  <si>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</si>
  <si>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</si>
  <si>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</si>
  <si>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</si>
  <si>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</si>
  <si>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</si>
  <si>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</si>
  <si>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</si>
  <si>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</si>
  <si>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</si>
  <si>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</si>
  <si>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</si>
  <si>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</si>
  <si>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</si>
  <si>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</si>
  <si>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</si>
  <si>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</si>
  <si>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</si>
  <si>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</si>
  <si>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</si>
  <si>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</si>
  <si>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</si>
  <si>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</si>
  <si>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</si>
  <si>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</si>
  <si>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</si>
  <si>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</si>
  <si>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</si>
  <si>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</si>
  <si>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</si>
  <si>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</si>
  <si>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</si>
  <si>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</si>
  <si>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</si>
  <si>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</si>
  <si>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</si>
  <si>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</si>
  <si>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</si>
  <si>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</si>
  <si>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</si>
  <si>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</si>
  <si>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</si>
  <si>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</si>
  <si>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</si>
  <si>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</si>
  <si>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</si>
  <si>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</si>
  <si>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</si>
  <si>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</si>
  <si>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</si>
  <si>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</si>
  <si>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</si>
  <si>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</si>
  <si>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</si>
  <si>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</si>
  <si>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</si>
  <si>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</si>
  <si>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</si>
  <si>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</si>
  <si>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</si>
  <si>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</si>
  <si>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</si>
  <si>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</si>
  <si>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</si>
  <si>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</si>
  <si>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</si>
  <si>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</si>
  <si>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</si>
  <si>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</si>
  <si>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</si>
  <si>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</si>
  <si>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</si>
  <si>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</si>
  <si>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</si>
  <si>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</si>
  <si>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</si>
  <si>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</si>
  <si>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</si>
  <si>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</si>
  <si>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</si>
  <si>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</si>
  <si>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</si>
  <si>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</si>
  <si>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</si>
  <si>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</si>
  <si>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</si>
  <si>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</si>
  <si>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</si>
  <si>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</si>
  <si>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</si>
  <si>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</si>
  <si>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</si>
  <si>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</si>
  <si>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</si>
  <si>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</si>
  <si>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</si>
  <si>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</si>
  <si>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</si>
  <si>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</si>
  <si>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</si>
  <si>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</si>
  <si>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</si>
  <si>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</si>
  <si>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</si>
  <si>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</si>
  <si>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</si>
  <si>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</si>
  <si>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</si>
  <si>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</si>
  <si>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</si>
  <si>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</si>
  <si>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</si>
  <si>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</si>
  <si>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</si>
  <si>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</si>
  <si>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</si>
  <si>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</si>
  <si>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</si>
  <si>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</si>
  <si>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</si>
  <si>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</si>
  <si>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</si>
  <si>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</si>
  <si>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</si>
  <si>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</si>
  <si>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</si>
  <si>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N° 11833</t>
  </si>
  <si>
    <t>PIETRA ADOBE 2716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</si>
</sst>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G14" sqref="G1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46036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94774.262295081979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2.2000000000000002</v>
      </c>
      <c r="E21" s="333">
        <v>0.6</v>
      </c>
      <c r="F21" s="330" t="s">
        <v>174</v>
      </c>
      <c r="G21" s="331">
        <v>129651</v>
      </c>
      <c r="H21" s="331">
        <f t="shared" ref="H21:H22" si="1">G21*B21</f>
        <v>129651</v>
      </c>
      <c r="I21" s="320"/>
      <c r="J21" s="265">
        <v>92285</v>
      </c>
      <c r="K21" s="47"/>
      <c r="L21" s="332">
        <f>B21</f>
        <v>1</v>
      </c>
      <c r="M21" s="39">
        <f t="shared" ref="M21" si="2">D21+M$19</f>
        <v>2.2800000000000002</v>
      </c>
      <c r="N21" s="39">
        <f t="shared" ref="N21" si="3">E21+$N$19</f>
        <v>0.6</v>
      </c>
      <c r="O21" s="261">
        <f t="shared" ref="O21" si="4">M21*N21</f>
        <v>1.3680000000000001</v>
      </c>
      <c r="P21" s="259">
        <f t="shared" ref="P21" si="5">O21*L21</f>
        <v>1.3680000000000001</v>
      </c>
      <c r="Q21" s="252">
        <f t="shared" ref="Q21" si="6">Q$20*O21</f>
        <v>129651.19081967216</v>
      </c>
      <c r="R21" s="319">
        <f t="shared" ref="R21" si="7">Q21+R$20</f>
        <v>132651.19081967216</v>
      </c>
      <c r="S21" s="297">
        <f>L21*M21</f>
        <v>2.2800000000000002</v>
      </c>
      <c r="T21" s="46"/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1.3</v>
      </c>
      <c r="E22" s="333">
        <v>0.6</v>
      </c>
      <c r="F22" s="330" t="s">
        <v>174</v>
      </c>
      <c r="G22" s="331">
        <v>78473</v>
      </c>
      <c r="H22" s="331">
        <f t="shared" si="1"/>
        <v>78473</v>
      </c>
      <c r="I22" s="320"/>
      <c r="J22" s="265"/>
      <c r="K22" s="47"/>
      <c r="L22" s="332">
        <f t="shared" ref="L22" si="8">B22</f>
        <v>1</v>
      </c>
      <c r="M22" s="39">
        <f t="shared" ref="M22" si="9">D22+M$19</f>
        <v>1.3800000000000001</v>
      </c>
      <c r="N22" s="39">
        <f t="shared" ref="N22" si="10">E22+$N$19</f>
        <v>0.6</v>
      </c>
      <c r="O22" s="261">
        <f t="shared" ref="O22" si="11">M22*N22</f>
        <v>0.82800000000000007</v>
      </c>
      <c r="P22" s="259">
        <f t="shared" ref="P22" si="12">O22*L22</f>
        <v>0.82800000000000007</v>
      </c>
      <c r="Q22" s="252">
        <f t="shared" ref="Q22" si="13">Q$20*O22</f>
        <v>78473.089180327879</v>
      </c>
      <c r="R22" s="319">
        <f t="shared" ref="R22" si="14">Q22+R$20</f>
        <v>81473.089180327879</v>
      </c>
      <c r="S22" s="297">
        <f t="shared" ref="S22" si="15">L22*M22</f>
        <v>1.3800000000000001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208124</v>
      </c>
      <c r="I25" s="322"/>
      <c r="J25" s="265">
        <v>442955</v>
      </c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39543.56</v>
      </c>
      <c r="I26" s="322"/>
      <c r="J26" s="265"/>
      <c r="K26" s="47"/>
      <c r="L26" s="47"/>
      <c r="M26" s="39">
        <f>SUM(M21:M25)</f>
        <v>3.66</v>
      </c>
      <c r="N26" s="12"/>
      <c r="O26" s="12"/>
      <c r="P26" s="253">
        <f>SUM(P21:P24)</f>
        <v>2.1960000000000002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247667.56</v>
      </c>
      <c r="I27" s="322"/>
      <c r="J27" s="265"/>
      <c r="K27" s="47"/>
      <c r="L27" s="47"/>
      <c r="M27" s="39"/>
      <c r="N27" s="12"/>
      <c r="O27" s="12"/>
      <c r="P27" s="253">
        <f>P26</f>
        <v>2.1960000000000002</v>
      </c>
      <c r="Q27" s="14"/>
      <c r="R27" s="12"/>
      <c r="S27" s="239">
        <f>SUM(S21:S26)</f>
        <v>3.66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0.43920000000000003</v>
      </c>
      <c r="Q28" s="39" t="s">
        <v>130</v>
      </c>
      <c r="R28" s="42"/>
      <c r="S28" s="240">
        <f>S27+T25</f>
        <v>3.66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2.6352000000000002</v>
      </c>
      <c r="Q29" s="14"/>
      <c r="R29" s="14"/>
      <c r="S29" s="238">
        <f>S28*20%</f>
        <v>0.7320000000000001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4.3920000000000003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5.2704000000000004</v>
      </c>
      <c r="N31" s="12">
        <v>2000</v>
      </c>
      <c r="O31" s="12">
        <f t="shared" ref="O31:O36" si="16">M31*N31</f>
        <v>10540.800000000001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16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/>
      <c r="N33" s="250">
        <v>23500</v>
      </c>
      <c r="O33" s="12">
        <f t="shared" si="16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32859</v>
      </c>
      <c r="K34" s="232">
        <v>230</v>
      </c>
      <c r="L34" s="250"/>
      <c r="M34" s="14">
        <v>1</v>
      </c>
      <c r="N34" s="250">
        <v>61406</v>
      </c>
      <c r="O34" s="12">
        <f t="shared" si="16"/>
        <v>61406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16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 t="e">
        <f>#REF!/K35</f>
        <v>#REF!</v>
      </c>
      <c r="L36" s="250"/>
      <c r="M36" s="266">
        <v>3.66</v>
      </c>
      <c r="N36" s="12">
        <v>1000</v>
      </c>
      <c r="O36" s="12">
        <f t="shared" si="16"/>
        <v>3660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99106.8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208124.28000000003</v>
      </c>
      <c r="P38" s="14" t="s">
        <v>140</v>
      </c>
      <c r="Q38" s="14"/>
      <c r="R38" s="40">
        <f>P29/R37</f>
        <v>0.57600000000000007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73073</v>
      </c>
      <c r="L39" s="250"/>
      <c r="M39" s="14"/>
      <c r="N39" s="12"/>
      <c r="O39" s="12">
        <f>O38/P27</f>
        <v>94774.262295081979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61405.882352941182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-17121.738366787442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208124</v>
      </c>
      <c r="E11" s="132">
        <f>D11*0.19</f>
        <v>39543.56</v>
      </c>
      <c r="F11" s="131">
        <f>E11+D11</f>
        <v>247667.56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88868.261633212562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63874.890787439617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70868.261633212562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144249.10921256038</v>
      </c>
      <c r="E13" s="221">
        <f>(D11/D12)-1</f>
        <v>2.258306940869566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61868.261633212562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22868.261633212558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105393.56979927536</v>
      </c>
      <c r="F15" s="216">
        <f>E15-D12</f>
        <v>41518.679011835738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22868.261633212558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62868.261633212562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10540.800000000001</v>
      </c>
      <c r="E20" s="121">
        <f>D20*0.19</f>
        <v>2002.7520000000002</v>
      </c>
      <c r="F20" s="120">
        <f>SUM(D20:E20)</f>
        <v>12543.552000000001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34040.800000000003</v>
      </c>
      <c r="E21" s="116">
        <f>SUM(E18:E20)</f>
        <v>6467.7520000000004</v>
      </c>
      <c r="F21" s="115">
        <f>SUM(F18:F20)</f>
        <v>40508.552000000003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33075.807999999997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208124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34040.800000000003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144249.10921256038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144249.10921256038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2026-01-14T18:23:15Z</dcterms:modified>
</cp:coreProperties>
</file>