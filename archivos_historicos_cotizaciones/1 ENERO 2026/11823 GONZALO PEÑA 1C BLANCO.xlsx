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9EB68C97-D0F7-44FF-AC4F-84C126BCA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1" l="1"/>
  <c r="L69" i="1"/>
  <c r="L68" i="1"/>
  <c r="L56" i="1"/>
  <c r="L54" i="1"/>
  <c r="T43" i="1" l="1"/>
  <c r="T44" i="1"/>
  <c r="T45" i="1"/>
  <c r="T46" i="1"/>
  <c r="T47" i="1"/>
  <c r="T48" i="1"/>
  <c r="T38" i="1"/>
  <c r="T39" i="1"/>
  <c r="T40" i="1"/>
  <c r="T41" i="1"/>
  <c r="T42" i="1"/>
  <c r="T33" i="1"/>
  <c r="T34" i="1"/>
  <c r="T35" i="1"/>
  <c r="T36" i="1"/>
  <c r="T37" i="1"/>
  <c r="T29" i="1"/>
  <c r="T30" i="1"/>
  <c r="T31" i="1"/>
  <c r="T32" i="1"/>
  <c r="T26" i="1"/>
  <c r="T27" i="1"/>
  <c r="T28" i="1"/>
  <c r="T24" i="1"/>
  <c r="T25" i="1"/>
  <c r="T23" i="1"/>
  <c r="T22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21" i="1"/>
  <c r="T2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B50" i="1"/>
  <c r="M48" i="1"/>
  <c r="M47" i="1"/>
  <c r="M46" i="1"/>
  <c r="M45" i="1"/>
  <c r="M44" i="1"/>
  <c r="M43" i="1"/>
  <c r="M4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P48" i="1" l="1"/>
  <c r="P45" i="1"/>
  <c r="Q45" i="1" s="1"/>
  <c r="P44" i="1"/>
  <c r="P42" i="1"/>
  <c r="P46" i="1"/>
  <c r="Q46" i="1" s="1"/>
  <c r="P47" i="1"/>
  <c r="Q47" i="1" s="1"/>
  <c r="P43" i="1"/>
  <c r="Q43" i="1" s="1"/>
  <c r="Q48" i="1"/>
  <c r="Q44" i="1"/>
  <c r="Q42" i="1"/>
  <c r="P39" i="1"/>
  <c r="Q39" i="1" s="1"/>
  <c r="P35" i="1"/>
  <c r="Q35" i="1" s="1"/>
  <c r="P31" i="1"/>
  <c r="Q31" i="1" s="1"/>
  <c r="P27" i="1"/>
  <c r="Q27" i="1" s="1"/>
  <c r="P23" i="1"/>
  <c r="Q23" i="1" s="1"/>
  <c r="P40" i="1"/>
  <c r="Q40" i="1" s="1"/>
  <c r="P36" i="1"/>
  <c r="Q36" i="1" s="1"/>
  <c r="P32" i="1"/>
  <c r="Q32" i="1" s="1"/>
  <c r="P28" i="1"/>
  <c r="Q28" i="1" s="1"/>
  <c r="P24" i="1"/>
  <c r="Q24" i="1" s="1"/>
  <c r="P41" i="1"/>
  <c r="Q41" i="1" s="1"/>
  <c r="P37" i="1"/>
  <c r="Q37" i="1" s="1"/>
  <c r="P33" i="1"/>
  <c r="Q33" i="1" s="1"/>
  <c r="P29" i="1"/>
  <c r="Q29" i="1" s="1"/>
  <c r="P25" i="1"/>
  <c r="Q25" i="1" s="1"/>
  <c r="P38" i="1"/>
  <c r="Q38" i="1" s="1"/>
  <c r="P34" i="1"/>
  <c r="Q34" i="1" s="1"/>
  <c r="P30" i="1"/>
  <c r="Q30" i="1" s="1"/>
  <c r="P26" i="1"/>
  <c r="Q26" i="1" s="1"/>
  <c r="M22" i="1"/>
  <c r="N22" i="1"/>
  <c r="O22" i="1"/>
  <c r="M21" i="1"/>
  <c r="N5" i="6"/>
  <c r="A2" i="7"/>
  <c r="P22" i="1" l="1"/>
  <c r="Q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J14" i="6" s="1"/>
  <c r="C27" i="6"/>
  <c r="F21" i="6" s="1"/>
  <c r="B27" i="6"/>
  <c r="I21" i="6" s="1"/>
  <c r="K21" i="6"/>
  <c r="J21" i="6"/>
  <c r="K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T54" i="1" s="1"/>
  <c r="N53" i="1" l="1"/>
  <c r="U52" i="1"/>
  <c r="P21" i="1"/>
  <c r="Q21" i="1" s="1"/>
  <c r="Q53" i="1" s="1"/>
  <c r="L67" i="1"/>
  <c r="T55" i="1" l="1"/>
  <c r="T56" i="1" s="1"/>
  <c r="T57" i="1" s="1"/>
  <c r="W60" i="1"/>
  <c r="W61" i="1" s="1"/>
  <c r="Q54" i="1" l="1"/>
  <c r="O20" i="1"/>
  <c r="M20" i="1"/>
  <c r="Q55" i="1" l="1"/>
  <c r="Q56" i="1" s="1"/>
  <c r="P60" i="1"/>
  <c r="S64" i="1"/>
  <c r="S65" i="1" l="1"/>
  <c r="P59" i="1" s="1"/>
  <c r="P61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63" i="1"/>
  <c r="P62" i="1"/>
  <c r="F18" i="3" l="1"/>
  <c r="P58" i="1" l="1"/>
  <c r="P64" i="1" s="1"/>
  <c r="P65" i="1" s="1"/>
  <c r="D20" i="3" l="1"/>
  <c r="E20" i="3" s="1"/>
  <c r="E21" i="3" s="1"/>
  <c r="P66" i="1" l="1"/>
  <c r="R20" i="1" s="1"/>
  <c r="D21" i="3"/>
  <c r="M43" i="3" s="1"/>
  <c r="D12" i="3" s="1"/>
  <c r="F20" i="3"/>
  <c r="F21" i="3" s="1"/>
  <c r="R42" i="1" l="1"/>
  <c r="R46" i="1"/>
  <c r="R47" i="1"/>
  <c r="R45" i="1"/>
  <c r="R43" i="1"/>
  <c r="R44" i="1"/>
  <c r="R48" i="1"/>
  <c r="R22" i="1"/>
  <c r="R38" i="1"/>
  <c r="R34" i="1"/>
  <c r="R30" i="1"/>
  <c r="R26" i="1"/>
  <c r="R40" i="1"/>
  <c r="R32" i="1"/>
  <c r="R24" i="1"/>
  <c r="R35" i="1"/>
  <c r="R27" i="1"/>
  <c r="R41" i="1"/>
  <c r="R37" i="1"/>
  <c r="R33" i="1"/>
  <c r="R29" i="1"/>
  <c r="R25" i="1"/>
  <c r="R36" i="1"/>
  <c r="R28" i="1"/>
  <c r="R39" i="1"/>
  <c r="R31" i="1"/>
  <c r="R23" i="1"/>
  <c r="P67" i="1"/>
  <c r="E15" i="3"/>
  <c r="S28" i="1" l="1"/>
  <c r="H28" i="1"/>
  <c r="S33" i="1"/>
  <c r="H33" i="1"/>
  <c r="S26" i="1"/>
  <c r="H26" i="1"/>
  <c r="S45" i="1"/>
  <c r="H45" i="1"/>
  <c r="S36" i="1"/>
  <c r="H36" i="1"/>
  <c r="S37" i="1"/>
  <c r="H37" i="1"/>
  <c r="S30" i="1"/>
  <c r="H30" i="1"/>
  <c r="S48" i="1"/>
  <c r="H48" i="1"/>
  <c r="S47" i="1"/>
  <c r="H47" i="1"/>
  <c r="S31" i="1"/>
  <c r="H31" i="1"/>
  <c r="S25" i="1"/>
  <c r="H25" i="1"/>
  <c r="S41" i="1"/>
  <c r="H41" i="1"/>
  <c r="S32" i="1"/>
  <c r="H32" i="1"/>
  <c r="S34" i="1"/>
  <c r="H34" i="1"/>
  <c r="S44" i="1"/>
  <c r="H44" i="1"/>
  <c r="S46" i="1"/>
  <c r="H46" i="1"/>
  <c r="S35" i="1"/>
  <c r="H35" i="1"/>
  <c r="S22" i="1"/>
  <c r="H22" i="1"/>
  <c r="S23" i="1"/>
  <c r="H23" i="1"/>
  <c r="S24" i="1"/>
  <c r="H24" i="1"/>
  <c r="S39" i="1"/>
  <c r="H39" i="1"/>
  <c r="S29" i="1"/>
  <c r="H29" i="1"/>
  <c r="S27" i="1"/>
  <c r="H27" i="1"/>
  <c r="S40" i="1"/>
  <c r="H40" i="1"/>
  <c r="S38" i="1"/>
  <c r="H38" i="1"/>
  <c r="S43" i="1"/>
  <c r="H43" i="1"/>
  <c r="S42" i="1"/>
  <c r="H42" i="1"/>
  <c r="R21" i="1"/>
  <c r="H21" i="1" s="1"/>
  <c r="F15" i="3"/>
  <c r="I42" i="1" l="1"/>
  <c r="I38" i="1"/>
  <c r="I27" i="1"/>
  <c r="I39" i="1"/>
  <c r="I23" i="1"/>
  <c r="I35" i="1"/>
  <c r="I44" i="1"/>
  <c r="I32" i="1"/>
  <c r="I25" i="1"/>
  <c r="I47" i="1"/>
  <c r="I30" i="1"/>
  <c r="I36" i="1"/>
  <c r="I40" i="1"/>
  <c r="I24" i="1"/>
  <c r="I46" i="1"/>
  <c r="I41" i="1"/>
  <c r="I31" i="1"/>
  <c r="I48" i="1"/>
  <c r="I37" i="1"/>
  <c r="I45" i="1"/>
  <c r="I33" i="1"/>
  <c r="I43" i="1"/>
  <c r="I29" i="1"/>
  <c r="I22" i="1"/>
  <c r="I34" i="1"/>
  <c r="I26" i="1"/>
  <c r="I28" i="1"/>
  <c r="S21" i="1"/>
  <c r="I21" i="1" l="1"/>
  <c r="I52" i="1" s="1"/>
  <c r="I53" i="1" s="1"/>
  <c r="G22" i="4" l="1"/>
  <c r="H22" i="4" s="1"/>
  <c r="H25" i="4" s="1"/>
  <c r="I54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<sst xmlns="http://schemas.openxmlformats.org/spreadsheetml/2006/main" count="570" uniqueCount="296">
  <si>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</si>
  <si>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</si>
  <si>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</si>
  <si>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</si>
  <si>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</si>
  <si>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</si>
  <si>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</si>
  <si>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</si>
  <si>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</si>
  <si>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</si>
  <si>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</si>
  <si>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</si>
  <si>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</si>
  <si>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</si>
  <si>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</si>
  <si>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</si>
  <si>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</si>
  <si>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</si>
  <si>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</si>
  <si>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</si>
  <si>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</si>
  <si>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</si>
  <si>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</si>
  <si>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</si>
  <si>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</si>
  <si>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</si>
  <si>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</si>
  <si>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</si>
  <si>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</si>
  <si>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</si>
  <si>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</si>
  <si>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</si>
  <si>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</si>
  <si>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</si>
  <si>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</si>
  <si>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</si>
  <si>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</si>
  <si>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</si>
  <si>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</si>
  <si>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</si>
  <si>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</si>
  <si>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</si>
  <si>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</si>
  <si>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</si>
  <si>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</si>
  <si>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</si>
  <si>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</si>
  <si>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</si>
  <si>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</si>
  <si>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</si>
  <si>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</si>
  <si>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</si>
  <si>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</si>
  <si>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</si>
  <si>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</si>
  <si>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</si>
  <si>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</si>
  <si>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</si>
  <si>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</si>
  <si>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</si>
  <si>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</si>
  <si>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</si>
  <si>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</si>
  <si>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</si>
  <si>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</si>
  <si>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</si>
  <si>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</si>
  <si>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</si>
  <si>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</si>
  <si>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</si>
  <si>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</si>
  <si>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</si>
  <si>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</si>
  <si>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</si>
  <si>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</si>
  <si>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</si>
  <si>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</si>
  <si>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</si>
  <si>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</si>
  <si>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</si>
  <si>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</si>
  <si>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</si>
  <si>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</si>
  <si>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</si>
  <si>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</si>
  <si>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</si>
  <si>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</si>
  <si>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</si>
  <si>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</si>
  <si>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</si>
  <si>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</si>
  <si>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</si>
  <si>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</si>
  <si>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</si>
  <si>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</si>
  <si>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</si>
  <si>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</si>
  <si>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</si>
  <si>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</si>
  <si>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</si>
  <si>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</si>
  <si>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</si>
  <si>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</si>
  <si>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</si>
  <si>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</si>
  <si>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</si>
  <si>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</si>
  <si>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</si>
  <si>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</si>
  <si>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</si>
  <si>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</si>
  <si>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</si>
  <si>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</si>
  <si>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</si>
  <si>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</si>
  <si>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</si>
  <si>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</si>
  <si>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</si>
  <si>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</si>
  <si>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</si>
  <si>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</si>
  <si>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</si>
  <si>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</si>
  <si>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</si>
  <si>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</si>
  <si>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</si>
  <si>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</si>
  <si>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</si>
  <si>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</si>
  <si>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</si>
  <si>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</si>
  <si>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</si>
  <si>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</si>
  <si>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</si>
  <si>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</si>
  <si>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</si>
  <si>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</si>
  <si>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</si>
  <si>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</si>
  <si>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</si>
  <si>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</si>
  <si>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</si>
  <si>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</si>
  <si>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</si>
  <si>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</si>
  <si>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</si>
  <si>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</si>
  <si>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</si>
  <si>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</si>
  <si>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</si>
  <si>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</si>
  <si>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</si>
  <si>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</si>
  <si>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</si>
  <si>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</si>
  <si>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</si>
  <si>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</si>
  <si>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</si>
  <si>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</si>
  <si>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</si>
  <si>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</si>
  <si>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</si>
  <si>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</si>
  <si>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</si>
  <si>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</si>
  <si>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</si>
  <si>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</si>
  <si>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</si>
  <si>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</si>
  <si>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</si>
  <si>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</si>
  <si>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</si>
  <si>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</si>
  <si>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</si>
  <si>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</si>
  <si>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</si>
  <si>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</si>
  <si>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</si>
  <si>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</si>
  <si>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</si>
  <si>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</si>
  <si>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</si>
  <si>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</si>
  <si>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</si>
  <si>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</si>
  <si>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</si>
  <si>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</si>
  <si>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</si>
  <si>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</si>
  <si>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</si>
  <si>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</si>
  <si>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</si>
  <si>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</si>
  <si>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</si>
  <si>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</si>
  <si>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</si>
  <si>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</si>
  <si>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</si>
  <si>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</si>
  <si>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</si>
  <si>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</si>
  <si>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</si>
  <si>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</si>
  <si>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</si>
  <si>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</si>
  <si>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</si>
  <si>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</si>
  <si>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</si>
  <si>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</si>
  <si>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</si>
  <si>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</si>
  <si>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</si>
  <si>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</si>
  <si>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</si>
  <si>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</si>
  <si>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</si>
  <si>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</si>
  <si>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</si>
  <si>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</si>
  <si>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</si>
  <si>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</si>
  <si>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</si>
  <si>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</si>
  <si>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</si>
  <si>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</si>
  <si>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</si>
  <si>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</si>
  <si>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</si>
  <si>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</si>
  <si>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</si>
  <si>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</si>
  <si>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</si>
  <si>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</si>
  <si>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</si>
  <si>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</si>
  <si>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</si>
  <si>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</si>
  <si>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</si>
  <si>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</si>
  <si>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</si>
  <si>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</si>
  <si>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</si>
  <si>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</si>
  <si>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</si>
  <si>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</si>
  <si>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</si>
  <si>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</si>
  <si>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</si>
  <si>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</si>
  <si>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</si>
  <si>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</si>
  <si>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</si>
  <si>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</si>
  <si>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</si>
  <si>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</si>
  <si>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</si>
  <si>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</si>
  <si>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</si>
  <si>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</si>
  <si>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</si>
  <si>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</si>
  <si>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</si>
  <si>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</si>
  <si>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</si>
  <si>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</si>
  <si>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</si>
  <si>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</si>
  <si>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</si>
  <si>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</si>
  <si>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</si>
  <si>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</si>
  <si>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</si>
  <si>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</si>
  <si>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</si>
  <si>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</si>
  <si>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</si>
  <si>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</si>
  <si>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</si>
  <si>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</si>
  <si>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</si>
  <si>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</si>
  <si>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</si>
  <si>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</si>
  <si>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</si>
  <si>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</si>
  <si>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</si>
  <si>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</si>
  <si>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TAPACANTO 100 MTS 1,5X22</t>
  </si>
  <si>
    <t>GONZALO PEÑA</t>
  </si>
  <si>
    <t>SI</t>
  </si>
  <si>
    <t>Cotizado por: Fernando Donoso</t>
  </si>
  <si>
    <t>10 DIAS HABILES</t>
  </si>
  <si>
    <t>N° 11823</t>
  </si>
  <si>
    <t>4L</t>
  </si>
  <si>
    <t>BLANCO MERINO SF</t>
  </si>
  <si>
    <t>ENCHAPE RECTO 1 CARA 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</si>
</sst>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167" fontId="0" fillId="7" borderId="0" xfId="0" applyNumberForma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55</xdr:row>
      <xdr:rowOff>8194</xdr:rowOff>
    </xdr:from>
    <xdr:to>
      <xdr:col>9</xdr:col>
      <xdr:colOff>8193</xdr:colOff>
      <xdr:row>58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57</xdr:row>
      <xdr:rowOff>154305</xdr:rowOff>
    </xdr:from>
    <xdr:to>
      <xdr:col>8</xdr:col>
      <xdr:colOff>853440</xdr:colOff>
      <xdr:row>57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55</xdr:row>
      <xdr:rowOff>9525</xdr:rowOff>
    </xdr:from>
    <xdr:to>
      <xdr:col>6</xdr:col>
      <xdr:colOff>1745226</xdr:colOff>
      <xdr:row>58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214364</xdr:rowOff>
    </xdr:from>
    <xdr:to>
      <xdr:col>6</xdr:col>
      <xdr:colOff>1728839</xdr:colOff>
      <xdr:row>53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09"/>
  <sheetViews>
    <sheetView tabSelected="1" topLeftCell="B22" zoomScale="93" zoomScaleNormal="93" workbookViewId="0">
      <selection activeCell="K21" sqref="K21:K48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292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288</v>
      </c>
      <c r="D10" s="243"/>
      <c r="E10" s="243"/>
      <c r="F10" s="243"/>
      <c r="G10" s="418" t="s">
        <v>275</v>
      </c>
      <c r="H10" s="275">
        <v>46029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291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289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2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290</v>
      </c>
      <c r="I17" s="428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6"/>
      <c r="I19" s="437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P66</f>
        <v>46743.228995644997</v>
      </c>
      <c r="S20" s="257">
        <v>1000</v>
      </c>
      <c r="T20" s="38" t="s">
        <v>10</v>
      </c>
      <c r="U20" s="43" t="s">
        <v>11</v>
      </c>
      <c r="V20" s="9"/>
      <c r="Y20" s="4"/>
    </row>
    <row r="21" spans="2:26" ht="17.399999999999999" x14ac:dyDescent="0.3">
      <c r="B21" s="430">
        <v>6</v>
      </c>
      <c r="C21" s="430" t="s">
        <v>295</v>
      </c>
      <c r="D21" s="431">
        <v>0.92</v>
      </c>
      <c r="E21" s="431">
        <v>0.41499999999999998</v>
      </c>
      <c r="F21" s="431" t="s">
        <v>293</v>
      </c>
      <c r="G21" s="430" t="s">
        <v>294</v>
      </c>
      <c r="H21" s="432">
        <f>R21</f>
        <v>19113.306336319241</v>
      </c>
      <c r="I21" s="432">
        <f>H21*B21</f>
        <v>114679.83801791545</v>
      </c>
      <c r="J21" s="306"/>
      <c r="K21" s="264"/>
      <c r="L21" s="47"/>
      <c r="M21" s="47">
        <f>B21</f>
        <v>6</v>
      </c>
      <c r="N21" s="39">
        <f>D21+N$19</f>
        <v>0.94000000000000006</v>
      </c>
      <c r="O21" s="39">
        <f>E21+$O$19</f>
        <v>0.435</v>
      </c>
      <c r="P21" s="260">
        <f t="shared" ref="P21" si="0">N21*O21</f>
        <v>0.40890000000000004</v>
      </c>
      <c r="Q21" s="258">
        <f t="shared" ref="Q21" si="1">P21*M21</f>
        <v>2.4534000000000002</v>
      </c>
      <c r="R21" s="251">
        <f t="shared" ref="R21" si="2">R$20*P21</f>
        <v>19113.306336319241</v>
      </c>
      <c r="S21" s="305">
        <f t="shared" ref="S21" si="3">R21+S$20</f>
        <v>20113.306336319241</v>
      </c>
      <c r="T21" s="290">
        <f>N21*M21*2</f>
        <v>11.280000000000001</v>
      </c>
      <c r="U21" s="46">
        <f>O21*M21*2</f>
        <v>5.22</v>
      </c>
      <c r="V21" s="9"/>
      <c r="Y21" s="4"/>
    </row>
    <row r="22" spans="2:26" ht="17.399999999999999" x14ac:dyDescent="0.3">
      <c r="B22" s="430">
        <v>4</v>
      </c>
      <c r="C22" s="430" t="s">
        <v>295</v>
      </c>
      <c r="D22" s="431">
        <v>0.92</v>
      </c>
      <c r="E22" s="431">
        <v>0.44500000000000001</v>
      </c>
      <c r="F22" s="431" t="s">
        <v>293</v>
      </c>
      <c r="G22" s="430" t="s">
        <v>294</v>
      </c>
      <c r="H22" s="432">
        <f t="shared" ref="H22:H48" si="4">R22</f>
        <v>20431.46539399643</v>
      </c>
      <c r="I22" s="432">
        <f t="shared" ref="I22:I41" si="5">H22*B22</f>
        <v>81725.86157598572</v>
      </c>
      <c r="J22" s="306"/>
      <c r="K22" s="264"/>
      <c r="L22" s="47"/>
      <c r="M22" s="47">
        <f>B22</f>
        <v>4</v>
      </c>
      <c r="N22" s="39">
        <f>D22+N$19</f>
        <v>0.94000000000000006</v>
      </c>
      <c r="O22" s="39">
        <f>E22+$O$19</f>
        <v>0.46500000000000002</v>
      </c>
      <c r="P22" s="260">
        <f t="shared" ref="P22" si="6">N22*O22</f>
        <v>0.43710000000000004</v>
      </c>
      <c r="Q22" s="258">
        <f t="shared" ref="Q22" si="7">P22*M22</f>
        <v>1.7484000000000002</v>
      </c>
      <c r="R22" s="251">
        <f t="shared" ref="R22" si="8">R$20*P22</f>
        <v>20431.46539399643</v>
      </c>
      <c r="S22" s="305">
        <f t="shared" ref="S22" si="9">R22+S$20</f>
        <v>21431.46539399643</v>
      </c>
      <c r="T22" s="290">
        <f>N22*M22*2</f>
        <v>7.5200000000000005</v>
      </c>
      <c r="U22" s="46">
        <f t="shared" ref="U22:U48" si="10">O22*M22*2</f>
        <v>3.72</v>
      </c>
      <c r="V22" s="9"/>
      <c r="Y22" s="4"/>
    </row>
    <row r="23" spans="2:26" ht="17.399999999999999" x14ac:dyDescent="0.3">
      <c r="B23" s="430">
        <v>6</v>
      </c>
      <c r="C23" s="430" t="s">
        <v>295</v>
      </c>
      <c r="D23" s="431">
        <v>0.92</v>
      </c>
      <c r="E23" s="431">
        <v>0.46500000000000002</v>
      </c>
      <c r="F23" s="431" t="s">
        <v>293</v>
      </c>
      <c r="G23" s="430" t="s">
        <v>294</v>
      </c>
      <c r="H23" s="432">
        <f t="shared" si="4"/>
        <v>21310.238099114558</v>
      </c>
      <c r="I23" s="432">
        <f t="shared" si="5"/>
        <v>127861.42859468734</v>
      </c>
      <c r="J23" s="306"/>
      <c r="K23" s="264"/>
      <c r="L23" s="47"/>
      <c r="M23" s="47">
        <f t="shared" ref="M23:M48" si="11">B23</f>
        <v>6</v>
      </c>
      <c r="N23" s="39">
        <f t="shared" ref="N23:N41" si="12">D23+N$19</f>
        <v>0.94000000000000006</v>
      </c>
      <c r="O23" s="39">
        <f t="shared" ref="O23:O41" si="13">E23+$O$19</f>
        <v>0.48500000000000004</v>
      </c>
      <c r="P23" s="260">
        <f t="shared" ref="P23:P41" si="14">N23*O23</f>
        <v>0.45590000000000008</v>
      </c>
      <c r="Q23" s="258">
        <f t="shared" ref="Q23:Q41" si="15">P23*M23</f>
        <v>2.7354000000000003</v>
      </c>
      <c r="R23" s="251">
        <f t="shared" ref="R23:R41" si="16">R$20*P23</f>
        <v>21310.238099114558</v>
      </c>
      <c r="S23" s="305">
        <f t="shared" ref="S23:S41" si="17">R23+S$20</f>
        <v>22310.238099114558</v>
      </c>
      <c r="T23" s="290">
        <f>N23*M23*2</f>
        <v>11.280000000000001</v>
      </c>
      <c r="U23" s="46">
        <f t="shared" si="10"/>
        <v>5.82</v>
      </c>
      <c r="V23" s="9"/>
      <c r="Y23" s="4"/>
    </row>
    <row r="24" spans="2:26" ht="17.399999999999999" x14ac:dyDescent="0.3">
      <c r="B24" s="430">
        <v>2</v>
      </c>
      <c r="C24" s="430" t="s">
        <v>295</v>
      </c>
      <c r="D24" s="431">
        <v>0.92</v>
      </c>
      <c r="E24" s="431">
        <v>0.34</v>
      </c>
      <c r="F24" s="431" t="s">
        <v>293</v>
      </c>
      <c r="G24" s="430" t="s">
        <v>294</v>
      </c>
      <c r="H24" s="432">
        <f t="shared" si="4"/>
        <v>15817.908692126268</v>
      </c>
      <c r="I24" s="432">
        <f t="shared" si="5"/>
        <v>31635.817384252536</v>
      </c>
      <c r="J24" s="306"/>
      <c r="K24" s="264"/>
      <c r="L24" s="47"/>
      <c r="M24" s="47">
        <f t="shared" si="11"/>
        <v>2</v>
      </c>
      <c r="N24" s="39">
        <f t="shared" si="12"/>
        <v>0.94000000000000006</v>
      </c>
      <c r="O24" s="39">
        <f t="shared" si="13"/>
        <v>0.36000000000000004</v>
      </c>
      <c r="P24" s="260">
        <f t="shared" si="14"/>
        <v>0.33840000000000003</v>
      </c>
      <c r="Q24" s="258">
        <f t="shared" si="15"/>
        <v>0.67680000000000007</v>
      </c>
      <c r="R24" s="251">
        <f t="shared" si="16"/>
        <v>15817.908692126268</v>
      </c>
      <c r="S24" s="305">
        <f t="shared" si="17"/>
        <v>16817.908692126268</v>
      </c>
      <c r="T24" s="290">
        <f t="shared" ref="T24:T31" si="18">N24*M24*2</f>
        <v>3.7600000000000002</v>
      </c>
      <c r="U24" s="46">
        <f t="shared" si="10"/>
        <v>1.4400000000000002</v>
      </c>
      <c r="V24" s="9"/>
      <c r="Y24" s="4"/>
    </row>
    <row r="25" spans="2:26" ht="17.399999999999999" x14ac:dyDescent="0.3">
      <c r="B25" s="430">
        <v>7</v>
      </c>
      <c r="C25" s="430" t="s">
        <v>295</v>
      </c>
      <c r="D25" s="431">
        <v>0.69</v>
      </c>
      <c r="E25" s="431">
        <v>0.59499999999999997</v>
      </c>
      <c r="F25" s="431" t="s">
        <v>293</v>
      </c>
      <c r="G25" s="430" t="s">
        <v>294</v>
      </c>
      <c r="H25" s="432">
        <f t="shared" si="4"/>
        <v>20410.430940948387</v>
      </c>
      <c r="I25" s="432">
        <f t="shared" si="5"/>
        <v>142873.0165866387</v>
      </c>
      <c r="J25" s="306"/>
      <c r="K25" s="264"/>
      <c r="L25" s="47"/>
      <c r="M25" s="47">
        <f t="shared" si="11"/>
        <v>7</v>
      </c>
      <c r="N25" s="39">
        <f t="shared" si="12"/>
        <v>0.71</v>
      </c>
      <c r="O25" s="39">
        <f t="shared" si="13"/>
        <v>0.61499999999999999</v>
      </c>
      <c r="P25" s="260">
        <f t="shared" si="14"/>
        <v>0.43664999999999998</v>
      </c>
      <c r="Q25" s="258">
        <f t="shared" si="15"/>
        <v>3.0565499999999997</v>
      </c>
      <c r="R25" s="251">
        <f t="shared" si="16"/>
        <v>20410.430940948387</v>
      </c>
      <c r="S25" s="305">
        <f t="shared" si="17"/>
        <v>21410.430940948387</v>
      </c>
      <c r="T25" s="290">
        <f t="shared" si="18"/>
        <v>9.94</v>
      </c>
      <c r="U25" s="46">
        <f t="shared" si="10"/>
        <v>8.61</v>
      </c>
      <c r="V25" s="9"/>
      <c r="Y25" s="4"/>
    </row>
    <row r="26" spans="2:26" ht="17.399999999999999" x14ac:dyDescent="0.3">
      <c r="B26" s="430">
        <v>1</v>
      </c>
      <c r="C26" s="430" t="s">
        <v>295</v>
      </c>
      <c r="D26" s="431">
        <v>0.69</v>
      </c>
      <c r="E26" s="431">
        <v>0.39500000000000002</v>
      </c>
      <c r="F26" s="431" t="s">
        <v>293</v>
      </c>
      <c r="G26" s="430" t="s">
        <v>294</v>
      </c>
      <c r="H26" s="432">
        <f t="shared" si="4"/>
        <v>13772.8924235668</v>
      </c>
      <c r="I26" s="432">
        <f t="shared" si="5"/>
        <v>13772.8924235668</v>
      </c>
      <c r="J26" s="306"/>
      <c r="K26" s="264"/>
      <c r="L26" s="47"/>
      <c r="M26" s="47">
        <f t="shared" si="11"/>
        <v>1</v>
      </c>
      <c r="N26" s="39">
        <f t="shared" si="12"/>
        <v>0.71</v>
      </c>
      <c r="O26" s="39">
        <f t="shared" si="13"/>
        <v>0.41500000000000004</v>
      </c>
      <c r="P26" s="260">
        <f t="shared" si="14"/>
        <v>0.29465000000000002</v>
      </c>
      <c r="Q26" s="258">
        <f t="shared" si="15"/>
        <v>0.29465000000000002</v>
      </c>
      <c r="R26" s="251">
        <f t="shared" si="16"/>
        <v>13772.8924235668</v>
      </c>
      <c r="S26" s="305">
        <f t="shared" si="17"/>
        <v>14772.8924235668</v>
      </c>
      <c r="T26" s="290">
        <f>N26*M26*2</f>
        <v>1.42</v>
      </c>
      <c r="U26" s="46">
        <f t="shared" si="10"/>
        <v>0.83000000000000007</v>
      </c>
      <c r="V26" s="9"/>
      <c r="Y26" s="4"/>
    </row>
    <row r="27" spans="2:26" ht="17.399999999999999" x14ac:dyDescent="0.3">
      <c r="B27" s="430">
        <v>1</v>
      </c>
      <c r="C27" s="430" t="s">
        <v>295</v>
      </c>
      <c r="D27" s="431">
        <v>0.66</v>
      </c>
      <c r="E27" s="431">
        <v>0.45</v>
      </c>
      <c r="F27" s="431" t="s">
        <v>293</v>
      </c>
      <c r="G27" s="430" t="s">
        <v>294</v>
      </c>
      <c r="H27" s="432">
        <f t="shared" si="4"/>
        <v>14939.135987008143</v>
      </c>
      <c r="I27" s="432">
        <f t="shared" si="5"/>
        <v>14939.135987008143</v>
      </c>
      <c r="J27" s="306"/>
      <c r="K27" s="264"/>
      <c r="L27" s="47"/>
      <c r="M27" s="47">
        <f t="shared" si="11"/>
        <v>1</v>
      </c>
      <c r="N27" s="39">
        <f t="shared" si="12"/>
        <v>0.68</v>
      </c>
      <c r="O27" s="39">
        <f t="shared" si="13"/>
        <v>0.47000000000000003</v>
      </c>
      <c r="P27" s="260">
        <f t="shared" si="14"/>
        <v>0.31960000000000005</v>
      </c>
      <c r="Q27" s="258">
        <f t="shared" si="15"/>
        <v>0.31960000000000005</v>
      </c>
      <c r="R27" s="251">
        <f t="shared" si="16"/>
        <v>14939.135987008143</v>
      </c>
      <c r="S27" s="305">
        <f t="shared" si="17"/>
        <v>15939.135987008143</v>
      </c>
      <c r="T27" s="290">
        <f t="shared" si="18"/>
        <v>1.36</v>
      </c>
      <c r="U27" s="46">
        <f t="shared" si="10"/>
        <v>0.94000000000000006</v>
      </c>
      <c r="V27" s="9"/>
      <c r="Y27" s="4"/>
    </row>
    <row r="28" spans="2:26" ht="17.399999999999999" x14ac:dyDescent="0.3">
      <c r="B28" s="430">
        <v>1</v>
      </c>
      <c r="C28" s="430" t="s">
        <v>295</v>
      </c>
      <c r="D28" s="431">
        <v>0.66</v>
      </c>
      <c r="E28" s="431">
        <v>0.26500000000000001</v>
      </c>
      <c r="F28" s="431" t="s">
        <v>293</v>
      </c>
      <c r="G28" s="430" t="s">
        <v>294</v>
      </c>
      <c r="H28" s="432">
        <f t="shared" si="4"/>
        <v>9058.8377793560012</v>
      </c>
      <c r="I28" s="432">
        <f t="shared" si="5"/>
        <v>9058.8377793560012</v>
      </c>
      <c r="J28" s="306"/>
      <c r="K28" s="264"/>
      <c r="L28" s="47"/>
      <c r="M28" s="47">
        <f t="shared" si="11"/>
        <v>1</v>
      </c>
      <c r="N28" s="39">
        <f t="shared" si="12"/>
        <v>0.68</v>
      </c>
      <c r="O28" s="39">
        <f t="shared" si="13"/>
        <v>0.28500000000000003</v>
      </c>
      <c r="P28" s="260">
        <f t="shared" si="14"/>
        <v>0.19380000000000003</v>
      </c>
      <c r="Q28" s="258">
        <f t="shared" si="15"/>
        <v>0.19380000000000003</v>
      </c>
      <c r="R28" s="251">
        <f t="shared" si="16"/>
        <v>9058.8377793560012</v>
      </c>
      <c r="S28" s="305">
        <f t="shared" si="17"/>
        <v>10058.837779356001</v>
      </c>
      <c r="T28" s="290">
        <f t="shared" si="18"/>
        <v>1.36</v>
      </c>
      <c r="U28" s="46">
        <f t="shared" si="10"/>
        <v>0.57000000000000006</v>
      </c>
      <c r="V28" s="9"/>
      <c r="Y28" s="4"/>
    </row>
    <row r="29" spans="2:26" ht="17.399999999999999" x14ac:dyDescent="0.3">
      <c r="B29" s="430">
        <v>3</v>
      </c>
      <c r="C29" s="430" t="s">
        <v>295</v>
      </c>
      <c r="D29" s="431">
        <v>0.66</v>
      </c>
      <c r="E29" s="431">
        <v>0.30499999999999999</v>
      </c>
      <c r="F29" s="431" t="s">
        <v>293</v>
      </c>
      <c r="G29" s="430" t="s">
        <v>294</v>
      </c>
      <c r="H29" s="432">
        <f t="shared" si="4"/>
        <v>10330.253608037545</v>
      </c>
      <c r="I29" s="432">
        <f t="shared" si="5"/>
        <v>30990.760824112636</v>
      </c>
      <c r="J29" s="306"/>
      <c r="K29" s="264"/>
      <c r="L29" s="47"/>
      <c r="M29" s="47">
        <f t="shared" si="11"/>
        <v>3</v>
      </c>
      <c r="N29" s="39">
        <f t="shared" si="12"/>
        <v>0.68</v>
      </c>
      <c r="O29" s="39">
        <f t="shared" si="13"/>
        <v>0.32500000000000001</v>
      </c>
      <c r="P29" s="260">
        <f t="shared" si="14"/>
        <v>0.22100000000000003</v>
      </c>
      <c r="Q29" s="258">
        <f t="shared" si="15"/>
        <v>0.66300000000000003</v>
      </c>
      <c r="R29" s="251">
        <f t="shared" si="16"/>
        <v>10330.253608037545</v>
      </c>
      <c r="S29" s="305">
        <f t="shared" si="17"/>
        <v>11330.253608037545</v>
      </c>
      <c r="T29" s="290">
        <f>N29*M29*2</f>
        <v>4.08</v>
      </c>
      <c r="U29" s="46">
        <f t="shared" si="10"/>
        <v>1.9500000000000002</v>
      </c>
      <c r="V29" s="9"/>
      <c r="Y29" s="4"/>
    </row>
    <row r="30" spans="2:26" ht="17.399999999999999" x14ac:dyDescent="0.3">
      <c r="B30" s="430">
        <v>6</v>
      </c>
      <c r="C30" s="430" t="s">
        <v>295</v>
      </c>
      <c r="D30" s="431">
        <v>0.66</v>
      </c>
      <c r="E30" s="431">
        <v>0.32500000000000001</v>
      </c>
      <c r="F30" s="431" t="s">
        <v>293</v>
      </c>
      <c r="G30" s="430" t="s">
        <v>294</v>
      </c>
      <c r="H30" s="432">
        <f t="shared" si="4"/>
        <v>10965.961522378318</v>
      </c>
      <c r="I30" s="432">
        <f t="shared" si="5"/>
        <v>65795.769134269911</v>
      </c>
      <c r="J30" s="306"/>
      <c r="K30" s="264"/>
      <c r="L30" s="47"/>
      <c r="M30" s="47">
        <f t="shared" si="11"/>
        <v>6</v>
      </c>
      <c r="N30" s="39">
        <f t="shared" si="12"/>
        <v>0.68</v>
      </c>
      <c r="O30" s="39">
        <f t="shared" si="13"/>
        <v>0.34500000000000003</v>
      </c>
      <c r="P30" s="260">
        <f t="shared" si="14"/>
        <v>0.23460000000000003</v>
      </c>
      <c r="Q30" s="258">
        <f t="shared" si="15"/>
        <v>1.4076000000000002</v>
      </c>
      <c r="R30" s="251">
        <f t="shared" si="16"/>
        <v>10965.961522378318</v>
      </c>
      <c r="S30" s="305">
        <f t="shared" si="17"/>
        <v>11965.961522378318</v>
      </c>
      <c r="T30" s="290">
        <f t="shared" si="18"/>
        <v>8.16</v>
      </c>
      <c r="U30" s="46">
        <f t="shared" si="10"/>
        <v>4.1400000000000006</v>
      </c>
      <c r="V30" s="9"/>
      <c r="Y30" s="4"/>
    </row>
    <row r="31" spans="2:26" ht="17.399999999999999" x14ac:dyDescent="0.3">
      <c r="B31" s="430">
        <v>1</v>
      </c>
      <c r="C31" s="430" t="s">
        <v>295</v>
      </c>
      <c r="D31" s="431">
        <v>0.66</v>
      </c>
      <c r="E31" s="431">
        <v>0.432</v>
      </c>
      <c r="F31" s="431" t="s">
        <v>293</v>
      </c>
      <c r="G31" s="430" t="s">
        <v>294</v>
      </c>
      <c r="H31" s="432">
        <f t="shared" si="4"/>
        <v>14366.998864101448</v>
      </c>
      <c r="I31" s="432">
        <f t="shared" si="5"/>
        <v>14366.998864101448</v>
      </c>
      <c r="J31" s="306"/>
      <c r="K31" s="264"/>
      <c r="L31" s="47"/>
      <c r="M31" s="47">
        <f t="shared" si="11"/>
        <v>1</v>
      </c>
      <c r="N31" s="39">
        <f t="shared" si="12"/>
        <v>0.68</v>
      </c>
      <c r="O31" s="39">
        <f t="shared" si="13"/>
        <v>0.45200000000000001</v>
      </c>
      <c r="P31" s="260">
        <f t="shared" si="14"/>
        <v>0.30736000000000002</v>
      </c>
      <c r="Q31" s="258">
        <f t="shared" si="15"/>
        <v>0.30736000000000002</v>
      </c>
      <c r="R31" s="251">
        <f t="shared" si="16"/>
        <v>14366.998864101448</v>
      </c>
      <c r="S31" s="305">
        <f t="shared" si="17"/>
        <v>15366.998864101448</v>
      </c>
      <c r="T31" s="290">
        <f t="shared" si="18"/>
        <v>1.36</v>
      </c>
      <c r="U31" s="46">
        <f t="shared" si="10"/>
        <v>0.90400000000000003</v>
      </c>
      <c r="V31" s="9"/>
      <c r="Y31" s="4"/>
    </row>
    <row r="32" spans="2:26" ht="17.399999999999999" x14ac:dyDescent="0.3">
      <c r="B32" s="430">
        <v>1</v>
      </c>
      <c r="C32" s="430" t="s">
        <v>295</v>
      </c>
      <c r="D32" s="431">
        <v>0.66</v>
      </c>
      <c r="E32" s="431">
        <v>0.24</v>
      </c>
      <c r="F32" s="431" t="s">
        <v>293</v>
      </c>
      <c r="G32" s="430" t="s">
        <v>294</v>
      </c>
      <c r="H32" s="432">
        <f t="shared" si="4"/>
        <v>8264.2028864300355</v>
      </c>
      <c r="I32" s="432">
        <f t="shared" si="5"/>
        <v>8264.2028864300355</v>
      </c>
      <c r="J32" s="306"/>
      <c r="K32" s="264"/>
      <c r="L32" s="47"/>
      <c r="M32" s="47">
        <f t="shared" si="11"/>
        <v>1</v>
      </c>
      <c r="N32" s="39">
        <f t="shared" si="12"/>
        <v>0.68</v>
      </c>
      <c r="O32" s="39">
        <f t="shared" si="13"/>
        <v>0.26</v>
      </c>
      <c r="P32" s="260">
        <f t="shared" si="14"/>
        <v>0.17680000000000001</v>
      </c>
      <c r="Q32" s="258">
        <f t="shared" si="15"/>
        <v>0.17680000000000001</v>
      </c>
      <c r="R32" s="251">
        <f t="shared" si="16"/>
        <v>8264.2028864300355</v>
      </c>
      <c r="S32" s="305">
        <f t="shared" si="17"/>
        <v>9264.2028864300355</v>
      </c>
      <c r="T32" s="290">
        <f>N32*M32*2</f>
        <v>1.36</v>
      </c>
      <c r="U32" s="46">
        <f t="shared" si="10"/>
        <v>0.52</v>
      </c>
      <c r="V32" s="9"/>
      <c r="Y32" s="4"/>
    </row>
    <row r="33" spans="2:25" ht="17.399999999999999" x14ac:dyDescent="0.3">
      <c r="B33" s="430">
        <v>9</v>
      </c>
      <c r="C33" s="430" t="s">
        <v>295</v>
      </c>
      <c r="D33" s="431">
        <v>0.66</v>
      </c>
      <c r="E33" s="431">
        <v>0.39500000000000002</v>
      </c>
      <c r="F33" s="431" t="s">
        <v>293</v>
      </c>
      <c r="G33" s="430" t="s">
        <v>294</v>
      </c>
      <c r="H33" s="432">
        <f t="shared" si="4"/>
        <v>13190.939222571022</v>
      </c>
      <c r="I33" s="432">
        <f t="shared" si="5"/>
        <v>118718.45300313919</v>
      </c>
      <c r="J33" s="306"/>
      <c r="K33" s="264"/>
      <c r="L33" s="47"/>
      <c r="M33" s="47">
        <f t="shared" si="11"/>
        <v>9</v>
      </c>
      <c r="N33" s="39">
        <f t="shared" si="12"/>
        <v>0.68</v>
      </c>
      <c r="O33" s="39">
        <f t="shared" si="13"/>
        <v>0.41500000000000004</v>
      </c>
      <c r="P33" s="260">
        <f t="shared" si="14"/>
        <v>0.28220000000000006</v>
      </c>
      <c r="Q33" s="258">
        <f t="shared" si="15"/>
        <v>2.5398000000000005</v>
      </c>
      <c r="R33" s="251">
        <f t="shared" si="16"/>
        <v>13190.939222571022</v>
      </c>
      <c r="S33" s="305">
        <f t="shared" si="17"/>
        <v>14190.939222571022</v>
      </c>
      <c r="T33" s="290">
        <f>N33*M33*2</f>
        <v>12.24</v>
      </c>
      <c r="U33" s="46">
        <f t="shared" si="10"/>
        <v>7.4700000000000006</v>
      </c>
      <c r="V33" s="9"/>
      <c r="Y33" s="4"/>
    </row>
    <row r="34" spans="2:25" ht="17.399999999999999" x14ac:dyDescent="0.3">
      <c r="B34" s="430">
        <v>4</v>
      </c>
      <c r="C34" s="430" t="s">
        <v>295</v>
      </c>
      <c r="D34" s="431">
        <v>0.66</v>
      </c>
      <c r="E34" s="431">
        <v>0.40500000000000003</v>
      </c>
      <c r="F34" s="431" t="s">
        <v>293</v>
      </c>
      <c r="G34" s="430" t="s">
        <v>294</v>
      </c>
      <c r="H34" s="432">
        <f t="shared" si="4"/>
        <v>13508.793179741406</v>
      </c>
      <c r="I34" s="432">
        <f t="shared" si="5"/>
        <v>54035.172718965623</v>
      </c>
      <c r="J34" s="306"/>
      <c r="K34" s="264"/>
      <c r="L34" s="47"/>
      <c r="M34" s="47">
        <f t="shared" si="11"/>
        <v>4</v>
      </c>
      <c r="N34" s="39">
        <f t="shared" si="12"/>
        <v>0.68</v>
      </c>
      <c r="O34" s="39">
        <f t="shared" si="13"/>
        <v>0.42500000000000004</v>
      </c>
      <c r="P34" s="260">
        <f t="shared" si="14"/>
        <v>0.28900000000000003</v>
      </c>
      <c r="Q34" s="258">
        <f t="shared" si="15"/>
        <v>1.1560000000000001</v>
      </c>
      <c r="R34" s="251">
        <f t="shared" si="16"/>
        <v>13508.793179741406</v>
      </c>
      <c r="S34" s="305">
        <f t="shared" si="17"/>
        <v>14508.793179741406</v>
      </c>
      <c r="T34" s="290">
        <f t="shared" ref="T34:T37" si="19">N34*M34*2</f>
        <v>5.44</v>
      </c>
      <c r="U34" s="46">
        <f t="shared" si="10"/>
        <v>3.4000000000000004</v>
      </c>
      <c r="V34" s="9"/>
      <c r="Y34" s="4"/>
    </row>
    <row r="35" spans="2:25" ht="17.399999999999999" x14ac:dyDescent="0.3">
      <c r="B35" s="430">
        <v>20</v>
      </c>
      <c r="C35" s="430" t="s">
        <v>295</v>
      </c>
      <c r="D35" s="431">
        <v>0.66</v>
      </c>
      <c r="E35" s="431">
        <v>0.35499999999999998</v>
      </c>
      <c r="F35" s="431" t="s">
        <v>293</v>
      </c>
      <c r="G35" s="430" t="s">
        <v>294</v>
      </c>
      <c r="H35" s="432">
        <f t="shared" si="4"/>
        <v>11919.523393889474</v>
      </c>
      <c r="I35" s="432">
        <f t="shared" si="5"/>
        <v>238390.46787778949</v>
      </c>
      <c r="J35" s="306"/>
      <c r="K35" s="264"/>
      <c r="L35" s="47"/>
      <c r="M35" s="47">
        <f t="shared" si="11"/>
        <v>20</v>
      </c>
      <c r="N35" s="39">
        <f t="shared" si="12"/>
        <v>0.68</v>
      </c>
      <c r="O35" s="39">
        <f t="shared" si="13"/>
        <v>0.375</v>
      </c>
      <c r="P35" s="260">
        <f t="shared" si="14"/>
        <v>0.255</v>
      </c>
      <c r="Q35" s="258">
        <f t="shared" si="15"/>
        <v>5.0999999999999996</v>
      </c>
      <c r="R35" s="251">
        <f t="shared" si="16"/>
        <v>11919.523393889474</v>
      </c>
      <c r="S35" s="305">
        <f t="shared" si="17"/>
        <v>12919.523393889474</v>
      </c>
      <c r="T35" s="290">
        <f t="shared" si="19"/>
        <v>27.200000000000003</v>
      </c>
      <c r="U35" s="46">
        <f t="shared" si="10"/>
        <v>15</v>
      </c>
      <c r="V35" s="9"/>
      <c r="Y35" s="4"/>
    </row>
    <row r="36" spans="2:25" ht="17.399999999999999" x14ac:dyDescent="0.3">
      <c r="B36" s="430">
        <v>4</v>
      </c>
      <c r="C36" s="430" t="s">
        <v>295</v>
      </c>
      <c r="D36" s="431">
        <v>0.66</v>
      </c>
      <c r="E36" s="431">
        <v>0.39300000000000002</v>
      </c>
      <c r="F36" s="431" t="s">
        <v>293</v>
      </c>
      <c r="G36" s="430" t="s">
        <v>294</v>
      </c>
      <c r="H36" s="432">
        <f t="shared" si="4"/>
        <v>13127.368431136942</v>
      </c>
      <c r="I36" s="432">
        <f t="shared" si="5"/>
        <v>52509.473724547766</v>
      </c>
      <c r="J36" s="306"/>
      <c r="K36" s="264"/>
      <c r="L36" s="47"/>
      <c r="M36" s="47">
        <f t="shared" si="11"/>
        <v>4</v>
      </c>
      <c r="N36" s="39">
        <f t="shared" si="12"/>
        <v>0.68</v>
      </c>
      <c r="O36" s="39">
        <f t="shared" si="13"/>
        <v>0.41300000000000003</v>
      </c>
      <c r="P36" s="260">
        <f t="shared" si="14"/>
        <v>0.28084000000000003</v>
      </c>
      <c r="Q36" s="258">
        <f t="shared" si="15"/>
        <v>1.1233600000000001</v>
      </c>
      <c r="R36" s="251">
        <f t="shared" si="16"/>
        <v>13127.368431136942</v>
      </c>
      <c r="S36" s="305">
        <f t="shared" si="17"/>
        <v>14127.368431136942</v>
      </c>
      <c r="T36" s="290">
        <f>N36*M36*2</f>
        <v>5.44</v>
      </c>
      <c r="U36" s="46">
        <f t="shared" si="10"/>
        <v>3.3040000000000003</v>
      </c>
      <c r="V36" s="9"/>
      <c r="Y36" s="4"/>
    </row>
    <row r="37" spans="2:25" ht="17.399999999999999" x14ac:dyDescent="0.3">
      <c r="B37" s="430">
        <v>2</v>
      </c>
      <c r="C37" s="430" t="s">
        <v>295</v>
      </c>
      <c r="D37" s="431">
        <v>0.66</v>
      </c>
      <c r="E37" s="431">
        <v>0.44500000000000001</v>
      </c>
      <c r="F37" s="431" t="s">
        <v>293</v>
      </c>
      <c r="G37" s="430" t="s">
        <v>294</v>
      </c>
      <c r="H37" s="432">
        <f t="shared" si="4"/>
        <v>14780.209008422949</v>
      </c>
      <c r="I37" s="432">
        <f t="shared" si="5"/>
        <v>29560.418016845899</v>
      </c>
      <c r="J37" s="306"/>
      <c r="K37" s="264"/>
      <c r="L37" s="47"/>
      <c r="M37" s="47">
        <f t="shared" si="11"/>
        <v>2</v>
      </c>
      <c r="N37" s="39">
        <f t="shared" si="12"/>
        <v>0.68</v>
      </c>
      <c r="O37" s="39">
        <f t="shared" si="13"/>
        <v>0.46500000000000002</v>
      </c>
      <c r="P37" s="260">
        <f t="shared" si="14"/>
        <v>0.31620000000000004</v>
      </c>
      <c r="Q37" s="258">
        <f t="shared" si="15"/>
        <v>0.63240000000000007</v>
      </c>
      <c r="R37" s="251">
        <f t="shared" si="16"/>
        <v>14780.209008422949</v>
      </c>
      <c r="S37" s="305">
        <f t="shared" si="17"/>
        <v>15780.209008422949</v>
      </c>
      <c r="T37" s="290">
        <f t="shared" si="19"/>
        <v>2.72</v>
      </c>
      <c r="U37" s="46">
        <f t="shared" si="10"/>
        <v>1.86</v>
      </c>
      <c r="V37" s="9"/>
      <c r="Y37" s="4"/>
    </row>
    <row r="38" spans="2:25" ht="17.399999999999999" x14ac:dyDescent="0.3">
      <c r="B38" s="430">
        <v>1</v>
      </c>
      <c r="C38" s="430" t="s">
        <v>295</v>
      </c>
      <c r="D38" s="431">
        <v>0.66</v>
      </c>
      <c r="E38" s="431">
        <v>0.36599999999999999</v>
      </c>
      <c r="F38" s="431" t="s">
        <v>293</v>
      </c>
      <c r="G38" s="430" t="s">
        <v>294</v>
      </c>
      <c r="H38" s="432">
        <f t="shared" si="4"/>
        <v>12269.162746776901</v>
      </c>
      <c r="I38" s="432">
        <f t="shared" si="5"/>
        <v>12269.162746776901</v>
      </c>
      <c r="J38" s="306"/>
      <c r="K38" s="264"/>
      <c r="L38" s="47"/>
      <c r="M38" s="47">
        <f t="shared" si="11"/>
        <v>1</v>
      </c>
      <c r="N38" s="39">
        <f t="shared" si="12"/>
        <v>0.68</v>
      </c>
      <c r="O38" s="39">
        <f t="shared" si="13"/>
        <v>0.38600000000000001</v>
      </c>
      <c r="P38" s="260">
        <f t="shared" si="14"/>
        <v>0.26248000000000005</v>
      </c>
      <c r="Q38" s="258">
        <f t="shared" si="15"/>
        <v>0.26248000000000005</v>
      </c>
      <c r="R38" s="251">
        <f t="shared" si="16"/>
        <v>12269.162746776901</v>
      </c>
      <c r="S38" s="305">
        <f t="shared" si="17"/>
        <v>13269.162746776901</v>
      </c>
      <c r="T38" s="290">
        <f>N38*M38*2</f>
        <v>1.36</v>
      </c>
      <c r="U38" s="46">
        <f t="shared" si="10"/>
        <v>0.77200000000000002</v>
      </c>
      <c r="V38" s="9"/>
      <c r="Y38" s="4"/>
    </row>
    <row r="39" spans="2:25" ht="17.399999999999999" x14ac:dyDescent="0.3">
      <c r="B39" s="430">
        <v>2</v>
      </c>
      <c r="C39" s="430" t="s">
        <v>295</v>
      </c>
      <c r="D39" s="431">
        <v>0.66</v>
      </c>
      <c r="E39" s="431">
        <v>0.33</v>
      </c>
      <c r="F39" s="431" t="s">
        <v>293</v>
      </c>
      <c r="G39" s="430" t="s">
        <v>294</v>
      </c>
      <c r="H39" s="432">
        <f t="shared" si="4"/>
        <v>11124.888500963511</v>
      </c>
      <c r="I39" s="432">
        <f t="shared" si="5"/>
        <v>22249.777001927021</v>
      </c>
      <c r="J39" s="306"/>
      <c r="K39" s="264"/>
      <c r="L39" s="47"/>
      <c r="M39" s="47">
        <f t="shared" si="11"/>
        <v>2</v>
      </c>
      <c r="N39" s="39">
        <f t="shared" si="12"/>
        <v>0.68</v>
      </c>
      <c r="O39" s="39">
        <f t="shared" si="13"/>
        <v>0.35000000000000003</v>
      </c>
      <c r="P39" s="260">
        <f t="shared" si="14"/>
        <v>0.23800000000000004</v>
      </c>
      <c r="Q39" s="258">
        <f t="shared" si="15"/>
        <v>0.47600000000000009</v>
      </c>
      <c r="R39" s="251">
        <f t="shared" si="16"/>
        <v>11124.888500963511</v>
      </c>
      <c r="S39" s="305">
        <f t="shared" si="17"/>
        <v>12124.888500963511</v>
      </c>
      <c r="T39" s="290">
        <f t="shared" ref="T39:T42" si="20">N39*M39*2</f>
        <v>2.72</v>
      </c>
      <c r="U39" s="46">
        <f t="shared" si="10"/>
        <v>1.4000000000000001</v>
      </c>
      <c r="V39" s="9"/>
      <c r="Y39" s="4"/>
    </row>
    <row r="40" spans="2:25" ht="17.399999999999999" x14ac:dyDescent="0.3">
      <c r="B40" s="430">
        <v>4</v>
      </c>
      <c r="C40" s="430" t="s">
        <v>295</v>
      </c>
      <c r="D40" s="431">
        <v>0.51</v>
      </c>
      <c r="E40" s="431">
        <v>0.52</v>
      </c>
      <c r="F40" s="431" t="s">
        <v>293</v>
      </c>
      <c r="G40" s="430" t="s">
        <v>294</v>
      </c>
      <c r="H40" s="432">
        <f t="shared" si="4"/>
        <v>13377.912138553598</v>
      </c>
      <c r="I40" s="432">
        <f t="shared" si="5"/>
        <v>53511.648554214393</v>
      </c>
      <c r="J40" s="306"/>
      <c r="K40" s="264"/>
      <c r="L40" s="47"/>
      <c r="M40" s="47">
        <f t="shared" si="11"/>
        <v>4</v>
      </c>
      <c r="N40" s="39">
        <f t="shared" si="12"/>
        <v>0.53</v>
      </c>
      <c r="O40" s="39">
        <f t="shared" si="13"/>
        <v>0.54</v>
      </c>
      <c r="P40" s="260">
        <f t="shared" si="14"/>
        <v>0.28620000000000001</v>
      </c>
      <c r="Q40" s="258">
        <f t="shared" si="15"/>
        <v>1.1448</v>
      </c>
      <c r="R40" s="251">
        <f t="shared" si="16"/>
        <v>13377.912138553598</v>
      </c>
      <c r="S40" s="305">
        <f t="shared" si="17"/>
        <v>14377.912138553598</v>
      </c>
      <c r="T40" s="290">
        <f t="shared" si="20"/>
        <v>4.24</v>
      </c>
      <c r="U40" s="46">
        <f t="shared" si="10"/>
        <v>4.32</v>
      </c>
      <c r="V40" s="9"/>
      <c r="Y40" s="4"/>
    </row>
    <row r="41" spans="2:25" ht="17.399999999999999" x14ac:dyDescent="0.3">
      <c r="B41" s="430">
        <v>1</v>
      </c>
      <c r="C41" s="430" t="s">
        <v>295</v>
      </c>
      <c r="D41" s="431">
        <v>0.34</v>
      </c>
      <c r="E41" s="431">
        <v>0.78500000000000003</v>
      </c>
      <c r="F41" s="431" t="s">
        <v>293</v>
      </c>
      <c r="G41" s="430" t="s">
        <v>294</v>
      </c>
      <c r="H41" s="432">
        <f t="shared" si="4"/>
        <v>13546.187762937923</v>
      </c>
      <c r="I41" s="432">
        <f t="shared" si="5"/>
        <v>13546.187762937923</v>
      </c>
      <c r="J41" s="306"/>
      <c r="K41" s="264"/>
      <c r="L41" s="47"/>
      <c r="M41" s="47">
        <f t="shared" si="11"/>
        <v>1</v>
      </c>
      <c r="N41" s="39">
        <f t="shared" si="12"/>
        <v>0.36000000000000004</v>
      </c>
      <c r="O41" s="39">
        <f t="shared" si="13"/>
        <v>0.80500000000000005</v>
      </c>
      <c r="P41" s="260">
        <f t="shared" si="14"/>
        <v>0.28980000000000006</v>
      </c>
      <c r="Q41" s="258">
        <f t="shared" si="15"/>
        <v>0.28980000000000006</v>
      </c>
      <c r="R41" s="251">
        <f t="shared" si="16"/>
        <v>13546.187762937923</v>
      </c>
      <c r="S41" s="305">
        <f t="shared" si="17"/>
        <v>14546.187762937923</v>
      </c>
      <c r="T41" s="290">
        <f>N41*M41*2</f>
        <v>0.72000000000000008</v>
      </c>
      <c r="U41" s="46">
        <f t="shared" si="10"/>
        <v>1.61</v>
      </c>
      <c r="V41" s="9"/>
      <c r="Y41" s="4"/>
    </row>
    <row r="42" spans="2:25" ht="17.399999999999999" x14ac:dyDescent="0.3">
      <c r="B42" s="430">
        <v>1</v>
      </c>
      <c r="C42" s="430" t="s">
        <v>295</v>
      </c>
      <c r="D42" s="431">
        <v>0.29399999999999998</v>
      </c>
      <c r="E42" s="431">
        <v>1.0149999999999999</v>
      </c>
      <c r="F42" s="431" t="s">
        <v>293</v>
      </c>
      <c r="G42" s="430" t="s">
        <v>294</v>
      </c>
      <c r="H42" s="432">
        <f t="shared" si="4"/>
        <v>15191.081991294668</v>
      </c>
      <c r="I42" s="432">
        <f t="shared" ref="I42:I48" si="21">H42*B42</f>
        <v>15191.081991294668</v>
      </c>
      <c r="J42" s="306"/>
      <c r="K42" s="264"/>
      <c r="L42" s="47"/>
      <c r="M42" s="47">
        <f t="shared" si="11"/>
        <v>1</v>
      </c>
      <c r="N42" s="39">
        <f t="shared" ref="N42:N48" si="22">D42+N$19</f>
        <v>0.314</v>
      </c>
      <c r="O42" s="39">
        <f t="shared" ref="O42:O48" si="23">E42+$O$19</f>
        <v>1.0349999999999999</v>
      </c>
      <c r="P42" s="260">
        <f t="shared" ref="P42:P48" si="24">N42*O42</f>
        <v>0.32499</v>
      </c>
      <c r="Q42" s="258">
        <f t="shared" ref="Q42:Q48" si="25">P42*M42</f>
        <v>0.32499</v>
      </c>
      <c r="R42" s="251">
        <f t="shared" ref="R42:R48" si="26">R$20*P42</f>
        <v>15191.081991294668</v>
      </c>
      <c r="S42" s="305">
        <f t="shared" ref="S42:S48" si="27">R42+S$20</f>
        <v>16191.081991294668</v>
      </c>
      <c r="T42" s="290">
        <f t="shared" si="20"/>
        <v>0.628</v>
      </c>
      <c r="U42" s="46">
        <f t="shared" si="10"/>
        <v>2.0699999999999998</v>
      </c>
      <c r="V42" s="9"/>
      <c r="Y42" s="4"/>
    </row>
    <row r="43" spans="2:25" ht="17.399999999999999" x14ac:dyDescent="0.3">
      <c r="B43" s="430">
        <v>1</v>
      </c>
      <c r="C43" s="430" t="s">
        <v>295</v>
      </c>
      <c r="D43" s="431">
        <v>0.2</v>
      </c>
      <c r="E43" s="431">
        <v>0.46500000000000002</v>
      </c>
      <c r="F43" s="431" t="s">
        <v>293</v>
      </c>
      <c r="G43" s="430" t="s">
        <v>294</v>
      </c>
      <c r="H43" s="432">
        <f t="shared" si="4"/>
        <v>4987.5025338353216</v>
      </c>
      <c r="I43" s="432">
        <f t="shared" si="21"/>
        <v>4987.5025338353216</v>
      </c>
      <c r="J43" s="306"/>
      <c r="K43" s="264"/>
      <c r="L43" s="47"/>
      <c r="M43" s="47">
        <f t="shared" si="11"/>
        <v>1</v>
      </c>
      <c r="N43" s="39">
        <f t="shared" si="22"/>
        <v>0.22</v>
      </c>
      <c r="O43" s="39">
        <f t="shared" si="23"/>
        <v>0.48500000000000004</v>
      </c>
      <c r="P43" s="260">
        <f t="shared" si="24"/>
        <v>0.1067</v>
      </c>
      <c r="Q43" s="258">
        <f t="shared" si="25"/>
        <v>0.1067</v>
      </c>
      <c r="R43" s="251">
        <f t="shared" si="26"/>
        <v>4987.5025338353216</v>
      </c>
      <c r="S43" s="305">
        <f t="shared" si="27"/>
        <v>5987.5025338353216</v>
      </c>
      <c r="T43" s="290">
        <f>N43*M43*2</f>
        <v>0.44</v>
      </c>
      <c r="U43" s="46">
        <f t="shared" si="10"/>
        <v>0.97000000000000008</v>
      </c>
      <c r="V43" s="9"/>
      <c r="Y43" s="4"/>
    </row>
    <row r="44" spans="2:25" ht="17.399999999999999" x14ac:dyDescent="0.3">
      <c r="B44" s="430">
        <v>1</v>
      </c>
      <c r="C44" s="430" t="s">
        <v>295</v>
      </c>
      <c r="D44" s="431">
        <v>0.2</v>
      </c>
      <c r="E44" s="431">
        <v>0.30499999999999999</v>
      </c>
      <c r="F44" s="431" t="s">
        <v>293</v>
      </c>
      <c r="G44" s="430" t="s">
        <v>294</v>
      </c>
      <c r="H44" s="432">
        <f t="shared" si="4"/>
        <v>3342.1408731886177</v>
      </c>
      <c r="I44" s="432">
        <f t="shared" si="21"/>
        <v>3342.1408731886177</v>
      </c>
      <c r="J44" s="306"/>
      <c r="K44" s="264"/>
      <c r="L44" s="47"/>
      <c r="M44" s="47">
        <f t="shared" si="11"/>
        <v>1</v>
      </c>
      <c r="N44" s="39">
        <f t="shared" si="22"/>
        <v>0.22</v>
      </c>
      <c r="O44" s="39">
        <f t="shared" si="23"/>
        <v>0.32500000000000001</v>
      </c>
      <c r="P44" s="260">
        <f t="shared" si="24"/>
        <v>7.1500000000000008E-2</v>
      </c>
      <c r="Q44" s="258">
        <f t="shared" si="25"/>
        <v>7.1500000000000008E-2</v>
      </c>
      <c r="R44" s="251">
        <f t="shared" si="26"/>
        <v>3342.1408731886177</v>
      </c>
      <c r="S44" s="305">
        <f t="shared" si="27"/>
        <v>4342.1408731886177</v>
      </c>
      <c r="T44" s="290">
        <f t="shared" ref="T44:T48" si="28">N44*M44*2</f>
        <v>0.44</v>
      </c>
      <c r="U44" s="46">
        <f t="shared" si="10"/>
        <v>0.65</v>
      </c>
      <c r="V44" s="9"/>
      <c r="Y44" s="4"/>
    </row>
    <row r="45" spans="2:25" ht="17.399999999999999" x14ac:dyDescent="0.3">
      <c r="B45" s="430">
        <v>1</v>
      </c>
      <c r="C45" s="430" t="s">
        <v>295</v>
      </c>
      <c r="D45" s="431">
        <v>0.14000000000000001</v>
      </c>
      <c r="E45" s="431">
        <v>0.46500000000000002</v>
      </c>
      <c r="F45" s="431" t="s">
        <v>293</v>
      </c>
      <c r="G45" s="430" t="s">
        <v>294</v>
      </c>
      <c r="H45" s="432">
        <f t="shared" si="4"/>
        <v>3627.2745700620517</v>
      </c>
      <c r="I45" s="432">
        <f t="shared" si="21"/>
        <v>3627.2745700620517</v>
      </c>
      <c r="J45" s="306"/>
      <c r="K45" s="264"/>
      <c r="L45" s="47"/>
      <c r="M45" s="47">
        <f t="shared" si="11"/>
        <v>1</v>
      </c>
      <c r="N45" s="39">
        <f t="shared" si="22"/>
        <v>0.16</v>
      </c>
      <c r="O45" s="39">
        <f t="shared" si="23"/>
        <v>0.48500000000000004</v>
      </c>
      <c r="P45" s="260">
        <f t="shared" si="24"/>
        <v>7.7600000000000002E-2</v>
      </c>
      <c r="Q45" s="258">
        <f t="shared" si="25"/>
        <v>7.7600000000000002E-2</v>
      </c>
      <c r="R45" s="251">
        <f t="shared" si="26"/>
        <v>3627.2745700620517</v>
      </c>
      <c r="S45" s="305">
        <f t="shared" si="27"/>
        <v>4627.2745700620517</v>
      </c>
      <c r="T45" s="290">
        <f t="shared" si="28"/>
        <v>0.32</v>
      </c>
      <c r="U45" s="46">
        <f t="shared" si="10"/>
        <v>0.97000000000000008</v>
      </c>
      <c r="V45" s="9"/>
      <c r="Y45" s="4"/>
    </row>
    <row r="46" spans="2:25" ht="17.399999999999999" x14ac:dyDescent="0.3">
      <c r="B46" s="430">
        <v>1</v>
      </c>
      <c r="C46" s="430" t="s">
        <v>295</v>
      </c>
      <c r="D46" s="431">
        <v>0.14000000000000001</v>
      </c>
      <c r="E46" s="431">
        <v>0.30499999999999999</v>
      </c>
      <c r="F46" s="431" t="s">
        <v>293</v>
      </c>
      <c r="G46" s="430" t="s">
        <v>294</v>
      </c>
      <c r="H46" s="432">
        <f t="shared" si="4"/>
        <v>2430.6479077735398</v>
      </c>
      <c r="I46" s="432">
        <f t="shared" si="21"/>
        <v>2430.6479077735398</v>
      </c>
      <c r="J46" s="306"/>
      <c r="K46" s="264"/>
      <c r="L46" s="47"/>
      <c r="M46" s="47">
        <f t="shared" si="11"/>
        <v>1</v>
      </c>
      <c r="N46" s="39">
        <f t="shared" si="22"/>
        <v>0.16</v>
      </c>
      <c r="O46" s="39">
        <f t="shared" si="23"/>
        <v>0.32500000000000001</v>
      </c>
      <c r="P46" s="260">
        <f t="shared" si="24"/>
        <v>5.2000000000000005E-2</v>
      </c>
      <c r="Q46" s="258">
        <f t="shared" si="25"/>
        <v>5.2000000000000005E-2</v>
      </c>
      <c r="R46" s="251">
        <f t="shared" si="26"/>
        <v>2430.6479077735398</v>
      </c>
      <c r="S46" s="305">
        <f t="shared" si="27"/>
        <v>3430.6479077735398</v>
      </c>
      <c r="T46" s="290">
        <f>N46*M46*2</f>
        <v>0.32</v>
      </c>
      <c r="U46" s="46">
        <f t="shared" si="10"/>
        <v>0.65</v>
      </c>
      <c r="V46" s="9"/>
      <c r="Y46" s="4"/>
    </row>
    <row r="47" spans="2:25" ht="17.399999999999999" x14ac:dyDescent="0.3">
      <c r="B47" s="430">
        <v>1</v>
      </c>
      <c r="C47" s="430" t="s">
        <v>295</v>
      </c>
      <c r="D47" s="431">
        <v>0.1</v>
      </c>
      <c r="E47" s="431">
        <v>0.46500000000000002</v>
      </c>
      <c r="F47" s="431" t="s">
        <v>293</v>
      </c>
      <c r="G47" s="430" t="s">
        <v>294</v>
      </c>
      <c r="H47" s="432">
        <f t="shared" si="4"/>
        <v>2720.4559275465394</v>
      </c>
      <c r="I47" s="432">
        <f t="shared" si="21"/>
        <v>2720.4559275465394</v>
      </c>
      <c r="J47" s="306"/>
      <c r="K47" s="264"/>
      <c r="L47" s="47"/>
      <c r="M47" s="47">
        <f t="shared" si="11"/>
        <v>1</v>
      </c>
      <c r="N47" s="39">
        <f t="shared" si="22"/>
        <v>0.12000000000000001</v>
      </c>
      <c r="O47" s="39">
        <f t="shared" si="23"/>
        <v>0.48500000000000004</v>
      </c>
      <c r="P47" s="260">
        <f t="shared" si="24"/>
        <v>5.8200000000000009E-2</v>
      </c>
      <c r="Q47" s="258">
        <f t="shared" si="25"/>
        <v>5.8200000000000009E-2</v>
      </c>
      <c r="R47" s="251">
        <f t="shared" si="26"/>
        <v>2720.4559275465394</v>
      </c>
      <c r="S47" s="305">
        <f t="shared" si="27"/>
        <v>3720.4559275465394</v>
      </c>
      <c r="T47" s="290">
        <f t="shared" si="28"/>
        <v>0.24000000000000002</v>
      </c>
      <c r="U47" s="46">
        <f t="shared" si="10"/>
        <v>0.97000000000000008</v>
      </c>
      <c r="V47" s="9"/>
      <c r="Y47" s="4"/>
    </row>
    <row r="48" spans="2:25" ht="17.399999999999999" x14ac:dyDescent="0.3">
      <c r="B48" s="430">
        <v>1</v>
      </c>
      <c r="C48" s="430" t="s">
        <v>295</v>
      </c>
      <c r="D48" s="431">
        <v>0.1</v>
      </c>
      <c r="E48" s="431">
        <v>0.30499999999999999</v>
      </c>
      <c r="F48" s="431" t="s">
        <v>293</v>
      </c>
      <c r="G48" s="430" t="s">
        <v>294</v>
      </c>
      <c r="H48" s="432">
        <f t="shared" si="4"/>
        <v>1822.9859308301552</v>
      </c>
      <c r="I48" s="432">
        <f t="shared" si="21"/>
        <v>1822.9859308301552</v>
      </c>
      <c r="J48" s="306"/>
      <c r="K48" s="264"/>
      <c r="L48" s="47"/>
      <c r="M48" s="47">
        <f t="shared" si="11"/>
        <v>1</v>
      </c>
      <c r="N48" s="39">
        <f t="shared" si="22"/>
        <v>0.12000000000000001</v>
      </c>
      <c r="O48" s="39">
        <f t="shared" si="23"/>
        <v>0.32500000000000001</v>
      </c>
      <c r="P48" s="260">
        <f t="shared" si="24"/>
        <v>3.9000000000000007E-2</v>
      </c>
      <c r="Q48" s="258">
        <f t="shared" si="25"/>
        <v>3.9000000000000007E-2</v>
      </c>
      <c r="R48" s="251">
        <f t="shared" si="26"/>
        <v>1822.9859308301552</v>
      </c>
      <c r="S48" s="305">
        <f t="shared" si="27"/>
        <v>2822.9859308301552</v>
      </c>
      <c r="T48" s="290">
        <f t="shared" si="28"/>
        <v>0.24000000000000002</v>
      </c>
      <c r="U48" s="46">
        <f t="shared" si="10"/>
        <v>0.65</v>
      </c>
      <c r="V48" s="9"/>
      <c r="Y48" s="4"/>
    </row>
    <row r="49" spans="1:25" ht="17.399999999999999" x14ac:dyDescent="0.3">
      <c r="B49" s="283"/>
      <c r="C49" s="283"/>
      <c r="D49" s="284"/>
      <c r="E49" s="284"/>
      <c r="F49" s="284"/>
      <c r="G49" s="283"/>
      <c r="H49" s="306"/>
      <c r="I49" s="306"/>
      <c r="J49" s="306"/>
      <c r="K49" s="264"/>
      <c r="L49" s="47"/>
      <c r="M49" s="47"/>
      <c r="N49" s="39"/>
      <c r="O49" s="39"/>
      <c r="P49" s="260"/>
      <c r="Q49" s="258"/>
      <c r="R49" s="251"/>
      <c r="S49" s="305"/>
      <c r="T49" s="290"/>
      <c r="U49" s="46"/>
      <c r="V49" s="9"/>
      <c r="Y49" s="4"/>
    </row>
    <row r="50" spans="1:25" ht="17.399999999999999" x14ac:dyDescent="0.3">
      <c r="B50" s="283">
        <f>SUM(B21:B48)</f>
        <v>93</v>
      </c>
      <c r="C50" s="283"/>
      <c r="D50" s="284"/>
      <c r="E50" s="284"/>
      <c r="F50" s="284"/>
      <c r="G50" s="283"/>
      <c r="H50" s="306"/>
      <c r="I50" s="306"/>
      <c r="J50" s="306"/>
      <c r="K50" s="264"/>
      <c r="L50" s="47"/>
      <c r="M50" s="47"/>
      <c r="N50" s="39"/>
      <c r="O50" s="39"/>
      <c r="P50" s="260"/>
      <c r="Q50" s="258"/>
      <c r="R50" s="251"/>
      <c r="S50" s="305"/>
      <c r="T50" s="290"/>
      <c r="U50" s="46"/>
      <c r="V50" s="9"/>
      <c r="Y50" s="4"/>
    </row>
    <row r="51" spans="1:25" ht="18" thickBot="1" x14ac:dyDescent="0.35">
      <c r="B51" s="283"/>
      <c r="C51" s="283"/>
      <c r="D51" s="284"/>
      <c r="E51" s="284"/>
      <c r="F51" s="284"/>
      <c r="G51" s="283"/>
      <c r="H51" s="264"/>
      <c r="I51" s="307"/>
      <c r="J51" s="309"/>
      <c r="K51" s="233"/>
      <c r="L51" s="47"/>
      <c r="M51" s="47"/>
      <c r="N51" s="39"/>
      <c r="O51" s="39"/>
      <c r="P51" s="260"/>
      <c r="Q51" s="258"/>
      <c r="R51" s="251"/>
      <c r="S51" s="257"/>
      <c r="T51" s="290"/>
      <c r="U51" s="14"/>
      <c r="V51" s="9"/>
      <c r="Y51" s="4"/>
    </row>
    <row r="52" spans="1:25" ht="17.399999999999999" x14ac:dyDescent="0.3">
      <c r="B52" s="283"/>
      <c r="C52" s="283"/>
      <c r="D52" s="284"/>
      <c r="E52" s="284"/>
      <c r="F52" s="284"/>
      <c r="G52" s="283"/>
      <c r="H52" s="310" t="s">
        <v>28</v>
      </c>
      <c r="I52" s="311">
        <f>SUM(I21:I51)</f>
        <v>1284877.4112</v>
      </c>
      <c r="J52" s="308"/>
      <c r="K52" s="264"/>
      <c r="L52" s="47">
        <v>1751474</v>
      </c>
      <c r="M52" s="47"/>
      <c r="N52" s="39"/>
      <c r="O52" s="39"/>
      <c r="P52" s="260"/>
      <c r="Q52" s="258"/>
      <c r="R52" s="251"/>
      <c r="S52" s="257"/>
      <c r="T52" s="290"/>
      <c r="U52" s="46">
        <f>SUM(U21:U51)</f>
        <v>80.730000000000032</v>
      </c>
      <c r="V52" s="9"/>
      <c r="Y52" s="4"/>
    </row>
    <row r="53" spans="1:25" ht="17.399999999999999" x14ac:dyDescent="0.3">
      <c r="B53" s="277"/>
      <c r="C53" s="280"/>
      <c r="D53" s="281"/>
      <c r="E53" s="281"/>
      <c r="F53" s="281"/>
      <c r="G53" s="282"/>
      <c r="H53" s="289" t="s">
        <v>51</v>
      </c>
      <c r="I53" s="287">
        <f>I52*19%</f>
        <v>244126.708128</v>
      </c>
      <c r="J53" s="308"/>
      <c r="K53" s="264"/>
      <c r="L53" s="47">
        <v>400000</v>
      </c>
      <c r="M53" s="47"/>
      <c r="N53" s="39">
        <f>SUM(N21:N52)</f>
        <v>16.224</v>
      </c>
      <c r="O53" s="12"/>
      <c r="P53" s="12"/>
      <c r="Q53" s="252">
        <f>SUM(Q21:Q50)</f>
        <v>27.487990000000003</v>
      </c>
      <c r="R53" s="14"/>
      <c r="S53" s="12"/>
      <c r="T53" s="239"/>
      <c r="U53" s="46"/>
      <c r="V53" s="9"/>
      <c r="Y53" s="4"/>
    </row>
    <row r="54" spans="1:25" ht="18" thickBot="1" x14ac:dyDescent="0.35">
      <c r="B54" s="274"/>
      <c r="C54" s="279"/>
      <c r="D54" s="271"/>
      <c r="E54" s="271"/>
      <c r="F54" s="271"/>
      <c r="G54" s="272"/>
      <c r="H54" s="278" t="s">
        <v>6</v>
      </c>
      <c r="I54" s="288">
        <f>I52+I53</f>
        <v>1529004.1193279999</v>
      </c>
      <c r="J54" s="308"/>
      <c r="K54" s="264"/>
      <c r="L54" s="47">
        <f>L52-L53</f>
        <v>1351474</v>
      </c>
      <c r="M54" s="47"/>
      <c r="N54" s="39"/>
      <c r="O54" s="12"/>
      <c r="P54" s="12"/>
      <c r="Q54" s="252">
        <f>Q53</f>
        <v>27.487990000000003</v>
      </c>
      <c r="R54" s="14"/>
      <c r="S54" s="12"/>
      <c r="T54" s="239">
        <f>SUM(T21:T53)</f>
        <v>127.58799999999995</v>
      </c>
      <c r="U54" s="46"/>
      <c r="V54" s="9"/>
      <c r="Y54" s="4"/>
    </row>
    <row r="55" spans="1:25" ht="17.399999999999999" x14ac:dyDescent="0.3">
      <c r="B55" s="274"/>
      <c r="C55" s="270"/>
      <c r="D55" s="271"/>
      <c r="E55" s="271"/>
      <c r="F55" s="271"/>
      <c r="G55" s="272"/>
      <c r="K55" s="264"/>
      <c r="L55" s="47">
        <v>1454909</v>
      </c>
      <c r="M55" s="47"/>
      <c r="N55" s="14"/>
      <c r="O55" s="12"/>
      <c r="P55" s="12"/>
      <c r="Q55" s="39">
        <f>Q54*20%</f>
        <v>5.4975980000000009</v>
      </c>
      <c r="R55" s="39" t="s">
        <v>128</v>
      </c>
      <c r="S55" s="42"/>
      <c r="T55" s="240">
        <f>T54+U52</f>
        <v>208.31799999999998</v>
      </c>
      <c r="U55" s="14"/>
      <c r="V55" s="9"/>
      <c r="Y55" s="4"/>
    </row>
    <row r="56" spans="1:25" ht="17.399999999999999" x14ac:dyDescent="0.35">
      <c r="B56" s="268"/>
      <c r="C56" s="230"/>
      <c r="D56" s="230"/>
      <c r="E56" s="233"/>
      <c r="F56" s="233"/>
      <c r="G56" s="234"/>
      <c r="H56" s="230"/>
      <c r="I56" s="273"/>
      <c r="J56" s="273"/>
      <c r="K56" s="264"/>
      <c r="L56" s="47">
        <f>L52-L55</f>
        <v>296565</v>
      </c>
      <c r="M56" s="47"/>
      <c r="N56" s="14"/>
      <c r="O56" s="12"/>
      <c r="P56" s="12"/>
      <c r="Q56" s="46">
        <f>Q54+Q55</f>
        <v>32.985588000000007</v>
      </c>
      <c r="R56" s="14"/>
      <c r="S56" s="14"/>
      <c r="T56" s="238">
        <f>T55*20%</f>
        <v>41.663600000000002</v>
      </c>
      <c r="U56" s="14"/>
      <c r="V56" s="9"/>
      <c r="Y56" s="4"/>
    </row>
    <row r="57" spans="1:25" ht="17.399999999999999" x14ac:dyDescent="0.35">
      <c r="B57" s="235"/>
      <c r="C57" s="236"/>
      <c r="D57" s="237"/>
      <c r="E57" s="235"/>
      <c r="F57" s="235"/>
      <c r="G57" s="230"/>
      <c r="H57" s="230"/>
      <c r="J57" s="273"/>
      <c r="K57" s="264"/>
      <c r="L57" s="434">
        <v>1349355</v>
      </c>
      <c r="M57" s="47"/>
      <c r="N57" s="14"/>
      <c r="O57" s="14"/>
      <c r="P57" s="14"/>
      <c r="Q57" s="14"/>
      <c r="R57" s="14"/>
      <c r="S57" s="14"/>
      <c r="T57" s="240">
        <f>T55+T56</f>
        <v>249.98159999999999</v>
      </c>
      <c r="U57" s="14"/>
      <c r="V57" s="294" t="s">
        <v>21</v>
      </c>
      <c r="W57" s="291" t="s">
        <v>148</v>
      </c>
      <c r="X57" s="295">
        <v>44971</v>
      </c>
      <c r="Y57" s="296"/>
    </row>
    <row r="58" spans="1:25" ht="17.399999999999999" x14ac:dyDescent="0.35">
      <c r="B58" s="230"/>
      <c r="C58" s="230"/>
      <c r="D58" s="230"/>
      <c r="E58" s="230"/>
      <c r="F58" s="230"/>
      <c r="G58" s="230"/>
      <c r="H58" s="230"/>
      <c r="K58" s="264"/>
      <c r="L58" s="47"/>
      <c r="M58" s="47"/>
      <c r="N58" s="39">
        <f>Q56</f>
        <v>32.985588000000007</v>
      </c>
      <c r="O58" s="12">
        <v>1200</v>
      </c>
      <c r="P58" s="12">
        <f t="shared" ref="P58:P63" si="29">N58*O58</f>
        <v>39582.705600000008</v>
      </c>
      <c r="Q58" s="14" t="s">
        <v>21</v>
      </c>
      <c r="R58" s="14"/>
      <c r="S58" s="14"/>
      <c r="T58" s="241"/>
      <c r="U58" s="14"/>
      <c r="V58" s="294" t="s">
        <v>149</v>
      </c>
      <c r="W58" s="291">
        <v>3625</v>
      </c>
      <c r="X58" s="59" t="s">
        <v>150</v>
      </c>
      <c r="Y58" s="296"/>
    </row>
    <row r="59" spans="1:25" ht="17.399999999999999" x14ac:dyDescent="0.35">
      <c r="A59" s="230"/>
      <c r="B59" s="230"/>
      <c r="C59" s="230"/>
      <c r="D59" s="230"/>
      <c r="E59" s="230"/>
      <c r="F59" s="230"/>
      <c r="G59" s="230"/>
      <c r="H59" s="230"/>
      <c r="I59" s="230"/>
      <c r="K59" s="264"/>
      <c r="L59" s="47"/>
      <c r="M59" s="47"/>
      <c r="N59" s="248">
        <v>9</v>
      </c>
      <c r="O59" s="12">
        <v>40000</v>
      </c>
      <c r="P59" s="12">
        <f t="shared" si="29"/>
        <v>360000</v>
      </c>
      <c r="Q59" s="39" t="s">
        <v>31</v>
      </c>
      <c r="R59" s="42"/>
      <c r="S59" s="14"/>
      <c r="T59" s="240"/>
      <c r="U59" s="14"/>
      <c r="V59" s="294"/>
      <c r="W59" s="59">
        <v>906.25</v>
      </c>
      <c r="X59" s="59" t="s">
        <v>151</v>
      </c>
      <c r="Y59" s="296"/>
    </row>
    <row r="60" spans="1:25" s="230" customFormat="1" ht="17.399999999999999" x14ac:dyDescent="0.35">
      <c r="B60" s="24" t="s">
        <v>147</v>
      </c>
      <c r="K60" s="261"/>
      <c r="L60" s="232"/>
      <c r="M60" s="249"/>
      <c r="N60" s="14"/>
      <c r="O60" s="249">
        <v>15700</v>
      </c>
      <c r="P60" s="12">
        <f t="shared" si="29"/>
        <v>0</v>
      </c>
      <c r="Q60" s="39" t="s">
        <v>30</v>
      </c>
      <c r="R60" s="42"/>
      <c r="T60" s="240"/>
      <c r="U60" s="255"/>
      <c r="V60" s="59"/>
      <c r="W60" s="59">
        <f>W59*20%</f>
        <v>181.25</v>
      </c>
      <c r="X60" s="296" t="s">
        <v>152</v>
      </c>
      <c r="Y60" s="59"/>
    </row>
    <row r="61" spans="1:25" s="230" customFormat="1" ht="17.399999999999999" x14ac:dyDescent="0.35">
      <c r="B61" s="24" t="s">
        <v>161</v>
      </c>
      <c r="C61"/>
      <c r="D61"/>
      <c r="E61"/>
      <c r="F61"/>
      <c r="G61"/>
      <c r="K61" s="261"/>
      <c r="L61" s="232"/>
      <c r="M61" s="249"/>
      <c r="N61" s="14">
        <v>9</v>
      </c>
      <c r="O61" s="249">
        <v>15684</v>
      </c>
      <c r="P61" s="12">
        <f t="shared" si="29"/>
        <v>141156</v>
      </c>
      <c r="Q61" s="14" t="s">
        <v>138</v>
      </c>
      <c r="R61" s="17"/>
      <c r="T61" s="238"/>
      <c r="U61" s="255"/>
      <c r="V61" s="59"/>
      <c r="W61" s="59">
        <f>W59+W60</f>
        <v>1087.5</v>
      </c>
      <c r="X61" s="296" t="s">
        <v>153</v>
      </c>
      <c r="Y61" s="59"/>
    </row>
    <row r="62" spans="1:25" s="230" customFormat="1" ht="17.399999999999999" x14ac:dyDescent="0.35">
      <c r="A62" s="230" t="s">
        <v>281</v>
      </c>
      <c r="B62" s="29" t="s">
        <v>124</v>
      </c>
      <c r="C62"/>
      <c r="D62"/>
      <c r="E62"/>
      <c r="F62"/>
      <c r="G62" s="229" t="s">
        <v>15</v>
      </c>
      <c r="K62" s="261"/>
      <c r="L62" s="259"/>
      <c r="M62" s="249"/>
      <c r="N62" s="248">
        <v>300</v>
      </c>
      <c r="O62" s="249">
        <v>339</v>
      </c>
      <c r="P62" s="12">
        <f t="shared" si="29"/>
        <v>101700</v>
      </c>
      <c r="Q62" s="14" t="s">
        <v>287</v>
      </c>
      <c r="R62" s="14"/>
      <c r="S62" s="230">
        <v>1.52</v>
      </c>
      <c r="T62" s="238"/>
      <c r="U62" s="238"/>
    </row>
    <row r="63" spans="1:25" s="230" customFormat="1" ht="17.399999999999999" x14ac:dyDescent="0.35">
      <c r="K63" s="286"/>
      <c r="L63" s="259"/>
      <c r="M63" s="249"/>
      <c r="N63" s="265"/>
      <c r="O63" s="12">
        <v>1500</v>
      </c>
      <c r="P63" s="12">
        <f t="shared" si="29"/>
        <v>0</v>
      </c>
      <c r="Q63" s="14" t="s">
        <v>22</v>
      </c>
      <c r="R63" s="14"/>
      <c r="S63">
        <v>2.44</v>
      </c>
      <c r="T63"/>
      <c r="U63" s="238"/>
      <c r="Y63" s="231"/>
    </row>
    <row r="64" spans="1:25" s="230" customFormat="1" ht="17.399999999999999" x14ac:dyDescent="0.35">
      <c r="L64" s="259"/>
      <c r="M64" s="249"/>
      <c r="N64" s="14"/>
      <c r="O64" s="12"/>
      <c r="P64" s="12">
        <f>SUM(P58:P63)</f>
        <v>642438.70559999999</v>
      </c>
      <c r="Q64" s="39" t="s">
        <v>23</v>
      </c>
      <c r="R64" s="14"/>
      <c r="S64">
        <f>S62*S63</f>
        <v>3.7088000000000001</v>
      </c>
      <c r="T64"/>
      <c r="U64" s="238"/>
      <c r="Y64" s="231"/>
    </row>
    <row r="65" spans="2:24" s="230" customFormat="1" ht="17.399999999999999" x14ac:dyDescent="0.35">
      <c r="M65" s="249"/>
      <c r="N65" s="253" t="s">
        <v>33</v>
      </c>
      <c r="O65" s="12"/>
      <c r="P65" s="254">
        <f>P64*2</f>
        <v>1284877.4112</v>
      </c>
      <c r="Q65" s="14" t="s">
        <v>137</v>
      </c>
      <c r="R65" s="14"/>
      <c r="S65" s="40">
        <f>Q56/S64</f>
        <v>8.8938707937877499</v>
      </c>
      <c r="T65"/>
      <c r="U65" s="256"/>
    </row>
    <row r="66" spans="2:24" s="230" customFormat="1" ht="17.399999999999999" x14ac:dyDescent="0.35">
      <c r="H66"/>
      <c r="I66" s="259"/>
      <c r="J66" s="259"/>
      <c r="K66" s="259"/>
      <c r="L66" s="230">
        <v>80000</v>
      </c>
      <c r="M66" s="249"/>
      <c r="N66" s="14"/>
      <c r="O66" s="12"/>
      <c r="P66" s="12">
        <f>P65/Q54</f>
        <v>46743.228995644997</v>
      </c>
      <c r="Q66" s="45" t="s">
        <v>24</v>
      </c>
      <c r="R66" s="14"/>
      <c r="S66" s="14"/>
      <c r="T66"/>
      <c r="U66" s="238"/>
      <c r="V66" s="59" t="s">
        <v>154</v>
      </c>
      <c r="W66" s="291">
        <v>43650</v>
      </c>
    </row>
    <row r="67" spans="2:24" s="230" customFormat="1" ht="17.399999999999999" x14ac:dyDescent="0.35">
      <c r="H67"/>
      <c r="L67" s="230">
        <f>L66/1.19</f>
        <v>67226.890756302528</v>
      </c>
      <c r="M67" s="249"/>
      <c r="N67" s="13"/>
      <c r="O67" s="14"/>
      <c r="P67" s="17">
        <f>P65/P64</f>
        <v>2</v>
      </c>
      <c r="Q67" s="15"/>
      <c r="R67"/>
      <c r="S67"/>
      <c r="T67"/>
      <c r="U67" s="238"/>
      <c r="V67" s="59" t="s">
        <v>156</v>
      </c>
      <c r="W67" s="292" t="s">
        <v>155</v>
      </c>
      <c r="X67" s="59">
        <v>2.4</v>
      </c>
    </row>
    <row r="68" spans="2:24" s="230" customFormat="1" ht="17.399999999999999" x14ac:dyDescent="0.35">
      <c r="H68" s="23"/>
      <c r="L68" s="230">
        <f>L67/16</f>
        <v>4201.680672268908</v>
      </c>
      <c r="M68" s="12"/>
      <c r="U68" s="238"/>
      <c r="V68" s="59" t="s">
        <v>157</v>
      </c>
      <c r="W68" s="293">
        <v>395.37</v>
      </c>
    </row>
    <row r="69" spans="2:24" s="230" customFormat="1" ht="17.399999999999999" x14ac:dyDescent="0.35">
      <c r="B69"/>
      <c r="C69" s="228"/>
      <c r="D69" s="22"/>
      <c r="E69" s="22"/>
      <c r="F69" s="22"/>
      <c r="G69" s="21"/>
      <c r="H69" s="23"/>
      <c r="L69" s="230">
        <f>L68/4</f>
        <v>1050.420168067227</v>
      </c>
      <c r="M69" s="12"/>
      <c r="U69" s="238"/>
      <c r="V69" s="59" t="s">
        <v>152</v>
      </c>
      <c r="W69" s="59">
        <v>474.45</v>
      </c>
    </row>
    <row r="70" spans="2:24" ht="14.4" customHeight="1" x14ac:dyDescent="0.3">
      <c r="M70" s="12"/>
      <c r="V70" s="59"/>
      <c r="W70" s="59"/>
    </row>
    <row r="71" spans="2:24" x14ac:dyDescent="0.3">
      <c r="M71" s="249"/>
    </row>
    <row r="72" spans="2:24" x14ac:dyDescent="0.3">
      <c r="M72" s="249"/>
      <c r="U72" s="269"/>
    </row>
    <row r="73" spans="2:24" x14ac:dyDescent="0.3">
      <c r="M73" s="249"/>
    </row>
    <row r="74" spans="2:24" ht="15" customHeight="1" x14ac:dyDescent="0.3"/>
    <row r="76" spans="2:24" x14ac:dyDescent="0.3">
      <c r="P76">
        <v>40935</v>
      </c>
      <c r="Q76" t="s">
        <v>16</v>
      </c>
      <c r="R76" t="s">
        <v>26</v>
      </c>
    </row>
    <row r="78" spans="2:24" x14ac:dyDescent="0.3">
      <c r="P78" s="54"/>
      <c r="Q78" s="54"/>
    </row>
    <row r="79" spans="2:24" x14ac:dyDescent="0.3">
      <c r="T79" s="18"/>
      <c r="U79" s="18"/>
    </row>
    <row r="80" spans="2:24" x14ac:dyDescent="0.3">
      <c r="T80" s="18"/>
      <c r="U80" s="18"/>
    </row>
    <row r="81" spans="16:21" x14ac:dyDescent="0.3">
      <c r="T81" s="18"/>
      <c r="U81" s="18"/>
    </row>
    <row r="82" spans="16:21" x14ac:dyDescent="0.3">
      <c r="T82" s="18"/>
      <c r="U82" s="18"/>
    </row>
    <row r="83" spans="16:21" x14ac:dyDescent="0.3">
      <c r="T83" s="18"/>
      <c r="U83" s="18"/>
    </row>
    <row r="84" spans="16:21" x14ac:dyDescent="0.3">
      <c r="T84" s="18"/>
      <c r="U84" s="18"/>
    </row>
    <row r="85" spans="16:21" x14ac:dyDescent="0.3">
      <c r="T85" s="18"/>
      <c r="U85" s="18"/>
    </row>
    <row r="86" spans="16:21" x14ac:dyDescent="0.3">
      <c r="T86" s="18"/>
      <c r="U86" s="18"/>
    </row>
    <row r="87" spans="16:21" x14ac:dyDescent="0.3">
      <c r="T87" s="18"/>
      <c r="U87" s="18"/>
    </row>
    <row r="90" spans="16:21" x14ac:dyDescent="0.3">
      <c r="P90" s="43"/>
    </row>
    <row r="91" spans="16:21" x14ac:dyDescent="0.3">
      <c r="P91" s="43"/>
    </row>
    <row r="92" spans="16:21" x14ac:dyDescent="0.3">
      <c r="P92" s="6"/>
    </row>
    <row r="93" spans="16:21" x14ac:dyDescent="0.3">
      <c r="P93" s="6"/>
    </row>
    <row r="101" spans="3:3" x14ac:dyDescent="0.3">
      <c r="C101" t="s">
        <v>144</v>
      </c>
    </row>
    <row r="102" spans="3:3" x14ac:dyDescent="0.3">
      <c r="C102" t="s">
        <v>143</v>
      </c>
    </row>
    <row r="105" spans="3:3" x14ac:dyDescent="0.3">
      <c r="C105" t="s">
        <v>143</v>
      </c>
    </row>
    <row r="182" spans="3:3" x14ac:dyDescent="0.3">
      <c r="C182" t="s">
        <v>143</v>
      </c>
    </row>
    <row r="183" spans="3:3" x14ac:dyDescent="0.3">
      <c r="C183" t="s">
        <v>145</v>
      </c>
    </row>
    <row r="184" spans="3:3" x14ac:dyDescent="0.3">
      <c r="C184" t="s">
        <v>146</v>
      </c>
    </row>
    <row r="609" spans="3:3" x14ac:dyDescent="0.3">
      <c r="C609" t="s">
        <v>143</v>
      </c>
    </row>
  </sheetData>
  <mergeCells count="1">
    <mergeCell ref="B19:I19"/>
  </mergeCells>
  <phoneticPr fontId="32" type="noConversion"/>
  <hyperlinks>
    <hyperlink ref="G6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46029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-96056.616193454116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'2229'!I52</f>
        <v>1284877.4112</v>
      </c>
      <c r="E11" s="132">
        <f>D11*0.19</f>
        <v>244126.708128</v>
      </c>
      <c r="F11" s="131">
        <f>E11+D11</f>
        <v>1529004.1193279999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9933.383806545884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429416.79638743959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-8066.616193454116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855460.61481256038</v>
      </c>
      <c r="E13" s="221">
        <f>(D11/D12)-1</f>
        <v>1.9921452118531584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-17066.616193454116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-56066.616193454116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708537.71403927531</v>
      </c>
      <c r="F15" s="216">
        <f>E15-D12</f>
        <v>279120.91765183571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-56066.616193454116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-16066.616193454116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'2229'!P60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'2229'!P59</f>
        <v>360000</v>
      </c>
      <c r="E19" s="123">
        <f>D19*0.19</f>
        <v>68400</v>
      </c>
      <c r="F19" s="120">
        <f>SUM(D19:E19)</f>
        <v>428400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'2229'!P58</f>
        <v>39582.705600000008</v>
      </c>
      <c r="E20" s="121">
        <f>D20*0.19</f>
        <v>7520.7140640000016</v>
      </c>
      <c r="F20" s="120">
        <f>SUM(D20:E20)</f>
        <v>47103.419664000008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399582.70559999999</v>
      </c>
      <c r="E21" s="116">
        <f>SUM(E18:E20)</f>
        <v>75920.714064</v>
      </c>
      <c r="F21" s="115">
        <f>SUM(F18:F20)</f>
        <v>475503.41966399999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168205.994064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1284877.4112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399582.70559999999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855460.61481256038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855460.61481256038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11823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46029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46036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174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175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6</v>
      </c>
      <c r="C22" s="313" t="str">
        <f>'2229'!C21</f>
        <v>ENCHAPE RECTO 1 CARA MELAMIL 18MM</v>
      </c>
      <c r="D22" s="321">
        <f>'2229'!D21*1000</f>
        <v>920</v>
      </c>
      <c r="E22" s="321">
        <f>'2229'!E21*1000</f>
        <v>415</v>
      </c>
      <c r="F22" s="322" t="str">
        <f>'2229'!G21</f>
        <v>BLANCO MERINO SF</v>
      </c>
      <c r="G22" s="314">
        <f>'2229'!H21</f>
        <v>19113.306336319241</v>
      </c>
      <c r="H22" s="323">
        <f>G22*B22</f>
        <v>114679.83801791545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114679.83801791545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21789.169223403936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136469.0072413194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180</v>
      </c>
      <c r="C2" s="450"/>
      <c r="D2" s="450"/>
      <c r="E2" s="361"/>
      <c r="G2" s="450" t="s">
        <v>181</v>
      </c>
      <c r="H2" s="450"/>
      <c r="I2" s="450"/>
      <c r="P2" s="451" t="s">
        <v>182</v>
      </c>
      <c r="Q2" s="451"/>
      <c r="R2" s="451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1" t="s">
        <v>182</v>
      </c>
      <c r="M8" s="451"/>
      <c r="N8" s="451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263</v>
      </c>
      <c r="L3" s="456"/>
      <c r="M3" s="456" t="s">
        <v>264</v>
      </c>
      <c r="N3" s="456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46029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46036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263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264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270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11823</v>
      </c>
      <c r="C2" s="1">
        <f>'NOTA DE VENTA'!$G$10</f>
        <v>46029</v>
      </c>
      <c r="D2" s="1">
        <f>'NOTA DE VENTA'!$G$11</f>
        <v>46036</v>
      </c>
      <c r="E2" t="str">
        <f>'NOTA DE VENTA'!$C$10</f>
        <v>GONZALO PEÑA</v>
      </c>
      <c r="F2" t="str">
        <f>'NOTA DE VENTA'!$C$22</f>
        <v>ENCHAPE RECTO 1 CARA MELAMIL 18MM</v>
      </c>
      <c r="G2" t="str">
        <f>'NOTA DE VENTA'!$F$22</f>
        <v>BLANCO MERINO SF</v>
      </c>
      <c r="H2" s="416">
        <f>'NOTA DE VENTA'!$H$25</f>
        <v>114679.83801791545</v>
      </c>
      <c r="I2" s="416">
        <f>H2*0.19</f>
        <v>21789.169223403936</v>
      </c>
      <c r="J2" s="416">
        <f>I2+H2</f>
        <v>136469.0072413194</v>
      </c>
      <c r="L2" s="61">
        <f>J2-K2</f>
        <v>136469.0072413194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2025-12-18T01:04:17Z</cp:lastPrinted>
  <dcterms:created xsi:type="dcterms:W3CDTF">2013-03-18T13:35:42Z</dcterms:created>
  <dcterms:modified xsi:type="dcterms:W3CDTF">2026-01-07T14:31:04Z</dcterms:modified>
</cp:coreProperties>
</file>