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AEFFC426-C3C5-4BCE-A5A5-4B29A5102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H22" i="1"/>
  <c r="L22" i="1"/>
  <c r="M22" i="1"/>
  <c r="N22" i="1"/>
  <c r="L21" i="1"/>
  <c r="O22" i="1" l="1"/>
  <c r="P22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1" i="1"/>
  <c r="S27" i="1" s="1"/>
  <c r="O21" i="1"/>
  <c r="P21" i="1" s="1"/>
  <c r="P26" i="1" s="1"/>
  <c r="S28" i="1" l="1"/>
  <c r="S29" i="1" s="1"/>
  <c r="S30" i="1" s="1"/>
  <c r="V33" i="1"/>
  <c r="V34" i="1" s="1"/>
  <c r="P27" i="1" l="1"/>
  <c r="N20" i="1"/>
  <c r="L20" i="1"/>
  <c r="P28" i="1" l="1"/>
  <c r="P29" i="1" s="1"/>
  <c r="O33" i="1"/>
  <c r="R37" i="1"/>
  <c r="M31" i="1" l="1"/>
  <c r="R38" i="1"/>
  <c r="O32" i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<sst xmlns="http://schemas.openxmlformats.org/spreadsheetml/2006/main" count="488" uniqueCount="294">
  <si>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</si>
  <si>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</si>
  <si>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</si>
  <si>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</si>
  <si>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</si>
  <si>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</si>
  <si>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</si>
  <si>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</si>
  <si>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</si>
  <si>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</si>
  <si>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</si>
  <si>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</si>
  <si>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</si>
  <si>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</si>
  <si>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</si>
  <si>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</si>
  <si>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</si>
  <si>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</si>
  <si>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</si>
  <si>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</si>
  <si>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</si>
  <si>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</si>
  <si>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</si>
  <si>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</si>
  <si>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</si>
  <si>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</si>
  <si>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</si>
  <si>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</si>
  <si>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</si>
  <si>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</si>
  <si>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</si>
  <si>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</si>
  <si>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</si>
  <si>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</si>
  <si>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</si>
  <si>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</si>
  <si>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</si>
  <si>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</si>
  <si>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</si>
  <si>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</si>
  <si>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</si>
  <si>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</si>
  <si>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</si>
  <si>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</si>
  <si>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</si>
  <si>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</si>
  <si>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</si>
  <si>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</si>
  <si>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</si>
  <si>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</si>
  <si>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</si>
  <si>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</si>
  <si>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</si>
  <si>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</si>
  <si>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</si>
  <si>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</si>
  <si>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</si>
  <si>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</si>
  <si>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</si>
  <si>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</si>
  <si>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</si>
  <si>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</si>
  <si>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</si>
  <si>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</si>
  <si>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</si>
  <si>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</si>
  <si>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</si>
  <si>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</si>
  <si>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</si>
  <si>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</si>
  <si>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</si>
  <si>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</si>
  <si>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</si>
  <si>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</si>
  <si>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</si>
  <si>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</si>
  <si>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</si>
  <si>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</si>
  <si>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</si>
  <si>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</si>
  <si>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</si>
  <si>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</si>
  <si>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</si>
  <si>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</si>
  <si>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</si>
  <si>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</si>
  <si>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</si>
  <si>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</si>
  <si>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</si>
  <si>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</si>
  <si>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</si>
  <si>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</si>
  <si>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</si>
  <si>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</si>
  <si>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</si>
  <si>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</si>
  <si>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</si>
  <si>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</si>
  <si>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</si>
  <si>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</si>
  <si>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</si>
  <si>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</si>
  <si>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</si>
  <si>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</si>
  <si>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</si>
  <si>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</si>
  <si>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</si>
  <si>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</si>
  <si>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</si>
  <si>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</si>
  <si>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</si>
  <si>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</si>
  <si>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</si>
  <si>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</si>
  <si>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</si>
  <si>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</si>
  <si>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</si>
  <si>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</si>
  <si>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</si>
  <si>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</si>
  <si>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</si>
  <si>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</si>
  <si>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</si>
  <si>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</si>
  <si>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</si>
  <si>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</si>
  <si>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</si>
  <si>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</si>
  <si>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</si>
  <si>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</si>
  <si>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</si>
  <si>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</si>
  <si>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</si>
  <si>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</si>
  <si>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</si>
  <si>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</si>
  <si>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</si>
  <si>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</si>
  <si>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</si>
  <si>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</si>
  <si>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</si>
  <si>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</si>
  <si>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</si>
  <si>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</si>
  <si>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</si>
  <si>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</si>
  <si>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</si>
  <si>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</si>
  <si>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</si>
  <si>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</si>
  <si>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</si>
  <si>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</si>
  <si>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</si>
  <si>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</si>
  <si>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</si>
  <si>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</si>
  <si>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</si>
  <si>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</si>
  <si>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</si>
  <si>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</si>
  <si>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</si>
  <si>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</si>
  <si>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</si>
  <si>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</si>
  <si>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</si>
  <si>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</si>
  <si>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</si>
  <si>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</si>
  <si>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</si>
  <si>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</si>
  <si>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</si>
  <si>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</si>
  <si>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</si>
  <si>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</si>
  <si>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</si>
  <si>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</si>
  <si>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</si>
  <si>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</si>
  <si>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</si>
  <si>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</si>
  <si>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</si>
  <si>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</si>
  <si>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</si>
  <si>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</si>
  <si>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</si>
  <si>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</si>
  <si>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</si>
  <si>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</si>
  <si>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</si>
  <si>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</si>
  <si>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</si>
  <si>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</si>
  <si>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</si>
  <si>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</si>
  <si>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</si>
  <si>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</si>
  <si>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</si>
  <si>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</si>
  <si>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</si>
  <si>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</si>
  <si>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</si>
  <si>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</si>
  <si>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</si>
  <si>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</si>
  <si>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</si>
  <si>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</si>
  <si>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</si>
  <si>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</si>
  <si>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</si>
  <si>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</si>
  <si>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</si>
  <si>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</si>
  <si>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</si>
  <si>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</si>
  <si>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</si>
  <si>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</si>
  <si>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</si>
  <si>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</si>
  <si>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</si>
  <si>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</si>
  <si>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</si>
  <si>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</si>
  <si>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</si>
  <si>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</si>
  <si>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</si>
  <si>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</si>
  <si>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</si>
  <si>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</si>
  <si>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</si>
  <si>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</si>
  <si>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</si>
  <si>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</si>
  <si>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</si>
  <si>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</si>
  <si>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</si>
  <si>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</si>
  <si>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</si>
  <si>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</si>
  <si>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</si>
  <si>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</si>
  <si>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</si>
  <si>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</si>
  <si>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</si>
  <si>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</si>
  <si>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</si>
  <si>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</si>
  <si>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</si>
  <si>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</si>
  <si>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</si>
  <si>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</si>
  <si>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</si>
  <si>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</si>
  <si>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</si>
  <si>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</si>
  <si>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</si>
  <si>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</si>
  <si>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</si>
  <si>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</si>
  <si>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</si>
  <si>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</si>
  <si>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</si>
  <si>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</si>
  <si>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</si>
  <si>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</si>
  <si>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</si>
  <si>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</si>
  <si>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</si>
  <si>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</si>
  <si>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</si>
  <si>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</si>
  <si>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</si>
  <si>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</si>
  <si>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</si>
  <si>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</si>
  <si>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</si>
  <si>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</si>
  <si>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</si>
  <si>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</si>
  <si>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</si>
  <si>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</si>
  <si>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</si>
  <si>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</si>
  <si>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</si>
  <si>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</si>
  <si>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</si>
  <si>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</si>
  <si>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</si>
  <si>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</si>
  <si>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7 DIAS HABILES</t>
  </si>
  <si>
    <t>CUB CON RESPALDO Y FRENTE 90°</t>
  </si>
  <si>
    <t>PUMIC GREY OPACO</t>
  </si>
  <si>
    <t>N° 11848</t>
  </si>
  <si>
    <t>FRANCISCO MORENO</t>
  </si>
  <si>
    <t>569 9004 4098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</si>
</sst>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0" fontId="31" fillId="0" borderId="0" xfId="0" applyFont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292</v>
      </c>
      <c r="D10" s="242"/>
      <c r="E10" s="242"/>
      <c r="F10" s="417" t="s">
        <v>276</v>
      </c>
      <c r="G10" s="274">
        <v>46048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8" t="s">
        <v>285</v>
      </c>
      <c r="G11" s="420" t="s">
        <v>288</v>
      </c>
      <c r="H11" s="421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F13" s="28" t="s">
        <v>134</v>
      </c>
      <c r="G13" s="422" t="s">
        <v>133</v>
      </c>
      <c r="H13" s="421"/>
      <c r="Q13" s="19"/>
      <c r="R13" s="24"/>
      <c r="S13" s="19"/>
    </row>
    <row r="14" spans="2:24" x14ac:dyDescent="0.3">
      <c r="B14" s="244" t="s">
        <v>137</v>
      </c>
      <c r="C14" s="427"/>
      <c r="D14" s="245"/>
      <c r="E14" s="245"/>
      <c r="F14" s="300" t="s">
        <v>284</v>
      </c>
      <c r="G14" s="422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1" t="s">
        <v>293</v>
      </c>
      <c r="D15" s="423"/>
      <c r="F15" s="28" t="s">
        <v>283</v>
      </c>
      <c r="G15" s="422" t="s">
        <v>133</v>
      </c>
      <c r="H15" s="421"/>
    </row>
    <row r="16" spans="2:24" ht="16.8" x14ac:dyDescent="0.4">
      <c r="B16" s="301" t="s">
        <v>3</v>
      </c>
      <c r="C16" s="297"/>
      <c r="D16" s="245"/>
      <c r="E16" s="245"/>
      <c r="F16" s="302" t="s">
        <v>128</v>
      </c>
      <c r="G16" s="303" t="s">
        <v>159</v>
      </c>
      <c r="H16" s="246"/>
    </row>
    <row r="17" spans="1:25" ht="15" thickBot="1" x14ac:dyDescent="0.35">
      <c r="B17" s="424" t="s">
        <v>13</v>
      </c>
      <c r="C17" s="298" t="s">
        <v>161</v>
      </c>
      <c r="D17" s="299"/>
      <c r="E17" s="118"/>
      <c r="F17" s="425" t="s">
        <v>178</v>
      </c>
      <c r="G17" s="425" t="s">
        <v>179</v>
      </c>
      <c r="H17" s="426"/>
      <c r="I17" s="261"/>
      <c r="J17" s="261"/>
      <c r="T17" s="6"/>
      <c r="U17" s="6"/>
    </row>
    <row r="18" spans="1:25" ht="15.75" customHeight="1" thickBot="1" x14ac:dyDescent="0.35">
      <c r="J18" s="46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O39</f>
        <v>83550.559006211188</v>
      </c>
      <c r="R20" s="256">
        <v>3000</v>
      </c>
      <c r="S20" s="37"/>
      <c r="T20" s="14" t="s">
        <v>127</v>
      </c>
      <c r="U20" s="9"/>
      <c r="X20" s="4"/>
    </row>
    <row r="21" spans="1:25" ht="17.399999999999999" x14ac:dyDescent="0.3">
      <c r="B21" s="428">
        <v>1</v>
      </c>
      <c r="C21" s="428" t="s">
        <v>289</v>
      </c>
      <c r="D21" s="429">
        <v>3</v>
      </c>
      <c r="E21" s="429">
        <v>0.6</v>
      </c>
      <c r="F21" s="428" t="s">
        <v>290</v>
      </c>
      <c r="G21" s="430">
        <v>157401</v>
      </c>
      <c r="H21" s="430">
        <f>G21*B21</f>
        <v>157401</v>
      </c>
      <c r="I21" s="305"/>
      <c r="J21" s="263"/>
      <c r="K21" s="46"/>
      <c r="L21" s="46">
        <f>B21</f>
        <v>1</v>
      </c>
      <c r="M21" s="38">
        <f>D21+M$19</f>
        <v>3.08</v>
      </c>
      <c r="N21" s="38">
        <f>E21+$N$19</f>
        <v>0.6</v>
      </c>
      <c r="O21" s="259">
        <f t="shared" ref="O21" si="0">M21*N21</f>
        <v>1.8479999999999999</v>
      </c>
      <c r="P21" s="257">
        <f t="shared" ref="P21" si="1">O21*L21</f>
        <v>1.8479999999999999</v>
      </c>
      <c r="Q21" s="250">
        <f t="shared" ref="Q21" si="2">Q$20*O21</f>
        <v>154401.43304347826</v>
      </c>
      <c r="R21" s="304">
        <f t="shared" ref="R21" si="3">Q21+R$20</f>
        <v>157401.43304347826</v>
      </c>
      <c r="S21" s="289">
        <f>L21*M21*2</f>
        <v>6.16</v>
      </c>
      <c r="T21" s="45">
        <f>N21*2*L21*2</f>
        <v>2.4</v>
      </c>
      <c r="U21" s="9"/>
      <c r="X21" s="4"/>
    </row>
    <row r="22" spans="1:25" ht="17.399999999999999" x14ac:dyDescent="0.3">
      <c r="B22" s="428">
        <v>1</v>
      </c>
      <c r="C22" s="428" t="s">
        <v>289</v>
      </c>
      <c r="D22" s="429">
        <v>3</v>
      </c>
      <c r="E22" s="429">
        <v>0.55000000000000004</v>
      </c>
      <c r="F22" s="428" t="s">
        <v>290</v>
      </c>
      <c r="G22" s="430">
        <v>144535</v>
      </c>
      <c r="H22" s="430">
        <f>G22*B22</f>
        <v>144535</v>
      </c>
      <c r="I22" s="305"/>
      <c r="J22" s="263"/>
      <c r="K22" s="46"/>
      <c r="L22" s="46">
        <f>B22</f>
        <v>1</v>
      </c>
      <c r="M22" s="38">
        <f>D22+M$19</f>
        <v>3.08</v>
      </c>
      <c r="N22" s="38">
        <f>E22+$N$19</f>
        <v>0.55000000000000004</v>
      </c>
      <c r="O22" s="259">
        <f t="shared" ref="O22" si="4">M22*N22</f>
        <v>1.6940000000000002</v>
      </c>
      <c r="P22" s="257">
        <f t="shared" ref="P22" si="5">O22*L22</f>
        <v>1.6940000000000002</v>
      </c>
      <c r="Q22" s="250">
        <f t="shared" ref="Q22" si="6">Q$20*O22</f>
        <v>141534.64695652176</v>
      </c>
      <c r="R22" s="304">
        <f t="shared" ref="R22" si="7">Q22+R$20</f>
        <v>144534.64695652176</v>
      </c>
      <c r="S22" s="289"/>
      <c r="T22" s="45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05"/>
      <c r="H23" s="305"/>
      <c r="I23" s="305"/>
      <c r="J23" s="263"/>
      <c r="K23" s="46"/>
      <c r="L23" s="46"/>
      <c r="M23" s="38"/>
      <c r="N23" s="38"/>
      <c r="O23" s="259"/>
      <c r="P23" s="257"/>
      <c r="Q23" s="250"/>
      <c r="R23" s="304"/>
      <c r="S23" s="289"/>
      <c r="T23" s="45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3"/>
      <c r="H24" s="306"/>
      <c r="I24" s="308"/>
      <c r="J24" s="232"/>
      <c r="K24" s="46"/>
      <c r="L24" s="46"/>
      <c r="M24" s="38"/>
      <c r="N24" s="38"/>
      <c r="O24" s="259"/>
      <c r="P24" s="257"/>
      <c r="Q24" s="250"/>
      <c r="R24" s="256"/>
      <c r="S24" s="289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SUM(H21:H24)</f>
        <v>301936</v>
      </c>
      <c r="I25" s="307"/>
      <c r="J25" s="263"/>
      <c r="K25" s="46"/>
      <c r="L25" s="46"/>
      <c r="M25" s="38"/>
      <c r="N25" s="38"/>
      <c r="O25" s="259"/>
      <c r="P25" s="257"/>
      <c r="Q25" s="250"/>
      <c r="R25" s="256"/>
      <c r="S25" s="289"/>
      <c r="T25" s="45">
        <f>SUM(T21:T24)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8" t="s">
        <v>51</v>
      </c>
      <c r="H26" s="286">
        <f>H25*19%</f>
        <v>57367.840000000004</v>
      </c>
      <c r="I26" s="307"/>
      <c r="J26" s="263"/>
      <c r="K26" s="46"/>
      <c r="L26" s="46"/>
      <c r="M26" s="38">
        <f>SUM(M21:M25)</f>
        <v>6.16</v>
      </c>
      <c r="N26" s="12"/>
      <c r="O26" s="12"/>
      <c r="P26" s="251">
        <f>SUM(P21:P22)</f>
        <v>3.5419999999999998</v>
      </c>
      <c r="Q26" s="14"/>
      <c r="R26" s="12"/>
      <c r="S26" s="238"/>
      <c r="T26" s="45"/>
      <c r="U26" s="9"/>
      <c r="X26" s="4"/>
    </row>
    <row r="27" spans="1:25" ht="18" thickBot="1" x14ac:dyDescent="0.35">
      <c r="B27" s="273"/>
      <c r="C27" s="279"/>
      <c r="D27" s="270"/>
      <c r="E27" s="270"/>
      <c r="F27" s="271"/>
      <c r="G27" s="278" t="s">
        <v>6</v>
      </c>
      <c r="H27" s="287">
        <f>H25+H26</f>
        <v>359303.84</v>
      </c>
      <c r="I27" s="307"/>
      <c r="J27" s="263"/>
      <c r="K27" s="46">
        <v>48890</v>
      </c>
      <c r="L27" s="46"/>
      <c r="M27" s="38"/>
      <c r="N27" s="12"/>
      <c r="O27" s="12"/>
      <c r="P27" s="251">
        <f>P26</f>
        <v>3.5419999999999998</v>
      </c>
      <c r="Q27" s="14"/>
      <c r="R27" s="12"/>
      <c r="S27" s="238">
        <f>SUM(S21:S26)</f>
        <v>6.16</v>
      </c>
      <c r="T27" s="45"/>
      <c r="U27" s="9"/>
      <c r="X27" s="4"/>
    </row>
    <row r="28" spans="1:25" ht="17.399999999999999" x14ac:dyDescent="0.3">
      <c r="B28" s="273"/>
      <c r="C28" s="269"/>
      <c r="D28" s="270"/>
      <c r="E28" s="270"/>
      <c r="F28" s="271"/>
      <c r="J28" s="263"/>
      <c r="K28" s="46">
        <f>K27/1.19</f>
        <v>41084.033613445383</v>
      </c>
      <c r="L28" s="46"/>
      <c r="M28" s="14"/>
      <c r="N28" s="12"/>
      <c r="O28" s="12"/>
      <c r="P28" s="38">
        <f>P27*20%</f>
        <v>0.70840000000000003</v>
      </c>
      <c r="Q28" s="38" t="s">
        <v>129</v>
      </c>
      <c r="R28" s="41"/>
      <c r="S28" s="239">
        <f>S27+T25</f>
        <v>8.56</v>
      </c>
      <c r="T28" s="14"/>
      <c r="U28" s="9"/>
      <c r="X28" s="4"/>
    </row>
    <row r="29" spans="1:25" ht="17.399999999999999" x14ac:dyDescent="0.35">
      <c r="B29" s="267"/>
      <c r="C29" s="229"/>
      <c r="D29" s="229"/>
      <c r="E29" s="232"/>
      <c r="F29" s="233"/>
      <c r="G29" s="229"/>
      <c r="H29" s="272"/>
      <c r="I29" s="272"/>
      <c r="J29" s="263"/>
      <c r="K29" s="46"/>
      <c r="L29" s="46"/>
      <c r="M29" s="14"/>
      <c r="N29" s="12"/>
      <c r="O29" s="12"/>
      <c r="P29" s="45">
        <f>P27+P28</f>
        <v>4.2504</v>
      </c>
      <c r="Q29" s="14"/>
      <c r="R29" s="14"/>
      <c r="S29" s="237">
        <f>S28*20%</f>
        <v>1.7120000000000002</v>
      </c>
      <c r="T29" s="14"/>
      <c r="U29" s="9"/>
      <c r="X29" s="4"/>
    </row>
    <row r="30" spans="1:25" ht="17.399999999999999" x14ac:dyDescent="0.35">
      <c r="B30" s="234"/>
      <c r="C30" s="235"/>
      <c r="D30" s="236"/>
      <c r="E30" s="234"/>
      <c r="F30" s="229"/>
      <c r="G30" s="229"/>
      <c r="I30" s="272"/>
      <c r="J30" s="263"/>
      <c r="K30" s="46"/>
      <c r="L30" s="46"/>
      <c r="M30" s="14"/>
      <c r="N30" s="14"/>
      <c r="O30" s="14"/>
      <c r="P30" s="14"/>
      <c r="Q30" s="14"/>
      <c r="R30" s="14"/>
      <c r="S30" s="239">
        <f>S28+S29</f>
        <v>10.272</v>
      </c>
      <c r="T30" s="14"/>
      <c r="U30" s="293" t="s">
        <v>21</v>
      </c>
      <c r="V30" s="290" t="s">
        <v>148</v>
      </c>
      <c r="W30" s="294">
        <v>44971</v>
      </c>
      <c r="X30" s="295"/>
    </row>
    <row r="31" spans="1:25" ht="17.399999999999999" x14ac:dyDescent="0.35">
      <c r="B31" s="229"/>
      <c r="C31" s="229"/>
      <c r="D31" s="229"/>
      <c r="E31" s="229"/>
      <c r="F31" s="229"/>
      <c r="G31" s="229"/>
      <c r="J31" s="263"/>
      <c r="K31" s="46"/>
      <c r="L31" s="46"/>
      <c r="M31" s="38">
        <f>P29</f>
        <v>4.2504</v>
      </c>
      <c r="N31" s="12">
        <v>3500</v>
      </c>
      <c r="O31" s="12">
        <f t="shared" ref="O31:O36" si="8">M31*N31</f>
        <v>14876.4</v>
      </c>
      <c r="P31" s="14" t="s">
        <v>21</v>
      </c>
      <c r="Q31" s="14"/>
      <c r="R31" s="14"/>
      <c r="S31" s="240"/>
      <c r="T31" s="14"/>
      <c r="U31" s="293" t="s">
        <v>149</v>
      </c>
      <c r="V31" s="290">
        <v>3625</v>
      </c>
      <c r="W31" s="58" t="s">
        <v>150</v>
      </c>
      <c r="X31" s="295"/>
    </row>
    <row r="32" spans="1:25" ht="17.399999999999999" x14ac:dyDescent="0.35">
      <c r="A32" s="229"/>
      <c r="B32" s="229"/>
      <c r="C32" s="229"/>
      <c r="D32" s="229"/>
      <c r="E32" s="229"/>
      <c r="F32" s="229"/>
      <c r="G32" s="229"/>
      <c r="H32" s="229"/>
      <c r="J32" s="263"/>
      <c r="K32" s="46"/>
      <c r="L32" s="46"/>
      <c r="M32" s="247">
        <v>1.2</v>
      </c>
      <c r="N32" s="12">
        <v>23500</v>
      </c>
      <c r="O32" s="12">
        <f t="shared" si="8"/>
        <v>28200</v>
      </c>
      <c r="P32" s="38" t="s">
        <v>31</v>
      </c>
      <c r="Q32" s="41"/>
      <c r="R32" s="14"/>
      <c r="S32" s="239"/>
      <c r="T32" s="14"/>
      <c r="U32" s="293"/>
      <c r="V32" s="58">
        <v>906.25</v>
      </c>
      <c r="W32" s="58" t="s">
        <v>151</v>
      </c>
      <c r="X32" s="295"/>
    </row>
    <row r="33" spans="1:24" s="229" customFormat="1" ht="18" x14ac:dyDescent="0.35">
      <c r="B33" s="432" t="s">
        <v>286</v>
      </c>
      <c r="J33" s="260"/>
      <c r="K33" s="231"/>
      <c r="L33" s="248"/>
      <c r="M33" s="14"/>
      <c r="N33" s="248">
        <v>71000</v>
      </c>
      <c r="O33" s="12">
        <f t="shared" si="8"/>
        <v>0</v>
      </c>
      <c r="P33" s="38" t="s">
        <v>30</v>
      </c>
      <c r="Q33" s="41"/>
      <c r="S33" s="239"/>
      <c r="T33" s="254"/>
      <c r="U33" s="58"/>
      <c r="V33" s="58">
        <f>V32*20%</f>
        <v>181.25</v>
      </c>
      <c r="W33" s="295" t="s">
        <v>152</v>
      </c>
      <c r="X33" s="58"/>
    </row>
    <row r="34" spans="1:24" s="229" customFormat="1" ht="18" x14ac:dyDescent="0.35">
      <c r="B34" s="432" t="s">
        <v>287</v>
      </c>
      <c r="C34"/>
      <c r="D34"/>
      <c r="E34"/>
      <c r="F34"/>
      <c r="J34" s="260"/>
      <c r="K34" s="231"/>
      <c r="L34" s="248"/>
      <c r="M34" s="14">
        <v>2</v>
      </c>
      <c r="N34" s="248">
        <v>41100</v>
      </c>
      <c r="O34" s="12">
        <f t="shared" si="8"/>
        <v>82200</v>
      </c>
      <c r="P34" s="14" t="s">
        <v>139</v>
      </c>
      <c r="Q34" s="17"/>
      <c r="S34" s="237"/>
      <c r="T34" s="254"/>
      <c r="U34" s="58"/>
      <c r="V34" s="58">
        <f>V32+V33</f>
        <v>1087.5</v>
      </c>
      <c r="W34" s="295" t="s">
        <v>153</v>
      </c>
      <c r="X34" s="58"/>
    </row>
    <row r="35" spans="1:24" s="229" customFormat="1" ht="17.399999999999999" x14ac:dyDescent="0.35">
      <c r="A35" s="229" t="s">
        <v>282</v>
      </c>
      <c r="B35" s="28" t="s">
        <v>124</v>
      </c>
      <c r="C35"/>
      <c r="D35"/>
      <c r="E35"/>
      <c r="F35" s="228" t="s">
        <v>15</v>
      </c>
      <c r="J35" s="260"/>
      <c r="K35" s="258"/>
      <c r="L35" s="248"/>
      <c r="M35" s="247"/>
      <c r="N35" s="248">
        <v>900</v>
      </c>
      <c r="O35" s="12">
        <f t="shared" si="8"/>
        <v>0</v>
      </c>
      <c r="P35" s="14" t="s">
        <v>32</v>
      </c>
      <c r="Q35" s="14"/>
      <c r="R35" s="229">
        <v>1.52</v>
      </c>
      <c r="S35" s="237"/>
      <c r="T35" s="237"/>
    </row>
    <row r="36" spans="1:24" s="229" customFormat="1" ht="17.399999999999999" x14ac:dyDescent="0.35">
      <c r="J36" s="285"/>
      <c r="K36" s="258"/>
      <c r="L36" s="248"/>
      <c r="M36" s="264">
        <v>6.16</v>
      </c>
      <c r="N36" s="12">
        <v>1500</v>
      </c>
      <c r="O36" s="12">
        <f t="shared" si="8"/>
        <v>9240</v>
      </c>
      <c r="P36" s="14" t="s">
        <v>22</v>
      </c>
      <c r="Q36" s="14"/>
      <c r="R36">
        <v>2.44</v>
      </c>
      <c r="S36"/>
      <c r="T36" s="237"/>
      <c r="X36" s="230"/>
    </row>
    <row r="37" spans="1:24" s="229" customFormat="1" ht="17.399999999999999" x14ac:dyDescent="0.35">
      <c r="K37" s="258"/>
      <c r="L37" s="248"/>
      <c r="M37" s="14"/>
      <c r="N37" s="12"/>
      <c r="O37" s="12">
        <f>SUM(O31:O36)</f>
        <v>134516.4</v>
      </c>
      <c r="P37" s="38" t="s">
        <v>23</v>
      </c>
      <c r="Q37" s="14"/>
      <c r="R37">
        <f>R35*R36</f>
        <v>3.7088000000000001</v>
      </c>
      <c r="S37"/>
      <c r="T37" s="237"/>
      <c r="X37" s="230"/>
    </row>
    <row r="38" spans="1:24" s="229" customFormat="1" ht="17.399999999999999" x14ac:dyDescent="0.35">
      <c r="L38" s="248"/>
      <c r="M38" s="252" t="s">
        <v>33</v>
      </c>
      <c r="N38" s="12"/>
      <c r="O38" s="253">
        <f>O37*2.2</f>
        <v>295936.08</v>
      </c>
      <c r="P38" s="14" t="s">
        <v>138</v>
      </c>
      <c r="Q38" s="14"/>
      <c r="R38" s="433">
        <f>P29/R37</f>
        <v>1.1460310612597067</v>
      </c>
      <c r="S38"/>
      <c r="T38" s="255"/>
    </row>
    <row r="39" spans="1:24" s="229" customFormat="1" ht="17.399999999999999" x14ac:dyDescent="0.35">
      <c r="G39"/>
      <c r="H39" s="258"/>
      <c r="I39" s="258"/>
      <c r="J39" s="258"/>
      <c r="L39" s="248"/>
      <c r="M39" s="14"/>
      <c r="N39" s="12"/>
      <c r="O39" s="12">
        <f>O38/P27</f>
        <v>83550.559006211188</v>
      </c>
      <c r="P39" s="44" t="s">
        <v>24</v>
      </c>
      <c r="Q39" s="14"/>
      <c r="R39" s="14"/>
      <c r="S39"/>
      <c r="T39" s="237"/>
      <c r="U39" s="58" t="s">
        <v>154</v>
      </c>
      <c r="V39" s="290">
        <v>43650</v>
      </c>
    </row>
    <row r="40" spans="1:24" s="229" customFormat="1" ht="17.399999999999999" x14ac:dyDescent="0.35">
      <c r="G40"/>
      <c r="L40" s="248"/>
      <c r="M40" s="13"/>
      <c r="N40" s="14"/>
      <c r="O40" s="17">
        <f>O38/O37</f>
        <v>2.2000000000000002</v>
      </c>
      <c r="P40" s="15"/>
      <c r="Q40"/>
      <c r="R40"/>
      <c r="S40"/>
      <c r="T40" s="237"/>
      <c r="U40" s="58" t="s">
        <v>156</v>
      </c>
      <c r="V40" s="291" t="s">
        <v>155</v>
      </c>
      <c r="W40" s="58">
        <v>2.4</v>
      </c>
    </row>
    <row r="41" spans="1:24" s="229" customFormat="1" ht="17.399999999999999" x14ac:dyDescent="0.35">
      <c r="G41" s="23"/>
      <c r="L41" s="12"/>
      <c r="T41" s="237"/>
      <c r="U41" s="58" t="s">
        <v>157</v>
      </c>
      <c r="V41" s="292">
        <v>395.37</v>
      </c>
    </row>
    <row r="42" spans="1:24" s="229" customFormat="1" ht="17.399999999999999" x14ac:dyDescent="0.35">
      <c r="B42"/>
      <c r="C42" s="227"/>
      <c r="D42" s="22"/>
      <c r="E42" s="22"/>
      <c r="F42" s="21"/>
      <c r="G42" s="23"/>
      <c r="L42" s="12"/>
      <c r="T42" s="237"/>
      <c r="U42" s="58" t="s">
        <v>152</v>
      </c>
      <c r="V42" s="58">
        <v>474.45</v>
      </c>
    </row>
    <row r="43" spans="1:24" ht="14.4" customHeight="1" x14ac:dyDescent="0.3">
      <c r="L43" s="12"/>
      <c r="U43" s="58"/>
      <c r="V43" s="58"/>
    </row>
    <row r="44" spans="1:24" x14ac:dyDescent="0.3">
      <c r="L44" s="248"/>
    </row>
    <row r="45" spans="1:24" x14ac:dyDescent="0.3">
      <c r="L45" s="248"/>
      <c r="T45" s="268"/>
    </row>
    <row r="46" spans="1:24" x14ac:dyDescent="0.3">
      <c r="L46" s="248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3"/>
      <c r="P51" s="53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2"/>
    </row>
    <row r="64" spans="15:20" x14ac:dyDescent="0.3">
      <c r="O64" s="42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0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46048</v>
      </c>
    </row>
    <row r="6" spans="2:31" ht="16.2" thickBot="1" x14ac:dyDescent="0.35">
      <c r="B6" s="139" t="s">
        <v>2</v>
      </c>
      <c r="C6" s="138" t="str">
        <f>'2229'!C10</f>
        <v>FRANCISCO MORENO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8" t="s">
        <v>98</v>
      </c>
      <c r="I7" s="439"/>
      <c r="J7" s="439"/>
      <c r="K7" s="440"/>
      <c r="N7" s="74"/>
      <c r="O7" s="4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11848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-30272.281700120773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'2229'!H25</f>
        <v>301936</v>
      </c>
      <c r="E11" s="131">
        <f>D11*0.19</f>
        <v>57367.840000000004</v>
      </c>
      <c r="F11" s="130">
        <f>E11+D11</f>
        <v>359303.84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75717.718299879227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72910.490787439616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57717.718299879227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229025.50921256037</v>
      </c>
      <c r="E13" s="220">
        <f>(D11/D12)-1</f>
        <v>3.1411873207691379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48717.718299879227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9717.7182998792268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120302.30979927536</v>
      </c>
      <c r="F15" s="215">
        <f>E15-D12</f>
        <v>47391.819011835745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9717.7182998792268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49717.718299879227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'2229'!O33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'2229'!O32</f>
        <v>28200</v>
      </c>
      <c r="E19" s="122">
        <f>D19*0.19</f>
        <v>5358</v>
      </c>
      <c r="F19" s="119">
        <f>SUM(D19:E19)</f>
        <v>33558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'2229'!O31</f>
        <v>14876.4</v>
      </c>
      <c r="E20" s="120">
        <f>D20*0.19</f>
        <v>2826.5160000000001</v>
      </c>
      <c r="F20" s="119">
        <f>SUM(D20:E20)</f>
        <v>17702.916000000001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43076.4</v>
      </c>
      <c r="E21" s="115">
        <f>SUM(E18:E20)</f>
        <v>8184.5159999999996</v>
      </c>
      <c r="F21" s="114">
        <f>SUM(F18:F20)</f>
        <v>51260.915999999997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49183.324000000008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301936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43076.4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229025.50921256037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229025.50921256037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11848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FRANCISCO MORENO</v>
      </c>
      <c r="D10" s="349"/>
      <c r="E10" s="349"/>
      <c r="F10" s="350" t="s">
        <v>166</v>
      </c>
      <c r="G10" s="351">
        <f>'2229'!G10</f>
        <v>46048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/>
      </c>
      <c r="D11" s="344"/>
      <c r="E11" s="344"/>
      <c r="F11" s="344" t="s">
        <v>167</v>
      </c>
      <c r="G11" s="339">
        <f>WORKDAY(G10,5)</f>
        <v>46055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NO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569 9004 4098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4" t="s">
        <v>174</v>
      </c>
      <c r="G17" s="444"/>
      <c r="H17" s="445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6" t="s">
        <v>175</v>
      </c>
      <c r="C20" s="447"/>
      <c r="D20" s="447"/>
      <c r="E20" s="447"/>
      <c r="F20" s="447"/>
      <c r="G20" s="447"/>
      <c r="H20" s="448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CON RESPALDO Y FRENTE 90°</v>
      </c>
      <c r="D22" s="320">
        <f>'2229'!D21*1000</f>
        <v>3000</v>
      </c>
      <c r="E22" s="320">
        <f>'2229'!E21*1000</f>
        <v>600</v>
      </c>
      <c r="F22" s="321" t="str">
        <f>'2229'!F21</f>
        <v>PUMIC GREY OPACO</v>
      </c>
      <c r="G22" s="313">
        <f>'2229'!G21</f>
        <v>157401</v>
      </c>
      <c r="H22" s="322">
        <f>G22*B22</f>
        <v>157401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157401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29906.19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187307.19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181</v>
      </c>
      <c r="C2" s="449"/>
      <c r="D2" s="449"/>
      <c r="E2" s="360"/>
      <c r="G2" s="449" t="s">
        <v>182</v>
      </c>
      <c r="H2" s="449"/>
      <c r="I2" s="449"/>
      <c r="P2" s="450" t="s">
        <v>183</v>
      </c>
      <c r="Q2" s="450"/>
      <c r="R2" s="450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50" t="s">
        <v>183</v>
      </c>
      <c r="M8" s="450"/>
      <c r="N8" s="450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5" t="s">
        <v>264</v>
      </c>
      <c r="L3" s="455"/>
      <c r="M3" s="455" t="s">
        <v>265</v>
      </c>
      <c r="N3" s="455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FRANCISCO MORENO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46048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46055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6" t="s">
        <v>264</v>
      </c>
      <c r="B10" s="456"/>
      <c r="C10" s="456"/>
      <c r="D10" s="456"/>
      <c r="E10" s="456"/>
      <c r="F10" s="456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6" t="s">
        <v>265</v>
      </c>
      <c r="B17" s="456"/>
      <c r="C17" s="456"/>
      <c r="D17" s="456"/>
      <c r="E17" s="456"/>
      <c r="F17" s="456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6" t="s">
        <v>271</v>
      </c>
      <c r="B45" s="456"/>
      <c r="C45" s="456"/>
      <c r="D45" s="456"/>
      <c r="E45" s="456"/>
      <c r="F45" s="456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1" t="s">
        <v>95</v>
      </c>
      <c r="C47" s="452"/>
      <c r="D47" s="453"/>
      <c r="E47" s="453"/>
      <c r="F47" s="454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11848</v>
      </c>
      <c r="C2" s="1">
        <f>'NOTA DE VENTA'!$G$10</f>
        <v>46048</v>
      </c>
      <c r="D2" s="1">
        <f>'NOTA DE VENTA'!$G$11</f>
        <v>46055</v>
      </c>
      <c r="E2" t="str">
        <f>'NOTA DE VENTA'!$C$10</f>
        <v>FRANCISCO MORENO</v>
      </c>
      <c r="F2" t="str">
        <f>'NOTA DE VENTA'!$C$22</f>
        <v>CUB CON RESPALDO Y FRENTE 90°</v>
      </c>
      <c r="G2" t="str">
        <f>'NOTA DE VENTA'!$F$22</f>
        <v>PUMIC GREY OPACO</v>
      </c>
      <c r="H2" s="415">
        <f>'NOTA DE VENTA'!$H$25</f>
        <v>157401</v>
      </c>
      <c r="I2" s="415">
        <f>H2*0.19</f>
        <v>29906.19</v>
      </c>
      <c r="J2" s="415">
        <f>I2+H2</f>
        <v>187307.19</v>
      </c>
      <c r="L2" s="60">
        <f>J2-K2</f>
        <v>187307.19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2026-01-26T21:38:07Z</dcterms:modified>
</cp:coreProperties>
</file>