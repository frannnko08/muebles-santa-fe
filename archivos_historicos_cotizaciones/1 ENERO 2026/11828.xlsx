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970BC8BB-0CFD-4BE2-8D86-F3DCE0CA31A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E27" i="6"/>
  <c r="F27" i="6"/>
  <c r="C27" i="6"/>
  <c r="F49" i="6"/>
  <c r="E49" i="6"/>
  <c r="C49" i="6"/>
  <c r="O38" i="1"/>
  <c r="K18" i="1" l="1"/>
  <c r="K19" i="1" s="1"/>
  <c r="K27" i="1"/>
  <c r="L21" i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K21" i="6"/>
  <c r="J21" i="6"/>
  <c r="K14" i="6"/>
  <c r="J14" i="6"/>
  <c r="F22" i="4"/>
  <c r="G2" i="7" s="1"/>
  <c r="E22" i="4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<sst xmlns="http://schemas.openxmlformats.org/spreadsheetml/2006/main" count="487" uniqueCount="295">
  <si>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</si>
  <si>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</si>
  <si>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</si>
  <si>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</si>
  <si>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</si>
  <si>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</si>
  <si>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</si>
  <si>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</si>
  <si>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</si>
  <si>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</si>
  <si>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</si>
  <si>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</si>
  <si>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</si>
  <si>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</si>
  <si>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</si>
  <si>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</si>
  <si>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</si>
  <si>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</si>
  <si>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</si>
  <si>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</si>
  <si>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</si>
  <si>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</si>
  <si>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</si>
  <si>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</si>
  <si>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</si>
  <si>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</si>
  <si>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</si>
  <si>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</si>
  <si>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</si>
  <si>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</si>
  <si>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</si>
  <si>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</si>
  <si>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</si>
  <si>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</si>
  <si>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</si>
  <si>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</si>
  <si>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</si>
  <si>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</si>
  <si>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</si>
  <si>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</si>
  <si>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</si>
  <si>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</si>
  <si>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</si>
  <si>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</si>
  <si>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</si>
  <si>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</si>
  <si>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</si>
  <si>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</si>
  <si>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</si>
  <si>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</si>
  <si>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</si>
  <si>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</si>
  <si>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</si>
  <si>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</si>
  <si>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</si>
  <si>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</si>
  <si>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</si>
  <si>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</si>
  <si>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</si>
  <si>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</si>
  <si>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</si>
  <si>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</si>
  <si>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</si>
  <si>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</si>
  <si>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</si>
  <si>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</si>
  <si>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</si>
  <si>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</si>
  <si>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</si>
  <si>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</si>
  <si>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</si>
  <si>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</si>
  <si>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</si>
  <si>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</si>
  <si>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</si>
  <si>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</si>
  <si>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</si>
  <si>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</si>
  <si>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</si>
  <si>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</si>
  <si>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</si>
  <si>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</si>
  <si>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</si>
  <si>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</si>
  <si>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</si>
  <si>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</si>
  <si>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</si>
  <si>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</si>
  <si>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</si>
  <si>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</si>
  <si>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</si>
  <si>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</si>
  <si>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</si>
  <si>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</si>
  <si>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</si>
  <si>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</si>
  <si>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</si>
  <si>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</si>
  <si>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</si>
  <si>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</si>
  <si>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</si>
  <si>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</si>
  <si>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</si>
  <si>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</si>
  <si>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</si>
  <si>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</si>
  <si>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</si>
  <si>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</si>
  <si>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</si>
  <si>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</si>
  <si>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</si>
  <si>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</si>
  <si>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</si>
  <si>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</si>
  <si>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</si>
  <si>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</si>
  <si>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</si>
  <si>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</si>
  <si>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</si>
  <si>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</si>
  <si>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</si>
  <si>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</si>
  <si>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</si>
  <si>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</si>
  <si>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</si>
  <si>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</si>
  <si>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</si>
  <si>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</si>
  <si>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</si>
  <si>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</si>
  <si>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</si>
  <si>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</si>
  <si>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</si>
  <si>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</si>
  <si>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</si>
  <si>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</si>
  <si>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</si>
  <si>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</si>
  <si>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</si>
  <si>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</si>
  <si>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</si>
  <si>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</si>
  <si>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</si>
  <si>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</si>
  <si>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</si>
  <si>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</si>
  <si>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</si>
  <si>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</si>
  <si>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</si>
  <si>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</si>
  <si>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</si>
  <si>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</si>
  <si>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</si>
  <si>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</si>
  <si>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</si>
  <si>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</si>
  <si>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</si>
  <si>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</si>
  <si>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</si>
  <si>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</si>
  <si>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</si>
  <si>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</si>
  <si>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</si>
  <si>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</si>
  <si>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</si>
  <si>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</si>
  <si>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</si>
  <si>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</si>
  <si>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</si>
  <si>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</si>
  <si>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</si>
  <si>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</si>
  <si>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</si>
  <si>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</si>
  <si>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</si>
  <si>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</si>
  <si>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</si>
  <si>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</si>
  <si>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</si>
  <si>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</si>
  <si>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</si>
  <si>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</si>
  <si>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</si>
  <si>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</si>
  <si>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</si>
  <si>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</si>
  <si>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</si>
  <si>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</si>
  <si>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</si>
  <si>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</si>
  <si>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</si>
  <si>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</si>
  <si>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</si>
  <si>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</si>
  <si>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</si>
  <si>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</si>
  <si>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</si>
  <si>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</si>
  <si>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</si>
  <si>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</si>
  <si>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</si>
  <si>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</si>
  <si>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</si>
  <si>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</si>
  <si>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</si>
  <si>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</si>
  <si>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</si>
  <si>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</si>
  <si>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</si>
  <si>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</si>
  <si>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</si>
  <si>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</si>
  <si>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</si>
  <si>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</si>
  <si>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</si>
  <si>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</si>
  <si>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</si>
  <si>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</si>
  <si>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</si>
  <si>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</si>
  <si>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</si>
  <si>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</si>
  <si>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</si>
  <si>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</si>
  <si>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</si>
  <si>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</si>
  <si>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</si>
  <si>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</si>
  <si>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</si>
  <si>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</si>
  <si>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</si>
  <si>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</si>
  <si>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</si>
  <si>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</si>
  <si>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</si>
  <si>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</si>
  <si>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</si>
  <si>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</si>
  <si>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</si>
  <si>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</si>
  <si>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</si>
  <si>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</si>
  <si>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</si>
  <si>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</si>
  <si>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</si>
  <si>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</si>
  <si>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</si>
  <si>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</si>
  <si>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</si>
  <si>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</si>
  <si>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</si>
  <si>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</si>
  <si>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</si>
  <si>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</si>
  <si>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</si>
  <si>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</si>
  <si>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</si>
  <si>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</si>
  <si>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</si>
  <si>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</si>
  <si>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</si>
  <si>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</si>
  <si>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</si>
  <si>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</si>
  <si>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</si>
  <si>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</si>
  <si>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</si>
  <si>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</si>
  <si>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</si>
  <si>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</si>
  <si>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</si>
  <si>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</si>
  <si>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</si>
  <si>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</si>
  <si>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</si>
  <si>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</si>
  <si>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</si>
  <si>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</si>
  <si>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</si>
  <si>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</si>
  <si>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</si>
  <si>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</si>
  <si>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</si>
  <si>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</si>
  <si>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</si>
  <si>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</si>
  <si>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</si>
  <si>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</si>
  <si>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SI</t>
  </si>
  <si>
    <t>5 DIAS HABILES</t>
  </si>
  <si>
    <t>CUB CON RESPALDO FTE 90°</t>
  </si>
  <si>
    <t>HAYA 1750 MT</t>
  </si>
  <si>
    <t>NIBALDO</t>
  </si>
  <si>
    <t>+569 8958 4423</t>
  </si>
  <si>
    <t>N° 11828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</si>
</sst>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1" fontId="6" fillId="0" borderId="64" xfId="0" applyNumberFormat="1" applyFont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180258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zoomScale="93" zoomScaleNormal="93" workbookViewId="0">
      <selection activeCell="J7" sqref="J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1" t="s">
        <v>292</v>
      </c>
      <c r="D10" s="243"/>
      <c r="E10" s="243"/>
      <c r="F10" s="417" t="s">
        <v>277</v>
      </c>
      <c r="G10" s="275">
        <v>46035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289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288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33" t="s">
        <v>293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K17">
        <v>74</v>
      </c>
      <c r="T17" s="6"/>
      <c r="U17" s="6"/>
    </row>
    <row r="18" spans="1:25" ht="15.75" customHeight="1" thickBot="1" x14ac:dyDescent="0.35">
      <c r="J18" s="47"/>
      <c r="K18" s="5">
        <f>K17/8</f>
        <v>9.25</v>
      </c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>
        <f>K17/K18</f>
        <v>8</v>
      </c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74617.307692307702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8">
        <v>1</v>
      </c>
      <c r="C21" s="432" t="s">
        <v>290</v>
      </c>
      <c r="D21" s="429">
        <v>2</v>
      </c>
      <c r="E21" s="429">
        <v>0.6</v>
      </c>
      <c r="F21" s="428" t="s">
        <v>291</v>
      </c>
      <c r="G21" s="430">
        <f>Q21</f>
        <v>93122.400000000009</v>
      </c>
      <c r="H21" s="430">
        <f>G21*B21</f>
        <v>93122.400000000009</v>
      </c>
      <c r="I21" s="306"/>
      <c r="J21" s="264"/>
      <c r="K21" s="47">
        <v>15</v>
      </c>
      <c r="L21" s="47">
        <f>B21</f>
        <v>1</v>
      </c>
      <c r="M21" s="39">
        <f>D21+M$19</f>
        <v>2.08</v>
      </c>
      <c r="N21" s="39">
        <f>E21+$N$19</f>
        <v>0.6</v>
      </c>
      <c r="O21" s="260">
        <f t="shared" ref="O21" si="0">M21*N21</f>
        <v>1.248</v>
      </c>
      <c r="P21" s="258">
        <f t="shared" ref="P21" si="1">O21*L21</f>
        <v>1.248</v>
      </c>
      <c r="Q21" s="251">
        <f t="shared" ref="Q21" si="2">Q$20*O21</f>
        <v>93122.400000000009</v>
      </c>
      <c r="R21" s="305">
        <f t="shared" ref="R21" si="3">Q21+R$20</f>
        <v>96122.400000000009</v>
      </c>
      <c r="S21" s="290">
        <f>M21*L21</f>
        <v>2.08</v>
      </c>
      <c r="T21" s="46">
        <f>N21*2*L21*2</f>
        <v>2.4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93122.400000000009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SUM(T21:T22)</f>
        <v>2.4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17693.256000000001</v>
      </c>
      <c r="I26" s="308"/>
      <c r="J26" s="264"/>
      <c r="K26" s="47">
        <v>463</v>
      </c>
      <c r="L26" s="47"/>
      <c r="M26" s="39">
        <f>SUM(M21:M25)</f>
        <v>2.08</v>
      </c>
      <c r="N26" s="12"/>
      <c r="O26" s="12"/>
      <c r="P26" s="252">
        <f>SUM(P21:P22)</f>
        <v>1.248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110815.65600000002</v>
      </c>
      <c r="I27" s="308"/>
      <c r="J27" s="264"/>
      <c r="K27" s="47">
        <f>K26*5</f>
        <v>2315</v>
      </c>
      <c r="L27" s="47"/>
      <c r="M27" s="39"/>
      <c r="N27" s="12"/>
      <c r="O27" s="12"/>
      <c r="P27" s="252">
        <f>P26</f>
        <v>1.248</v>
      </c>
      <c r="Q27" s="14"/>
      <c r="R27" s="12"/>
      <c r="S27" s="239">
        <f>SUM(S21:S26)</f>
        <v>2.08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0.24960000000000002</v>
      </c>
      <c r="Q28" s="39" t="s">
        <v>129</v>
      </c>
      <c r="R28" s="42"/>
      <c r="S28" s="240">
        <f>S27+T25</f>
        <v>4.4800000000000004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1.4976</v>
      </c>
      <c r="Q29" s="14"/>
      <c r="R29" s="14"/>
      <c r="S29" s="238">
        <f>S28*20%</f>
        <v>0.89600000000000013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5.3760000000000003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1.4976</v>
      </c>
      <c r="N31" s="12">
        <v>2500</v>
      </c>
      <c r="O31" s="12">
        <f t="shared" ref="O31:O36" si="4">M31*N31</f>
        <v>3744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0.4</v>
      </c>
      <c r="N32" s="12">
        <v>23500</v>
      </c>
      <c r="O32" s="12">
        <f t="shared" si="4"/>
        <v>9400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29200</v>
      </c>
      <c r="O34" s="12">
        <f t="shared" si="4"/>
        <v>29200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2</v>
      </c>
      <c r="N36" s="12">
        <v>1000</v>
      </c>
      <c r="O36" s="12">
        <f t="shared" si="4"/>
        <v>2000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44344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O37*2.1</f>
        <v>93122.400000000009</v>
      </c>
      <c r="P38" s="14" t="s">
        <v>138</v>
      </c>
      <c r="Q38" s="14"/>
      <c r="R38" s="40">
        <f>P29/R37</f>
        <v>0.40379637618636754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74617.307692307702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46035</v>
      </c>
    </row>
    <row r="6" spans="2:31" ht="16.2" thickBot="1" x14ac:dyDescent="0.35">
      <c r="B6" s="140" t="s">
        <v>2</v>
      </c>
      <c r="C6" s="139" t="str">
        <f>'2229'!C10</f>
        <v>NIBALDO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-3701.4250334541089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93122.400000000009</v>
      </c>
      <c r="E11" s="132">
        <f>D11*0.19</f>
        <v>17693.256000000001</v>
      </c>
      <c r="F11" s="131">
        <f>E11+D11</f>
        <v>110815.65600000002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102288.57496654589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42978.090787439614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84288.574966545886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50144.309212560394</v>
      </c>
      <c r="E13" s="221">
        <f>(D11/D12)-1</f>
        <v>1.1667411998490893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75288.574966545886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36288.574966545893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70913.849799275355</v>
      </c>
      <c r="F15" s="216">
        <f>E15-D12</f>
        <v>27935.75901183574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36288.574966545893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76288.574966545886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3744</v>
      </c>
      <c r="E20" s="121">
        <f>D20*0.19</f>
        <v>711.36</v>
      </c>
      <c r="F20" s="120">
        <f>SUM(D20:E20)</f>
        <v>4455.3599999999997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13144</v>
      </c>
      <c r="E21" s="116">
        <f>SUM(E18:E20)</f>
        <v>2497.36</v>
      </c>
      <c r="F21" s="115">
        <f>SUM(F18:F20)</f>
        <v>15641.36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15195.896000000001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93122.400000000009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13144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50144.309212560394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50144.309212560394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NIBALDO</v>
      </c>
      <c r="D10" s="350"/>
      <c r="E10" s="350"/>
      <c r="F10" s="351" t="s">
        <v>167</v>
      </c>
      <c r="G10" s="352">
        <f>'2229'!G10</f>
        <v>46035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46042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+569 8958 4423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2000</v>
      </c>
      <c r="E22" s="321">
        <f>'2229'!E21*1000</f>
        <v>600</v>
      </c>
      <c r="F22" s="322" t="str">
        <f>'2229'!F21</f>
        <v>HAYA 1750 MT</v>
      </c>
      <c r="G22" s="314">
        <f>'2229'!G21</f>
        <v>93122.400000000009</v>
      </c>
      <c r="H22" s="323">
        <f>G22*B22</f>
        <v>93122.400000000009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93122.400000000009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17693.256000000001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110815.65600000002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tabSelected="1"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NIBALDO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46035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46042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HAYA 1750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57">
        <v>2020</v>
      </c>
      <c r="E49" s="457">
        <f>'NOTA DE VENTA'!E22</f>
        <v>600</v>
      </c>
      <c r="F49" s="457" t="str">
        <f>'NOTA DE VENTA'!F22</f>
        <v>HAYA 1750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11828</v>
      </c>
      <c r="C2" s="1">
        <f>'NOTA DE VENTA'!$G$10</f>
        <v>46035</v>
      </c>
      <c r="D2" s="1">
        <f>'NOTA DE VENTA'!$G$11</f>
        <v>46042</v>
      </c>
      <c r="E2" t="str">
        <f>'NOTA DE VENTA'!$C$10</f>
        <v>NIBALDO</v>
      </c>
      <c r="F2" t="str">
        <f>'NOTA DE VENTA'!$C$22</f>
        <v>CUB C/R R8</v>
      </c>
      <c r="G2" t="str">
        <f>'NOTA DE VENTA'!$F$22</f>
        <v>HAYA 1750 MT</v>
      </c>
      <c r="H2" s="415">
        <f>'NOTA DE VENTA'!$H$25</f>
        <v>93122.400000000009</v>
      </c>
      <c r="I2" s="415">
        <f>H2*0.19</f>
        <v>17693.256000000001</v>
      </c>
      <c r="J2" s="415">
        <f>I2+H2</f>
        <v>110815.65600000002</v>
      </c>
      <c r="L2" s="61">
        <f>J2-K2</f>
        <v>110815.65600000002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2026-01-13T18:05:57Z</cp:lastPrinted>
  <dcterms:created xsi:type="dcterms:W3CDTF">2013-03-18T13:35:42Z</dcterms:created>
  <dcterms:modified xsi:type="dcterms:W3CDTF">2026-01-13T18:07:36Z</dcterms:modified>
</cp:coreProperties>
</file>