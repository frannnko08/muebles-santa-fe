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37920848-8155-406C-8F3B-CF62BC1754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4" i="1" l="1"/>
  <c r="S21" i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34" i="1"/>
  <c r="O33" i="1"/>
  <c r="F18" i="3" l="1"/>
  <c r="O29" i="1" l="1"/>
  <c r="O35" i="1" s="1"/>
  <c r="O36" i="1" s="1"/>
  <c r="D21" i="3" l="1"/>
  <c r="E21" i="3" s="1"/>
  <c r="E22" i="3" s="1"/>
  <c r="O37" i="1" l="1"/>
  <c r="Q20" i="1" s="1"/>
  <c r="D22" i="3"/>
  <c r="M44" i="3" s="1"/>
  <c r="D12" i="3" s="1"/>
  <c r="F21" i="3"/>
  <c r="F22" i="3" s="1"/>
  <c r="O38" i="1" l="1"/>
  <c r="E15" i="3"/>
  <c r="Q21" i="1" l="1"/>
  <c r="F15" i="3"/>
  <c r="R21" i="1" l="1"/>
  <c r="H21" i="1" l="1"/>
  <c r="H23" i="1" s="1"/>
  <c r="H24" i="1" s="1"/>
  <c r="G22" i="4" l="1"/>
  <c r="H22" i="4" s="1"/>
  <c r="H25" i="4" s="1"/>
  <c r="H25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1" i="3" s="1"/>
  <c r="X13" i="3"/>
  <c r="X12" i="3"/>
  <c r="M43" i="3"/>
  <c r="M47" i="3" s="1"/>
  <c r="M50" i="3" s="1"/>
  <c r="F11" i="3" l="1"/>
</calcChain>
</file>

<file path=xl/sharedStrings.xml><?xml version="1.0" encoding="utf-8"?>
<sst xmlns="http://schemas.openxmlformats.org/spreadsheetml/2006/main" count="488" uniqueCount="295">
  <si>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</si>
  <si>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</si>
  <si>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</si>
  <si>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</si>
  <si>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</si>
  <si>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</si>
  <si>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</si>
  <si>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</si>
  <si>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</si>
  <si>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</si>
  <si>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</si>
  <si>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</si>
  <si>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</si>
  <si>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</si>
  <si>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</si>
  <si>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</si>
  <si>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</si>
  <si>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</si>
  <si>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</si>
  <si>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</si>
  <si>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</si>
  <si>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</si>
  <si>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</si>
  <si>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</si>
  <si>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</si>
  <si>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</si>
  <si>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</si>
  <si>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</si>
  <si>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</si>
  <si>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</si>
  <si>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</si>
  <si>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</si>
  <si>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</si>
  <si>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</si>
  <si>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</si>
  <si>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</si>
  <si>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</si>
  <si>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</si>
  <si>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</si>
  <si>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</si>
  <si>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</si>
  <si>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</si>
  <si>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</si>
  <si>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</si>
  <si>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</si>
  <si>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</si>
  <si>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</si>
  <si>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</si>
  <si>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</si>
  <si>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</si>
  <si>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</si>
  <si>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</si>
  <si>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</si>
  <si>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</si>
  <si>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</si>
  <si>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</si>
  <si>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</si>
  <si>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</si>
  <si>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</si>
  <si>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</si>
  <si>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</si>
  <si>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</si>
  <si>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</si>
  <si>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</si>
  <si>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</si>
  <si>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</si>
  <si>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</si>
  <si>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</si>
  <si>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</si>
  <si>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</si>
  <si>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</si>
  <si>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</si>
  <si>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</si>
  <si>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</si>
  <si>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</si>
  <si>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</si>
  <si>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</si>
  <si>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</si>
  <si>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</si>
  <si>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</si>
  <si>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</si>
  <si>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</si>
  <si>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</si>
  <si>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</si>
  <si>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</si>
  <si>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</si>
  <si>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</si>
  <si>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</si>
  <si>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</si>
  <si>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</si>
  <si>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</si>
  <si>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</si>
  <si>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</si>
  <si>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</si>
  <si>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</si>
  <si>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</si>
  <si>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</si>
  <si>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</si>
  <si>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</si>
  <si>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</si>
  <si>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</si>
  <si>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</si>
  <si>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</si>
  <si>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</si>
  <si>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</si>
  <si>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</si>
  <si>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</si>
  <si>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</si>
  <si>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</si>
  <si>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</si>
  <si>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</si>
  <si>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</si>
  <si>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</si>
  <si>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</si>
  <si>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</si>
  <si>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</si>
  <si>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</si>
  <si>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</si>
  <si>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</si>
  <si>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</si>
  <si>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</si>
  <si>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</si>
  <si>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</si>
  <si>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</si>
  <si>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</si>
  <si>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</si>
  <si>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</si>
  <si>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</si>
  <si>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</si>
  <si>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</si>
  <si>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</si>
  <si>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</si>
  <si>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</si>
  <si>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</si>
  <si>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</si>
  <si>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</si>
  <si>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</si>
  <si>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</si>
  <si>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</si>
  <si>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</si>
  <si>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</si>
  <si>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</si>
  <si>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</si>
  <si>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</si>
  <si>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</si>
  <si>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</si>
  <si>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</si>
  <si>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</si>
  <si>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</si>
  <si>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</si>
  <si>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</si>
  <si>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</si>
  <si>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</si>
  <si>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</si>
  <si>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</si>
  <si>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</si>
  <si>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</si>
  <si>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</si>
  <si>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</si>
  <si>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</si>
  <si>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</si>
  <si>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</si>
  <si>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</si>
  <si>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</si>
  <si>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</si>
  <si>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</si>
  <si>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</si>
  <si>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</si>
  <si>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</si>
  <si>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</si>
  <si>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</si>
  <si>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</si>
  <si>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</si>
  <si>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</si>
  <si>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</si>
  <si>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</si>
  <si>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</si>
  <si>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</si>
  <si>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</si>
  <si>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</si>
  <si>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</si>
  <si>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</si>
  <si>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</si>
  <si>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</si>
  <si>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</si>
  <si>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</si>
  <si>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</si>
  <si>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</si>
  <si>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</si>
  <si>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</si>
  <si>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</si>
  <si>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</si>
  <si>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</si>
  <si>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</si>
  <si>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</si>
  <si>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</si>
  <si>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</si>
  <si>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</si>
  <si>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</si>
  <si>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</si>
  <si>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</si>
  <si>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</si>
  <si>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</si>
  <si>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</si>
  <si>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</si>
  <si>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</si>
  <si>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</si>
  <si>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</si>
  <si>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</si>
  <si>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</si>
  <si>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</si>
  <si>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</si>
  <si>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</si>
  <si>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</si>
  <si>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</si>
  <si>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</si>
  <si>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</si>
  <si>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</si>
  <si>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</si>
  <si>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</si>
  <si>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</si>
  <si>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</si>
  <si>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</si>
  <si>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</si>
  <si>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</si>
  <si>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</si>
  <si>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</si>
  <si>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</si>
  <si>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</si>
  <si>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</si>
  <si>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</si>
  <si>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</si>
  <si>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</si>
  <si>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</si>
  <si>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</si>
  <si>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</si>
  <si>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</si>
  <si>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</si>
  <si>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</si>
  <si>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</si>
  <si>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</si>
  <si>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</si>
  <si>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</si>
  <si>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</si>
  <si>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</si>
  <si>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</si>
  <si>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</si>
  <si>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</si>
  <si>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</si>
  <si>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</si>
  <si>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</si>
  <si>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</si>
  <si>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</si>
  <si>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</si>
  <si>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</si>
  <si>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</si>
  <si>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</si>
  <si>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</si>
  <si>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</si>
  <si>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</si>
  <si>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</si>
  <si>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</si>
  <si>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</si>
  <si>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</si>
  <si>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</si>
  <si>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</si>
  <si>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</si>
  <si>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</si>
  <si>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</si>
  <si>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</si>
  <si>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</si>
  <si>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</si>
  <si>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</si>
  <si>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</si>
  <si>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</si>
  <si>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</si>
  <si>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</si>
  <si>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</si>
  <si>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</si>
  <si>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</si>
  <si>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</si>
  <si>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</si>
  <si>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</si>
  <si>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</si>
  <si>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</si>
  <si>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</si>
  <si>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</si>
  <si>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</si>
  <si>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7 DIAS HABILES</t>
  </si>
  <si>
    <t>DEMOVI</t>
  </si>
  <si>
    <t>NAIROBI</t>
  </si>
  <si>
    <t>+569 8466 2944</t>
  </si>
  <si>
    <t>DOMUS PP-5862 BRILLO</t>
  </si>
  <si>
    <t>N° 11127</t>
  </si>
  <si>
    <t>CUB C/R  DE 10CMS Y FRENTE 90° 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</si>
</sst>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167" fontId="0" fillId="0" borderId="6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COB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2" zoomScale="93" zoomScaleNormal="93" workbookViewId="0">
      <selection activeCell="B22" sqref="B22"/>
    </sheetView>
  </sheetViews>
  <sheetFormatPr baseColWidth="10" defaultRowHeight="14.4" x14ac:dyDescent="0.3"/>
  <cols>
    <col min="1" max="1" width="6" customWidth="1"/>
    <col min="2" max="2" width="10.5546875" customWidth="1"/>
    <col min="3" max="3" width="49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289</v>
      </c>
      <c r="D10" s="243"/>
      <c r="E10" s="243"/>
      <c r="F10" s="418" t="s">
        <v>277</v>
      </c>
      <c r="G10" s="275">
        <v>46518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290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291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>
        <v>0.3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112699.58333333336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</v>
      </c>
      <c r="C21" s="430" t="s">
        <v>294</v>
      </c>
      <c r="D21" s="431">
        <v>1.52</v>
      </c>
      <c r="E21" s="431">
        <v>0.6</v>
      </c>
      <c r="F21" s="430" t="s">
        <v>292</v>
      </c>
      <c r="G21" s="432">
        <v>91747</v>
      </c>
      <c r="H21" s="432">
        <f>G21*B21</f>
        <v>91747</v>
      </c>
      <c r="I21" s="306"/>
      <c r="J21" s="264"/>
      <c r="K21" s="47"/>
      <c r="L21" s="47">
        <f>B21</f>
        <v>1</v>
      </c>
      <c r="M21" s="39">
        <f>D21+M$19</f>
        <v>1.6</v>
      </c>
      <c r="N21" s="39">
        <f>E21+$N$19</f>
        <v>0.89999999999999991</v>
      </c>
      <c r="O21" s="260">
        <f t="shared" ref="O21" si="0">M21*N21</f>
        <v>1.44</v>
      </c>
      <c r="P21" s="258">
        <f t="shared" ref="P21" si="1">O21*L21</f>
        <v>1.44</v>
      </c>
      <c r="Q21" s="251">
        <f t="shared" ref="Q21" si="2">Q$20*O21</f>
        <v>162287.40000000002</v>
      </c>
      <c r="R21" s="305">
        <f t="shared" ref="R21" si="3">Q21+R$20</f>
        <v>165287.40000000002</v>
      </c>
      <c r="S21" s="290">
        <f>M21*L21</f>
        <v>1.6</v>
      </c>
      <c r="T21" s="46">
        <f>N21*2*L21*2</f>
        <v>3.5999999999999996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SUM(H21:H22)</f>
        <v>91747</v>
      </c>
      <c r="I23" s="308"/>
      <c r="J23" s="264"/>
      <c r="K23" s="47">
        <v>2600000</v>
      </c>
      <c r="L23" s="47"/>
      <c r="M23" s="39"/>
      <c r="N23" s="39"/>
      <c r="O23" s="260"/>
      <c r="P23" s="258"/>
      <c r="Q23" s="251"/>
      <c r="R23" s="257"/>
      <c r="S23" s="290"/>
      <c r="T23" s="46">
        <f>SUM(T21:T22)</f>
        <v>3.5999999999999996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17431.93</v>
      </c>
      <c r="I24" s="308"/>
      <c r="J24" s="264"/>
      <c r="K24" s="47"/>
      <c r="L24" s="47"/>
      <c r="M24" s="39">
        <f>SUM(M21:M23)</f>
        <v>1.6</v>
      </c>
      <c r="N24" s="12"/>
      <c r="O24" s="12"/>
      <c r="P24" s="252">
        <f>SUM(P21:P21)</f>
        <v>1.44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109178.93</v>
      </c>
      <c r="I25" s="308"/>
      <c r="J25" s="264"/>
      <c r="K25" s="47"/>
      <c r="L25" s="47"/>
      <c r="M25" s="39"/>
      <c r="N25" s="12"/>
      <c r="O25" s="12"/>
      <c r="P25" s="252">
        <f>P24</f>
        <v>1.44</v>
      </c>
      <c r="Q25" s="14"/>
      <c r="R25" s="12"/>
      <c r="S25" s="239">
        <f>SUM(S21:S24)</f>
        <v>1.6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0.28799999999999998</v>
      </c>
      <c r="Q26" s="39" t="s">
        <v>129</v>
      </c>
      <c r="R26" s="42"/>
      <c r="S26" s="240">
        <f>S25+T23</f>
        <v>5.1999999999999993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1.728</v>
      </c>
      <c r="Q27" s="14"/>
      <c r="R27" s="14"/>
      <c r="S27" s="238">
        <f>S26*20%</f>
        <v>1.0399999999999998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6.2399999999999993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1.728</v>
      </c>
      <c r="N29" s="12">
        <v>4000</v>
      </c>
      <c r="O29" s="12">
        <f t="shared" ref="O29:O34" si="4">M29*N29</f>
        <v>6912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1</v>
      </c>
      <c r="N30" s="12">
        <v>25000</v>
      </c>
      <c r="O30" s="12">
        <f t="shared" si="4"/>
        <v>25000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38655</v>
      </c>
      <c r="O32" s="12">
        <f t="shared" si="4"/>
        <v>38655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1.6</v>
      </c>
      <c r="N34" s="12">
        <v>2000</v>
      </c>
      <c r="O34" s="12">
        <f t="shared" si="4"/>
        <v>3200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73767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O35*2.2</f>
        <v>162287.40000000002</v>
      </c>
      <c r="P36" s="14" t="s">
        <v>138</v>
      </c>
      <c r="Q36" s="14"/>
      <c r="R36" s="40">
        <f>P27/R35</f>
        <v>0.46591889559965488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46000</v>
      </c>
      <c r="L37" s="249"/>
      <c r="M37" s="14"/>
      <c r="N37" s="12"/>
      <c r="O37" s="12">
        <f>O36/P25</f>
        <v>112699.58333333336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38655.462184873948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opLeftCell="A27" workbookViewId="0">
      <selection activeCell="C18" sqref="C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46518</v>
      </c>
    </row>
    <row r="6" spans="2:31" ht="16.2" thickBot="1" x14ac:dyDescent="0.35">
      <c r="B6" s="140" t="s">
        <v>2</v>
      </c>
      <c r="C6" s="139" t="str">
        <f>'2229'!C10</f>
        <v>DEMOVI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11127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12319.133299879226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91747</v>
      </c>
      <c r="E11" s="132">
        <f>D11*0.19</f>
        <v>17431.93</v>
      </c>
      <c r="F11" s="131">
        <f>E11+D11</f>
        <v>109178.93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118309.13329987922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100401.09078743961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100309.13329987922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-8654.0907874396071</v>
      </c>
      <c r="E13" s="221">
        <f>(D11/D12)-1</f>
        <v>-8.6195186920441813E-2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91309.13329987922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52309.133299879228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165661.79979927535</v>
      </c>
      <c r="F15" s="216">
        <f>E15-D12</f>
        <v>65260.709011835745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52309.133299879228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92309.13329987922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85</v>
      </c>
      <c r="D19" s="122">
        <f>'2229'!O32</f>
        <v>38655</v>
      </c>
      <c r="E19" s="123">
        <f>D19*0.19</f>
        <v>7344.45</v>
      </c>
      <c r="F19" s="120">
        <f>SUM(D19:E19)</f>
        <v>45999.45</v>
      </c>
      <c r="H19" s="192"/>
      <c r="I19" s="202"/>
      <c r="J19" s="184"/>
      <c r="K19" s="158"/>
      <c r="L19" s="61"/>
      <c r="Q19" s="16"/>
      <c r="R19" s="21"/>
      <c r="S19" s="22"/>
      <c r="T19" s="22"/>
      <c r="U19" s="5"/>
      <c r="V19" s="434"/>
      <c r="W19" s="434"/>
      <c r="X19" s="106"/>
    </row>
    <row r="20" spans="1:31" x14ac:dyDescent="0.3">
      <c r="C20" s="79" t="s">
        <v>31</v>
      </c>
      <c r="D20" s="122">
        <f>'2229'!O30</f>
        <v>25000</v>
      </c>
      <c r="E20" s="123">
        <f>D20*0.19</f>
        <v>4750</v>
      </c>
      <c r="F20" s="120">
        <f>SUM(D20:E20)</f>
        <v>29750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'2229'!O29</f>
        <v>6912</v>
      </c>
      <c r="E21" s="121">
        <f>D21*0.19</f>
        <v>1313.28</v>
      </c>
      <c r="F21" s="120">
        <f>SUM(D21:E21)</f>
        <v>8225.2800000000007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70567</v>
      </c>
      <c r="E22" s="116">
        <f>SUM(E18:E21)</f>
        <v>13407.730000000001</v>
      </c>
      <c r="F22" s="115">
        <f>SUM(F18:F21)</f>
        <v>83974.73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4024.1999999999989</v>
      </c>
    </row>
    <row r="42" spans="1:16" ht="15" thickBot="1" x14ac:dyDescent="0.35">
      <c r="H42" s="442" t="s">
        <v>60</v>
      </c>
      <c r="I42" s="443"/>
      <c r="J42" s="443"/>
      <c r="K42" s="443"/>
      <c r="L42" s="443"/>
      <c r="M42" s="444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91747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70567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-8654.0907874396071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-8654.0907874396071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11127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DEMOVI</v>
      </c>
      <c r="D10" s="350"/>
      <c r="E10" s="350"/>
      <c r="F10" s="351" t="s">
        <v>167</v>
      </c>
      <c r="G10" s="352">
        <f>'2229'!G10</f>
        <v>46518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46525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NAIROBI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+569 8466 2944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C/R  DE 10CMS Y FRENTE 90° R12</v>
      </c>
      <c r="D22" s="321">
        <f>'2229'!D21*1000</f>
        <v>1520</v>
      </c>
      <c r="E22" s="321">
        <f>'2229'!E21*1000</f>
        <v>600</v>
      </c>
      <c r="F22" s="322" t="str">
        <f>'2229'!F21</f>
        <v>DOMUS PP-5862 BRILLO</v>
      </c>
      <c r="G22" s="314">
        <f>'2229'!G21</f>
        <v>91747</v>
      </c>
      <c r="H22" s="323">
        <f>G22*B22</f>
        <v>91747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91747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17431.93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109178.93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DEMOVI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46518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46525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11127</v>
      </c>
      <c r="C2" s="1">
        <f>'NOTA DE VENTA'!$G$10</f>
        <v>46518</v>
      </c>
      <c r="D2" s="1">
        <f>'NOTA DE VENTA'!$G$11</f>
        <v>46525</v>
      </c>
      <c r="E2" t="str">
        <f>'NOTA DE VENTA'!$C$10</f>
        <v>DEMOVI</v>
      </c>
      <c r="F2" t="str">
        <f>'NOTA DE VENTA'!$C$22</f>
        <v>CUB C/R  DE 10CMS Y FRENTE 90° R12</v>
      </c>
      <c r="G2" t="str">
        <f>'NOTA DE VENTA'!$F$22</f>
        <v>DOMUS PP-5862 BRILLO</v>
      </c>
      <c r="H2" s="416">
        <f>'NOTA DE VENTA'!$H$25</f>
        <v>91747</v>
      </c>
      <c r="I2" s="416">
        <f>H2*0.19</f>
        <v>17431.93</v>
      </c>
      <c r="J2" s="416">
        <f>I2+H2</f>
        <v>109178.93</v>
      </c>
      <c r="L2" s="61">
        <f>J2-K2</f>
        <v>109178.93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2026-05-12T14:20:01Z</dcterms:modified>
</cp:coreProperties>
</file>