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6D10AA2B-490D-4E69-8753-4A8FC99E534C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RESUMEN" sheetId="8" r:id="rId2"/>
    <sheet name="COSTOS" sheetId="3" r:id="rId3"/>
    <sheet name="NOTA DE VENTA" sheetId="4" r:id="rId4"/>
    <sheet name="REGLAS" sheetId="5" r:id="rId5"/>
    <sheet name="PRODUCCION" sheetId="6" r:id="rId6"/>
    <sheet name="SEGUIMIENTO" sheetId="7" r:id="rId7"/>
  </sheets>
  <externalReferences>
    <externalReference r:id="rId8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8" l="1"/>
  <c r="C2" i="8"/>
  <c r="B2" i="8"/>
  <c r="A2" i="8"/>
  <c r="L22" i="1" l="1"/>
  <c r="M22" i="1"/>
  <c r="S22" i="1" s="1"/>
  <c r="N22" i="1"/>
  <c r="O22" i="1"/>
  <c r="P22" i="1" s="1"/>
  <c r="L21" i="1" l="1"/>
  <c r="N5" i="6" l="1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Q22" i="1" s="1"/>
  <c r="D21" i="3"/>
  <c r="M43" i="3" s="1"/>
  <c r="D12" i="3" s="1"/>
  <c r="F20" i="3"/>
  <c r="F21" i="3" s="1"/>
  <c r="R22" i="1" l="1"/>
  <c r="G22" i="1"/>
  <c r="H22" i="1" s="1"/>
  <c r="O40" i="1"/>
  <c r="E15" i="3"/>
  <c r="Q21" i="1" l="1"/>
  <c r="G21" i="1" s="1"/>
  <c r="F15" i="3"/>
  <c r="R21" i="1" l="1"/>
  <c r="H21" i="1" l="1"/>
  <c r="H25" i="1" s="1"/>
  <c r="H26" i="1" l="1"/>
  <c r="H27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<sst xmlns="http://schemas.openxmlformats.org/spreadsheetml/2006/main" count="492" uniqueCount="296">
  <si>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</si>
  <si>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</si>
  <si>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</si>
  <si>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</si>
  <si>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</si>
  <si>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</si>
  <si>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</si>
  <si>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</si>
  <si>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</si>
  <si>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</si>
  <si>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</si>
  <si>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</si>
  <si>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</si>
  <si>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</si>
  <si>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</si>
  <si>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</si>
  <si>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</si>
  <si>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</si>
  <si>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</si>
  <si>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</si>
  <si>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</si>
  <si>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</si>
  <si>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</si>
  <si>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</si>
  <si>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</si>
  <si>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</si>
  <si>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</si>
  <si>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</si>
  <si>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</si>
  <si>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</si>
  <si>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</si>
  <si>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</si>
  <si>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</si>
  <si>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</si>
  <si>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</si>
  <si>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</si>
  <si>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</si>
  <si>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</si>
  <si>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</si>
  <si>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</si>
  <si>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</si>
  <si>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</si>
  <si>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</si>
  <si>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</si>
  <si>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</si>
  <si>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</si>
  <si>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</si>
  <si>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</si>
  <si>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</si>
  <si>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</si>
  <si>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</si>
  <si>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</si>
  <si>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</si>
  <si>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</si>
  <si>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</si>
  <si>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</si>
  <si>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</si>
  <si>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</si>
  <si>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</si>
  <si>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</si>
  <si>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</si>
  <si>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</si>
  <si>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</si>
  <si>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</si>
  <si>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</si>
  <si>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</si>
  <si>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</si>
  <si>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</si>
  <si>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</si>
  <si>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</si>
  <si>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</si>
  <si>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</si>
  <si>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</si>
  <si>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</si>
  <si>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</si>
  <si>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</si>
  <si>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</si>
  <si>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</si>
  <si>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</si>
  <si>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</si>
  <si>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</si>
  <si>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</si>
  <si>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</si>
  <si>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</si>
  <si>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</si>
  <si>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</si>
  <si>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</si>
  <si>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</si>
  <si>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</si>
  <si>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</si>
  <si>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</si>
  <si>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</si>
  <si>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</si>
  <si>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</si>
  <si>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</si>
  <si>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</si>
  <si>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</si>
  <si>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</si>
  <si>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</si>
  <si>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</si>
  <si>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</si>
  <si>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</si>
  <si>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</si>
  <si>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</si>
  <si>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</si>
  <si>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</si>
  <si>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</si>
  <si>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</si>
  <si>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</si>
  <si>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</si>
  <si>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</si>
  <si>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</si>
  <si>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</si>
  <si>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</si>
  <si>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</si>
  <si>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</si>
  <si>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</si>
  <si>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</si>
  <si>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</si>
  <si>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</si>
  <si>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</si>
  <si>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</si>
  <si>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</si>
  <si>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</si>
  <si>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</si>
  <si>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</si>
  <si>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</si>
  <si>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</si>
  <si>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</si>
  <si>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</si>
  <si>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</si>
  <si>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</si>
  <si>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</si>
  <si>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</si>
  <si>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</si>
  <si>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</si>
  <si>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</si>
  <si>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</si>
  <si>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</si>
  <si>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</si>
  <si>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</si>
  <si>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</si>
  <si>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</si>
  <si>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</si>
  <si>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</si>
  <si>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</si>
  <si>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</si>
  <si>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</si>
  <si>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</si>
  <si>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</si>
  <si>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</si>
  <si>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</si>
  <si>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</si>
  <si>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</si>
  <si>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</si>
  <si>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</si>
  <si>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</si>
  <si>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</si>
  <si>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</si>
  <si>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</si>
  <si>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</si>
  <si>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</si>
  <si>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</si>
  <si>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</si>
  <si>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</si>
  <si>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</si>
  <si>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</si>
  <si>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</si>
  <si>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</si>
  <si>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</si>
  <si>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</si>
  <si>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</si>
  <si>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</si>
  <si>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</si>
  <si>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</si>
  <si>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</si>
  <si>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</si>
  <si>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</si>
  <si>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</si>
  <si>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</si>
  <si>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</si>
  <si>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</si>
  <si>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</si>
  <si>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</si>
  <si>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</si>
  <si>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</si>
  <si>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</si>
  <si>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</si>
  <si>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</si>
  <si>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</si>
  <si>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</si>
  <si>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</si>
  <si>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</si>
  <si>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</si>
  <si>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</si>
  <si>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</si>
  <si>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</si>
  <si>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</si>
  <si>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</si>
  <si>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</si>
  <si>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</si>
  <si>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</si>
  <si>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</si>
  <si>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</si>
  <si>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</si>
  <si>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</si>
  <si>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</si>
  <si>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</si>
  <si>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</si>
  <si>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</si>
  <si>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</si>
  <si>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</si>
  <si>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</si>
  <si>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</si>
  <si>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</si>
  <si>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</si>
  <si>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</si>
  <si>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</si>
  <si>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</si>
  <si>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</si>
  <si>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</si>
  <si>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</si>
  <si>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</si>
  <si>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</si>
  <si>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</si>
  <si>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</si>
  <si>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</si>
  <si>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</si>
  <si>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</si>
  <si>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</si>
  <si>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</si>
  <si>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</si>
  <si>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</si>
  <si>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</si>
  <si>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</si>
  <si>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</si>
  <si>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</si>
  <si>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</si>
  <si>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</si>
  <si>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</si>
  <si>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</si>
  <si>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</si>
  <si>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</si>
  <si>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</si>
  <si>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</si>
  <si>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</si>
  <si>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</si>
  <si>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</si>
  <si>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</si>
  <si>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</si>
  <si>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</si>
  <si>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</si>
  <si>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</si>
  <si>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</si>
  <si>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</si>
  <si>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</si>
  <si>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</si>
  <si>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</si>
  <si>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</si>
  <si>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</si>
  <si>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</si>
  <si>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</si>
  <si>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</si>
  <si>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</si>
  <si>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</si>
  <si>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</si>
  <si>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</si>
  <si>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</si>
  <si>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</si>
  <si>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</si>
  <si>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</si>
  <si>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</si>
  <si>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</si>
  <si>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</si>
  <si>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</si>
  <si>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</si>
  <si>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</si>
  <si>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</si>
  <si>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</si>
  <si>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</si>
  <si>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</si>
  <si>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</si>
  <si>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</si>
  <si>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</si>
  <si>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</si>
  <si>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</si>
  <si>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</si>
  <si>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</si>
  <si>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3 A 5 DÍAS HÁBILES</t>
  </si>
  <si>
    <t>CUBIERTA CON RESPALDO Y FRENTE 90°</t>
  </si>
  <si>
    <t>+56 9 2722 3247</t>
  </si>
  <si>
    <t>SHALOM CONSTRUCCIONES</t>
  </si>
  <si>
    <t>GRANITINO NEGRO BR</t>
  </si>
  <si>
    <t>N° 12169A</t>
  </si>
  <si>
    <t>N° COTIZACION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</si>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</sst>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153629</xdr:rowOff>
    </xdr:from>
    <xdr:to>
      <xdr:col>5</xdr:col>
      <xdr:colOff>1736459</xdr:colOff>
      <xdr:row>26</xdr:row>
      <xdr:rowOff>217416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182419"/>
          <a:ext cx="6457992" cy="719271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SOBRE MEDIDA EN EL LARGO.</a:t>
          </a:r>
        </a:p>
        <a:p>
          <a:pPr algn="l"/>
          <a:r>
            <a:rPr lang="es-CL" sz="1200" b="1" u="sng" baseline="0"/>
            <a:t>SUSTRATO MDF 18MM.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opLeftCell="A9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291</v>
      </c>
      <c r="D10" s="243"/>
      <c r="E10" s="243"/>
      <c r="F10" s="417" t="s">
        <v>277</v>
      </c>
      <c r="G10" s="275">
        <v>46168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288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290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/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65193.33333333335</v>
      </c>
      <c r="R20" s="257">
        <v>3000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1" t="s">
        <v>289</v>
      </c>
      <c r="D21" s="432">
        <v>2.4</v>
      </c>
      <c r="E21" s="432">
        <v>0.5</v>
      </c>
      <c r="F21" s="312" t="s">
        <v>292</v>
      </c>
      <c r="G21" s="313">
        <f>Q21</f>
        <v>78232.000000000015</v>
      </c>
      <c r="H21" s="433">
        <f>G21*B21</f>
        <v>78232.000000000015</v>
      </c>
      <c r="I21" s="305"/>
      <c r="J21" s="264"/>
      <c r="K21" s="47"/>
      <c r="L21" s="47">
        <f>B21</f>
        <v>1</v>
      </c>
      <c r="M21" s="39">
        <f>D21+M$19</f>
        <v>2.4</v>
      </c>
      <c r="N21" s="39">
        <f>E21+$N$19</f>
        <v>0.5</v>
      </c>
      <c r="O21" s="260">
        <f t="shared" ref="O21" si="0">M21*N21</f>
        <v>1.2</v>
      </c>
      <c r="P21" s="258">
        <f>O21*L21</f>
        <v>1.2</v>
      </c>
      <c r="Q21" s="251">
        <f t="shared" ref="Q21" si="1">Q$20*O21</f>
        <v>78232.000000000015</v>
      </c>
      <c r="R21" s="304">
        <f t="shared" ref="R21" si="2">Q21+R$20</f>
        <v>81232.000000000015</v>
      </c>
      <c r="S21" s="290">
        <f>M21*L21</f>
        <v>2.4</v>
      </c>
      <c r="T21" s="46">
        <f>N21*2*L21*2</f>
        <v>2</v>
      </c>
      <c r="U21" s="9"/>
      <c r="X21" s="4"/>
    </row>
    <row r="22" spans="1:25" ht="18" thickBot="1" x14ac:dyDescent="0.35">
      <c r="B22" s="434">
        <v>1</v>
      </c>
      <c r="C22" s="435" t="s">
        <v>289</v>
      </c>
      <c r="D22" s="436">
        <v>1.2</v>
      </c>
      <c r="E22" s="436">
        <v>0.5</v>
      </c>
      <c r="F22" s="437" t="s">
        <v>292</v>
      </c>
      <c r="G22" s="438">
        <f>Q22</f>
        <v>39116.000000000007</v>
      </c>
      <c r="H22" s="439">
        <f>G22*B22</f>
        <v>39116.000000000007</v>
      </c>
      <c r="I22" s="305"/>
      <c r="J22" s="264"/>
      <c r="K22" s="47"/>
      <c r="L22" s="47">
        <f>B22</f>
        <v>1</v>
      </c>
      <c r="M22" s="39">
        <f>D22+M$19</f>
        <v>1.2</v>
      </c>
      <c r="N22" s="39">
        <f>E22+$N$19</f>
        <v>0.5</v>
      </c>
      <c r="O22" s="260">
        <f t="shared" ref="O22" si="3">M22*N22</f>
        <v>0.6</v>
      </c>
      <c r="P22" s="258">
        <f>O22*L22</f>
        <v>0.6</v>
      </c>
      <c r="Q22" s="251">
        <f t="shared" ref="Q22" si="4">Q$20*O22</f>
        <v>39116.000000000007</v>
      </c>
      <c r="R22" s="304">
        <f t="shared" ref="R22" si="5">Q22+R$20</f>
        <v>42116.000000000007</v>
      </c>
      <c r="S22" s="290">
        <f>M22*L22</f>
        <v>1.2</v>
      </c>
      <c r="T22" s="46"/>
      <c r="U22" s="9"/>
      <c r="X22" s="4"/>
    </row>
    <row r="23" spans="1:25" ht="17.399999999999999" x14ac:dyDescent="0.3">
      <c r="B23" s="283"/>
      <c r="C23" s="324"/>
      <c r="D23" s="284"/>
      <c r="E23" s="284"/>
      <c r="F23" s="283"/>
      <c r="G23" s="305"/>
      <c r="H23" s="305"/>
      <c r="I23" s="305"/>
      <c r="J23" s="264"/>
      <c r="K23" s="47"/>
      <c r="L23" s="47"/>
      <c r="M23" s="39"/>
      <c r="N23" s="39"/>
      <c r="O23" s="260"/>
      <c r="P23" s="258"/>
      <c r="Q23" s="251"/>
      <c r="R23" s="304"/>
      <c r="S23" s="290"/>
      <c r="T23" s="46"/>
      <c r="U23" s="9"/>
      <c r="X23" s="4"/>
    </row>
    <row r="24" spans="1:25" ht="18" thickBot="1" x14ac:dyDescent="0.35">
      <c r="B24" s="283"/>
      <c r="C24" s="324"/>
      <c r="D24" s="284"/>
      <c r="E24" s="284"/>
      <c r="F24" s="283"/>
      <c r="G24" s="264"/>
      <c r="H24" s="306"/>
      <c r="I24" s="308"/>
      <c r="J24" s="233"/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09" t="s">
        <v>28</v>
      </c>
      <c r="H25" s="310">
        <f>SUM(H21:H24)</f>
        <v>117348.00000000003</v>
      </c>
      <c r="I25" s="307"/>
      <c r="J25" s="264"/>
      <c r="K25" s="47"/>
      <c r="L25" s="47"/>
      <c r="M25" s="39"/>
      <c r="N25" s="39"/>
      <c r="O25" s="260"/>
      <c r="P25" s="258"/>
      <c r="Q25" s="251"/>
      <c r="R25" s="257"/>
      <c r="S25" s="290"/>
      <c r="T25" s="46">
        <f>SUM(T21:T21)</f>
        <v>2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22296.120000000006</v>
      </c>
      <c r="I26" s="307"/>
      <c r="J26" s="264"/>
      <c r="K26" s="47"/>
      <c r="L26" s="47"/>
      <c r="M26" s="39">
        <f>SUM(M21:M25)</f>
        <v>3.5999999999999996</v>
      </c>
      <c r="N26" s="12"/>
      <c r="O26" s="12"/>
      <c r="P26" s="252">
        <f>SUM(P21:P24)</f>
        <v>1.7999999999999998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139644.12000000002</v>
      </c>
      <c r="I27" s="307"/>
      <c r="J27" s="264"/>
      <c r="K27" s="47"/>
      <c r="L27" s="47"/>
      <c r="M27" s="39"/>
      <c r="N27" s="12"/>
      <c r="O27" s="12"/>
      <c r="P27" s="252">
        <f>P26</f>
        <v>1.7999999999999998</v>
      </c>
      <c r="Q27" s="14"/>
      <c r="R27" s="12"/>
      <c r="S27" s="239">
        <f>SUM(S21:S26)</f>
        <v>3.5999999999999996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/>
      <c r="K28" s="47"/>
      <c r="L28" s="47"/>
      <c r="M28" s="14"/>
      <c r="N28" s="12"/>
      <c r="O28" s="12"/>
      <c r="P28" s="39">
        <f>P27*20%</f>
        <v>0.36</v>
      </c>
      <c r="Q28" s="39" t="s">
        <v>129</v>
      </c>
      <c r="R28" s="42"/>
      <c r="S28" s="240">
        <f>S27+T25</f>
        <v>5.6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/>
      <c r="K29" s="47"/>
      <c r="L29" s="47"/>
      <c r="M29" s="14"/>
      <c r="N29" s="12"/>
      <c r="O29" s="12"/>
      <c r="P29" s="46">
        <f>P27+P28</f>
        <v>2.1599999999999997</v>
      </c>
      <c r="Q29" s="14"/>
      <c r="R29" s="14"/>
      <c r="S29" s="238">
        <f>S28*20%</f>
        <v>1.1199999999999999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6.72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2.1599999999999997</v>
      </c>
      <c r="N31" s="12">
        <v>4000</v>
      </c>
      <c r="O31" s="12">
        <f t="shared" ref="O31:O36" si="6">M31*N31</f>
        <v>8639.9999999999982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0.7</v>
      </c>
      <c r="N32" s="12">
        <v>25000</v>
      </c>
      <c r="O32" s="12">
        <f t="shared" si="6"/>
        <v>17500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52500</v>
      </c>
      <c r="O33" s="12">
        <f t="shared" si="6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20000</v>
      </c>
      <c r="O34" s="12">
        <f t="shared" si="6"/>
        <v>20000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6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>
        <v>3.6</v>
      </c>
      <c r="N36" s="12">
        <v>2000</v>
      </c>
      <c r="O36" s="12">
        <f t="shared" si="6"/>
        <v>7200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53340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O37*2.2</f>
        <v>117348.00000000001</v>
      </c>
      <c r="P38" s="14" t="s">
        <v>138</v>
      </c>
      <c r="Q38" s="14"/>
      <c r="R38" s="40">
        <f>P29/R37</f>
        <v>0.5823986194995685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33790</v>
      </c>
      <c r="L39" s="249"/>
      <c r="M39" s="14"/>
      <c r="N39" s="12"/>
      <c r="O39" s="12">
        <f>O38/P27</f>
        <v>65193.33333333335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28394.957983193279</v>
      </c>
      <c r="L40" s="249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D6A55-2783-4E8E-9C01-02E269F0E741}">
  <dimension ref="A1:D2"/>
  <sheetViews>
    <sheetView tabSelected="1" workbookViewId="0">
      <selection activeCell="D3" sqref="D3"/>
    </sheetView>
  </sheetViews>
  <sheetFormatPr baseColWidth="10" defaultRowHeight="14.4" x14ac:dyDescent="0.3"/>
  <cols>
    <col min="1" max="1" width="14.109375" bestFit="1" customWidth="1"/>
    <col min="2" max="2" width="36" customWidth="1"/>
  </cols>
  <sheetData>
    <row r="1" spans="1:4" x14ac:dyDescent="0.3">
      <c r="A1" t="s">
        <v>294</v>
      </c>
      <c r="B1" t="s">
        <v>295</v>
      </c>
      <c r="C1" t="s">
        <v>277</v>
      </c>
      <c r="D1" t="s">
        <v>6</v>
      </c>
    </row>
    <row r="2" spans="1:4" x14ac:dyDescent="0.3">
      <c r="A2" t="str">
        <f>'2229'!D8</f>
        <v>N° 12169A</v>
      </c>
      <c r="B2" t="str">
        <f>'2229'!C10</f>
        <v>SHALOM CONSTRUCCIONES</v>
      </c>
      <c r="C2" s="1">
        <f>'2229'!G10</f>
        <v>46168</v>
      </c>
      <c r="D2" s="61">
        <f>'2229'!H27</f>
        <v>139644.12000000002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46168</v>
      </c>
    </row>
    <row r="6" spans="2:31" ht="16.2" thickBot="1" x14ac:dyDescent="0.35">
      <c r="B6" s="140" t="s">
        <v>2</v>
      </c>
      <c r="C6" s="139" t="str">
        <f>'2229'!C10</f>
        <v>SHALOM CONSTRUCCIONES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12169A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-4165.125033454111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117348.00000000003</v>
      </c>
      <c r="E11" s="132">
        <f>D11*0.19</f>
        <v>22296.120000000006</v>
      </c>
      <c r="F11" s="131">
        <f>E11+D11</f>
        <v>139644.12000000002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101824.87496654589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55974.090787439614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83824.874966545889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61373.909212560415</v>
      </c>
      <c r="E13" s="221">
        <f>(D11/D12)-1</f>
        <v>1.096469962247828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74824.874966545889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35824.874966545889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92357.249799275363</v>
      </c>
      <c r="F15" s="216">
        <f>E15-D12</f>
        <v>36383.159011835749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35824.874966545889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75824.874966545889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8639.9999999999982</v>
      </c>
      <c r="E20" s="121">
        <f>D20*0.19</f>
        <v>1641.5999999999997</v>
      </c>
      <c r="F20" s="120">
        <f>SUM(D20:E20)</f>
        <v>10281.599999999999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26140</v>
      </c>
      <c r="E21" s="116">
        <f>SUM(E18:E20)</f>
        <v>4966.5999999999995</v>
      </c>
      <c r="F21" s="115">
        <f>SUM(F18:F20)</f>
        <v>31106.6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17329.520000000008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117348.00000000003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26140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61373.909212560415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61373.909212560415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12169A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SHALOM CONSTRUCCIONES</v>
      </c>
      <c r="D10" s="349"/>
      <c r="E10" s="349"/>
      <c r="F10" s="350" t="s">
        <v>167</v>
      </c>
      <c r="G10" s="351">
        <f>'2229'!G10</f>
        <v>46168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46175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+56 9 2722 3247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CUBIERTA CON RESPALDO Y FRENTE 90°</v>
      </c>
      <c r="D22" s="320">
        <f>'2229'!D21*1000</f>
        <v>2400</v>
      </c>
      <c r="E22" s="320">
        <f>'2229'!E21*1000</f>
        <v>500</v>
      </c>
      <c r="F22" s="321" t="str">
        <f>'2229'!F21</f>
        <v>GRANITINO NEGRO BR</v>
      </c>
      <c r="G22" s="313">
        <f>'2229'!G21</f>
        <v>78232.000000000015</v>
      </c>
      <c r="H22" s="322">
        <f>G22*B22</f>
        <v>78232.000000000015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78232.000000000015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14864.080000000004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93096.080000000016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0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SHALOM CONSTRUCCIONES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46168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46175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12169A</v>
      </c>
      <c r="C2" s="1">
        <f>'NOTA DE VENTA'!$G$10</f>
        <v>46168</v>
      </c>
      <c r="D2" s="1">
        <f>'NOTA DE VENTA'!$G$11</f>
        <v>46175</v>
      </c>
      <c r="E2" t="str">
        <f>'NOTA DE VENTA'!$C$10</f>
        <v>SHALOM CONSTRUCCIONES</v>
      </c>
      <c r="F2" t="str">
        <f>'NOTA DE VENTA'!$C$22</f>
        <v>CUBIERTA CON RESPALDO Y FRENTE 90°</v>
      </c>
      <c r="G2" t="str">
        <f>'NOTA DE VENTA'!$F$22</f>
        <v>GRANITINO NEGRO BR</v>
      </c>
      <c r="H2" s="415">
        <f>'NOTA DE VENTA'!$H$25</f>
        <v>78232.000000000015</v>
      </c>
      <c r="I2" s="415">
        <f>H2*0.19</f>
        <v>14864.080000000004</v>
      </c>
      <c r="J2" s="415">
        <f>I2+H2</f>
        <v>93096.080000000016</v>
      </c>
      <c r="L2" s="61">
        <f>J2-K2</f>
        <v>93096.080000000016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2229</vt:lpstr>
      <vt:lpstr>RESUMEN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2026-05-26T16:37:47Z</cp:lastPrinted>
  <dcterms:created xsi:type="dcterms:W3CDTF">2013-03-18T13:35:42Z</dcterms:created>
  <dcterms:modified xsi:type="dcterms:W3CDTF">2026-05-28T14:36:15Z</dcterms:modified>
</cp:coreProperties>
</file>