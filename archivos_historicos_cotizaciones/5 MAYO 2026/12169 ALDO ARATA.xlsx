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56A6D025-F185-49F1-8699-FFD1202430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J31" i="1"/>
  <c r="J28" i="1"/>
  <c r="L22" i="1"/>
  <c r="M22" i="1"/>
  <c r="N22" i="1"/>
  <c r="L23" i="1"/>
  <c r="M23" i="1"/>
  <c r="N23" i="1"/>
  <c r="O23" i="1" s="1"/>
  <c r="P23" i="1" s="1"/>
  <c r="L24" i="1"/>
  <c r="M24" i="1"/>
  <c r="N24" i="1"/>
  <c r="O24" i="1" s="1"/>
  <c r="P24" i="1" s="1"/>
  <c r="L21" i="1"/>
  <c r="O22" i="1" l="1"/>
  <c r="P22" i="1" s="1"/>
  <c r="P28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8" i="1" l="1"/>
  <c r="S21" i="1"/>
  <c r="S29" i="1" s="1"/>
  <c r="T21" i="1"/>
  <c r="T27" i="1" s="1"/>
  <c r="O21" i="1"/>
  <c r="P21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Q23" i="1"/>
  <c r="Q24" i="1"/>
  <c r="O42" i="1"/>
  <c r="E15" i="3"/>
  <c r="R22" i="1" l="1"/>
  <c r="H22" i="1"/>
  <c r="H23" i="1"/>
  <c r="R23" i="1"/>
  <c r="H24" i="1"/>
  <c r="R24" i="1"/>
  <c r="Q21" i="1"/>
  <c r="F15" i="3"/>
  <c r="R21" i="1" l="1"/>
  <c r="H21" i="1" l="1"/>
  <c r="H27" i="1" s="1"/>
  <c r="H29" i="1" l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<sst xmlns="http://schemas.openxmlformats.org/spreadsheetml/2006/main" count="492" uniqueCount="293">
  <si>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</si>
  <si>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</si>
  <si>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</si>
  <si>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</si>
  <si>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</si>
  <si>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</si>
  <si>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</si>
  <si>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</si>
  <si>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</si>
  <si>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</si>
  <si>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</si>
  <si>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</si>
  <si>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</si>
  <si>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</si>
  <si>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</si>
  <si>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</si>
  <si>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</si>
  <si>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</si>
  <si>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</si>
  <si>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</si>
  <si>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</si>
  <si>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</si>
  <si>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</si>
  <si>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</si>
  <si>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</si>
  <si>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</si>
  <si>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</si>
  <si>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</si>
  <si>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</si>
  <si>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</si>
  <si>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</si>
  <si>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</si>
  <si>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</si>
  <si>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</si>
  <si>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</si>
  <si>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</si>
  <si>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</si>
  <si>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</si>
  <si>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</si>
  <si>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</si>
  <si>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</si>
  <si>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</si>
  <si>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</si>
  <si>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</si>
  <si>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</si>
  <si>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</si>
  <si>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</si>
  <si>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</si>
  <si>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</si>
  <si>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</si>
  <si>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</si>
  <si>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</si>
  <si>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</si>
  <si>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</si>
  <si>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</si>
  <si>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</si>
  <si>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</si>
  <si>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</si>
  <si>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</si>
  <si>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</si>
  <si>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</si>
  <si>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</si>
  <si>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</si>
  <si>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</si>
  <si>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</si>
  <si>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</si>
  <si>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</si>
  <si>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</si>
  <si>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</si>
  <si>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</si>
  <si>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</si>
  <si>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</si>
  <si>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</si>
  <si>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</si>
  <si>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</si>
  <si>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</si>
  <si>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</si>
  <si>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</si>
  <si>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</si>
  <si>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</si>
  <si>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</si>
  <si>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</si>
  <si>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</si>
  <si>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</si>
  <si>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</si>
  <si>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</si>
  <si>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</si>
  <si>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</si>
  <si>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</si>
  <si>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</si>
  <si>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</si>
  <si>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</si>
  <si>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</si>
  <si>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</si>
  <si>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</si>
  <si>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</si>
  <si>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</si>
  <si>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</si>
  <si>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</si>
  <si>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</si>
  <si>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</si>
  <si>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</si>
  <si>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</si>
  <si>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</si>
  <si>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</si>
  <si>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</si>
  <si>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</si>
  <si>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</si>
  <si>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</si>
  <si>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</si>
  <si>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</si>
  <si>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</si>
  <si>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</si>
  <si>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</si>
  <si>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</si>
  <si>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</si>
  <si>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</si>
  <si>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</si>
  <si>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</si>
  <si>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</si>
  <si>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</si>
  <si>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</si>
  <si>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</si>
  <si>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</si>
  <si>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</si>
  <si>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</si>
  <si>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</si>
  <si>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</si>
  <si>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</si>
  <si>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</si>
  <si>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</si>
  <si>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</si>
  <si>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</si>
  <si>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</si>
  <si>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</si>
  <si>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</si>
  <si>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</si>
  <si>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</si>
  <si>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</si>
  <si>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</si>
  <si>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</si>
  <si>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</si>
  <si>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</si>
  <si>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</si>
  <si>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</si>
  <si>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</si>
  <si>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</si>
  <si>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</si>
  <si>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</si>
  <si>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</si>
  <si>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</si>
  <si>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</si>
  <si>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</si>
  <si>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</si>
  <si>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</si>
  <si>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</si>
  <si>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</si>
  <si>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</si>
  <si>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</si>
  <si>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</si>
  <si>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</si>
  <si>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</si>
  <si>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</si>
  <si>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</si>
  <si>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</si>
  <si>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</si>
  <si>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</si>
  <si>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</si>
  <si>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</si>
  <si>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</si>
  <si>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</si>
  <si>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</si>
  <si>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</si>
  <si>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</si>
  <si>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</si>
  <si>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</si>
  <si>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</si>
  <si>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</si>
  <si>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</si>
  <si>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</si>
  <si>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</si>
  <si>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</si>
  <si>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</si>
  <si>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</si>
  <si>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</si>
  <si>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</si>
  <si>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</si>
  <si>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</si>
  <si>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</si>
  <si>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</si>
  <si>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</si>
  <si>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</si>
  <si>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</si>
  <si>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</si>
  <si>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</si>
  <si>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</si>
  <si>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</si>
  <si>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</si>
  <si>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</si>
  <si>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</si>
  <si>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</si>
  <si>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</si>
  <si>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</si>
  <si>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</si>
  <si>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</si>
  <si>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</si>
  <si>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</si>
  <si>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</si>
  <si>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</si>
  <si>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</si>
  <si>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</si>
  <si>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</si>
  <si>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</si>
  <si>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</si>
  <si>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</si>
  <si>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</si>
  <si>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</si>
  <si>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</si>
  <si>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</si>
  <si>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</si>
  <si>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</si>
  <si>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</si>
  <si>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</si>
  <si>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</si>
  <si>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</si>
  <si>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</si>
  <si>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</si>
  <si>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</si>
  <si>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</si>
  <si>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</si>
  <si>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</si>
  <si>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</si>
  <si>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</si>
  <si>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</si>
  <si>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</si>
  <si>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</si>
  <si>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</si>
  <si>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</si>
  <si>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</si>
  <si>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</si>
  <si>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</si>
  <si>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</si>
  <si>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</si>
  <si>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</si>
  <si>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</si>
  <si>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</si>
  <si>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</si>
  <si>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</si>
  <si>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</si>
  <si>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</si>
  <si>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</si>
  <si>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</si>
  <si>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</si>
  <si>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</si>
  <si>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</si>
  <si>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</si>
  <si>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</si>
  <si>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</si>
  <si>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</si>
  <si>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</si>
  <si>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</si>
  <si>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</si>
  <si>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</si>
  <si>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</si>
  <si>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</si>
  <si>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</si>
  <si>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</si>
  <si>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</si>
  <si>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</si>
  <si>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</si>
  <si>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</si>
  <si>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</si>
  <si>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</si>
  <si>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</si>
  <si>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</si>
  <si>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</si>
  <si>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</si>
  <si>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</si>
  <si>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</si>
  <si>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</si>
  <si>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</si>
  <si>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</si>
  <si>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</si>
  <si>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</si>
  <si>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</si>
  <si>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</si>
  <si>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</si>
  <si>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N° 12169</t>
  </si>
  <si>
    <t>8 DÍAS HÁBILES</t>
  </si>
  <si>
    <t>ALDO ARATA</t>
  </si>
  <si>
    <t>+56 9 7793 9434</t>
  </si>
  <si>
    <t>QUILPUE</t>
  </si>
  <si>
    <t>SAPELLE 10019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</si>
</sst>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153629</xdr:rowOff>
    </xdr:from>
    <xdr:to>
      <xdr:col>5</xdr:col>
      <xdr:colOff>1736459</xdr:colOff>
      <xdr:row>28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</a:t>
          </a:r>
          <a:r>
            <a:rPr lang="es-CL" sz="1200" b="1" baseline="0"/>
            <a:t> MEDIDA</a:t>
          </a:r>
        </a:p>
        <a:p>
          <a:pPr algn="l"/>
          <a:r>
            <a:rPr lang="es-CL" sz="1200" b="1" u="sng" baseline="0"/>
            <a:t>SUSTRATO MDF MELAMIL  18MM.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322313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7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26.109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46168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290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291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82114.90552881753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4">
        <v>3</v>
      </c>
      <c r="C21" s="455" t="s">
        <v>260</v>
      </c>
      <c r="D21" s="456">
        <v>0.59</v>
      </c>
      <c r="E21" s="456">
        <v>0.33200000000000002</v>
      </c>
      <c r="F21" s="454" t="s">
        <v>292</v>
      </c>
      <c r="G21" s="457">
        <v>20448</v>
      </c>
      <c r="H21" s="457">
        <f>G21*B21</f>
        <v>61344</v>
      </c>
      <c r="I21" s="305"/>
      <c r="J21" s="264"/>
      <c r="K21" s="47"/>
      <c r="L21" s="47">
        <f>B21</f>
        <v>3</v>
      </c>
      <c r="M21" s="39">
        <f>D21+M$19</f>
        <v>0.64</v>
      </c>
      <c r="N21" s="39">
        <f>E21+$N$19</f>
        <v>0.33200000000000002</v>
      </c>
      <c r="O21" s="260">
        <f t="shared" ref="O21" si="0">M21*N21</f>
        <v>0.21248</v>
      </c>
      <c r="P21" s="258">
        <f>O21*L21</f>
        <v>0.63744000000000001</v>
      </c>
      <c r="Q21" s="251">
        <f t="shared" ref="Q21" si="1">Q$20*O21</f>
        <v>17447.77512676315</v>
      </c>
      <c r="R21" s="304">
        <f t="shared" ref="R21" si="2">Q21+R$20</f>
        <v>20447.77512676315</v>
      </c>
      <c r="S21" s="290">
        <f>M21*L21</f>
        <v>1.92</v>
      </c>
      <c r="T21" s="46">
        <f>N21*2*L21*2</f>
        <v>3.984</v>
      </c>
      <c r="U21" s="9"/>
      <c r="X21" s="4"/>
    </row>
    <row r="22" spans="2:25" ht="17.399999999999999" x14ac:dyDescent="0.3">
      <c r="B22" s="454">
        <v>1</v>
      </c>
      <c r="C22" s="455" t="s">
        <v>260</v>
      </c>
      <c r="D22" s="456">
        <v>1.5</v>
      </c>
      <c r="E22" s="456">
        <v>0.5</v>
      </c>
      <c r="F22" s="454" t="s">
        <v>292</v>
      </c>
      <c r="G22" s="457">
        <v>66639</v>
      </c>
      <c r="H22" s="457">
        <f t="shared" ref="H22:H24" si="3">G22*B22</f>
        <v>66639</v>
      </c>
      <c r="I22" s="305"/>
      <c r="J22" s="264"/>
      <c r="K22" s="47"/>
      <c r="L22" s="47">
        <f t="shared" ref="L22:L24" si="4">B22</f>
        <v>1</v>
      </c>
      <c r="M22" s="39">
        <f t="shared" ref="M22:M24" si="5">D22+M$19</f>
        <v>1.55</v>
      </c>
      <c r="N22" s="39">
        <f t="shared" ref="N22:N24" si="6">E22+$N$19</f>
        <v>0.5</v>
      </c>
      <c r="O22" s="260">
        <f t="shared" ref="O22:O24" si="7">M22*N22</f>
        <v>0.77500000000000002</v>
      </c>
      <c r="P22" s="258">
        <f t="shared" ref="P22:P24" si="8">O22*L22</f>
        <v>0.77500000000000002</v>
      </c>
      <c r="Q22" s="251">
        <f t="shared" ref="Q22:Q24" si="9">Q$20*O22</f>
        <v>63639.051784833588</v>
      </c>
      <c r="R22" s="304">
        <f t="shared" ref="R22:R24" si="10">Q22+R$20</f>
        <v>66639.051784833588</v>
      </c>
      <c r="S22" s="290"/>
      <c r="T22" s="46"/>
      <c r="U22" s="9"/>
      <c r="X22" s="4"/>
    </row>
    <row r="23" spans="2:25" ht="17.399999999999999" x14ac:dyDescent="0.3">
      <c r="B23" s="454">
        <v>1</v>
      </c>
      <c r="C23" s="455" t="s">
        <v>260</v>
      </c>
      <c r="D23" s="456">
        <v>2.125</v>
      </c>
      <c r="E23" s="456">
        <v>0.33200000000000002</v>
      </c>
      <c r="F23" s="454" t="s">
        <v>292</v>
      </c>
      <c r="G23" s="457">
        <v>62295</v>
      </c>
      <c r="H23" s="457">
        <f t="shared" si="3"/>
        <v>62295</v>
      </c>
      <c r="I23" s="305"/>
      <c r="J23" s="264"/>
      <c r="K23" s="47"/>
      <c r="L23" s="47">
        <f t="shared" si="4"/>
        <v>1</v>
      </c>
      <c r="M23" s="39">
        <f t="shared" si="5"/>
        <v>2.1749999999999998</v>
      </c>
      <c r="N23" s="39">
        <f t="shared" si="6"/>
        <v>0.33200000000000002</v>
      </c>
      <c r="O23" s="260">
        <f t="shared" si="7"/>
        <v>0.72209999999999996</v>
      </c>
      <c r="P23" s="258">
        <f t="shared" si="8"/>
        <v>0.72209999999999996</v>
      </c>
      <c r="Q23" s="251">
        <f t="shared" si="9"/>
        <v>59295.173282359137</v>
      </c>
      <c r="R23" s="304">
        <f t="shared" si="10"/>
        <v>62295.173282359137</v>
      </c>
      <c r="S23" s="290"/>
      <c r="T23" s="46"/>
      <c r="U23" s="9"/>
      <c r="X23" s="4"/>
    </row>
    <row r="24" spans="2:25" ht="17.399999999999999" x14ac:dyDescent="0.3">
      <c r="B24" s="454">
        <v>1</v>
      </c>
      <c r="C24" s="455" t="s">
        <v>260</v>
      </c>
      <c r="D24" s="456">
        <v>2.125</v>
      </c>
      <c r="E24" s="456">
        <v>0.1</v>
      </c>
      <c r="F24" s="454" t="s">
        <v>292</v>
      </c>
      <c r="G24" s="457">
        <v>20860</v>
      </c>
      <c r="H24" s="457">
        <f t="shared" si="3"/>
        <v>20860</v>
      </c>
      <c r="I24" s="305"/>
      <c r="J24" s="264"/>
      <c r="K24" s="47"/>
      <c r="L24" s="47">
        <f t="shared" si="4"/>
        <v>1</v>
      </c>
      <c r="M24" s="39">
        <f t="shared" si="5"/>
        <v>2.1749999999999998</v>
      </c>
      <c r="N24" s="39">
        <f t="shared" si="6"/>
        <v>0.1</v>
      </c>
      <c r="O24" s="260">
        <f t="shared" si="7"/>
        <v>0.2175</v>
      </c>
      <c r="P24" s="258">
        <f t="shared" si="8"/>
        <v>0.2175</v>
      </c>
      <c r="Q24" s="251">
        <f t="shared" si="9"/>
        <v>17859.991952517812</v>
      </c>
      <c r="R24" s="304">
        <f t="shared" si="10"/>
        <v>20859.991952517812</v>
      </c>
      <c r="S24" s="290"/>
      <c r="T24" s="46"/>
      <c r="U24" s="9"/>
      <c r="X24" s="4"/>
    </row>
    <row r="25" spans="2:25" ht="17.399999999999999" x14ac:dyDescent="0.3">
      <c r="B25" s="283"/>
      <c r="C25" s="324"/>
      <c r="D25" s="284"/>
      <c r="E25" s="284"/>
      <c r="F25" s="283"/>
      <c r="G25" s="305"/>
      <c r="H25" s="305"/>
      <c r="I25" s="305"/>
      <c r="J25" s="264"/>
      <c r="K25" s="47"/>
      <c r="L25" s="47"/>
      <c r="M25" s="39"/>
      <c r="N25" s="39"/>
      <c r="O25" s="260"/>
      <c r="P25" s="258"/>
      <c r="Q25" s="251"/>
      <c r="R25" s="304"/>
      <c r="S25" s="290"/>
      <c r="T25" s="46"/>
      <c r="U25" s="9"/>
      <c r="X25" s="4"/>
    </row>
    <row r="26" spans="2:25" ht="18" thickBot="1" x14ac:dyDescent="0.35">
      <c r="B26" s="283"/>
      <c r="C26" s="324"/>
      <c r="D26" s="284"/>
      <c r="E26" s="284"/>
      <c r="F26" s="283"/>
      <c r="G26" s="264"/>
      <c r="H26" s="306"/>
      <c r="I26" s="308"/>
      <c r="J26" s="233">
        <v>432</v>
      </c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09" t="s">
        <v>28</v>
      </c>
      <c r="H27" s="310">
        <f>SUM(H21:H26)</f>
        <v>211138</v>
      </c>
      <c r="I27" s="307"/>
      <c r="J27" s="264">
        <v>190</v>
      </c>
      <c r="K27" s="47">
        <v>1550</v>
      </c>
      <c r="L27" s="47"/>
      <c r="M27" s="39"/>
      <c r="N27" s="39"/>
      <c r="O27" s="260"/>
      <c r="P27" s="258"/>
      <c r="Q27" s="251"/>
      <c r="R27" s="257"/>
      <c r="S27" s="290"/>
      <c r="T27" s="46">
        <f>SUM(T21:T21)</f>
        <v>3.984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/>
      <c r="I28" s="307"/>
      <c r="J28" s="264">
        <f>SUM(J26:J27)</f>
        <v>622</v>
      </c>
      <c r="K28" s="47">
        <v>640</v>
      </c>
      <c r="L28" s="47"/>
      <c r="M28" s="39">
        <f>SUM(M21:M27)</f>
        <v>6.54</v>
      </c>
      <c r="N28" s="12"/>
      <c r="O28" s="12"/>
      <c r="P28" s="252">
        <f>SUM(P21:P26)</f>
        <v>2.3520400000000001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211138</v>
      </c>
      <c r="I29" s="307"/>
      <c r="J29" s="264"/>
      <c r="K29" s="47">
        <v>640</v>
      </c>
      <c r="L29" s="47"/>
      <c r="M29" s="39"/>
      <c r="N29" s="12"/>
      <c r="O29" s="12"/>
      <c r="P29" s="252">
        <f>P28</f>
        <v>2.3520400000000001</v>
      </c>
      <c r="Q29" s="14"/>
      <c r="R29" s="12"/>
      <c r="S29" s="239">
        <f>SUM(S21:S28)</f>
        <v>1.92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>
        <v>1220</v>
      </c>
      <c r="K30" s="47"/>
      <c r="L30" s="47"/>
      <c r="M30" s="14"/>
      <c r="N30" s="12"/>
      <c r="O30" s="12"/>
      <c r="P30" s="39">
        <f>P29*20%</f>
        <v>0.47040800000000005</v>
      </c>
      <c r="Q30" s="39" t="s">
        <v>129</v>
      </c>
      <c r="R30" s="42"/>
      <c r="S30" s="240">
        <f>S29+T27</f>
        <v>5.9039999999999999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>
        <f>J30-J28</f>
        <v>598</v>
      </c>
      <c r="K31" s="47">
        <f>SUM(K27:K30)</f>
        <v>2830</v>
      </c>
      <c r="L31" s="47"/>
      <c r="M31" s="14"/>
      <c r="N31" s="12"/>
      <c r="O31" s="12"/>
      <c r="P31" s="46">
        <f>P29+P30</f>
        <v>2.8224480000000001</v>
      </c>
      <c r="Q31" s="14"/>
      <c r="R31" s="14"/>
      <c r="S31" s="238">
        <f>S30*20%</f>
        <v>1.1808000000000001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7.0847999999999995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2.8224480000000001</v>
      </c>
      <c r="N33" s="12">
        <v>4000</v>
      </c>
      <c r="O33" s="12">
        <f t="shared" ref="O33:O38" si="11">M33*N33</f>
        <v>11289.791999999999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1</v>
      </c>
      <c r="N34" s="12">
        <v>45000</v>
      </c>
      <c r="O34" s="12">
        <f t="shared" si="11"/>
        <v>45000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11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1</v>
      </c>
      <c r="N36" s="249">
        <v>31500</v>
      </c>
      <c r="O36" s="12">
        <f t="shared" si="11"/>
        <v>31500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11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/>
      <c r="N38" s="12">
        <v>2000</v>
      </c>
      <c r="O38" s="12">
        <f t="shared" si="11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87789.792000000001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193137.54240000001</v>
      </c>
      <c r="P40" s="14" t="s">
        <v>138</v>
      </c>
      <c r="Q40" s="14"/>
      <c r="R40" s="40">
        <f>P31/R39</f>
        <v>0.76101380500431404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32090</v>
      </c>
      <c r="L41" s="249"/>
      <c r="M41" s="14"/>
      <c r="N41" s="12"/>
      <c r="O41" s="12">
        <f>O40/P29</f>
        <v>82114.90552881753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26966.386554621851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46168</v>
      </c>
    </row>
    <row r="6" spans="2:31" ht="16.2" thickBot="1" x14ac:dyDescent="0.35">
      <c r="B6" s="140" t="s">
        <v>2</v>
      </c>
      <c r="C6" s="139" t="str">
        <f>'2229'!C10</f>
        <v>ALDO ARATA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-11505.598900120773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211138</v>
      </c>
      <c r="E11" s="132">
        <f>D11*0.19</f>
        <v>40116.22</v>
      </c>
      <c r="F11" s="131">
        <f>E11+D11</f>
        <v>251254.22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94484.401099879222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86123.882787439623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76484.401099879222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125014.11721256038</v>
      </c>
      <c r="E13" s="221">
        <f>(D11/D12)-1</f>
        <v>1.451561554895346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67484.401099879222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28484.401099879229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142104.40659927536</v>
      </c>
      <c r="F15" s="216">
        <f>E15-D12</f>
        <v>55980.523811835737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28484.401099879229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68484.401099879222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11289.791999999999</v>
      </c>
      <c r="E20" s="121">
        <f>D20*0.19</f>
        <v>2145.0604800000001</v>
      </c>
      <c r="F20" s="120">
        <f>SUM(D20:E20)</f>
        <v>13434.85248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56289.792000000001</v>
      </c>
      <c r="E21" s="116">
        <f>SUM(E18:E20)</f>
        <v>10695.06048</v>
      </c>
      <c r="F21" s="115">
        <f>SUM(F18:F20)</f>
        <v>66984.852480000001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29421.159520000001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211138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56289.792000000001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125014.11721256038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125014.11721256038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12169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ALDO ARATA</v>
      </c>
      <c r="D10" s="349"/>
      <c r="E10" s="349"/>
      <c r="F10" s="350" t="s">
        <v>167</v>
      </c>
      <c r="G10" s="351">
        <f>'2229'!G10</f>
        <v>46168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46175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+56 9 7793 9434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QUILPUE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3</v>
      </c>
      <c r="C22" s="312" t="str">
        <f>'2229'!C21</f>
        <v>PR6</v>
      </c>
      <c r="D22" s="320">
        <f>'2229'!D21*1000</f>
        <v>590</v>
      </c>
      <c r="E22" s="320">
        <f>'2229'!E21*1000</f>
        <v>332</v>
      </c>
      <c r="F22" s="321" t="str">
        <f>'2229'!F21</f>
        <v>SAPELLE 10019 SF</v>
      </c>
      <c r="G22" s="313">
        <f>'2229'!G21</f>
        <v>20448</v>
      </c>
      <c r="H22" s="322">
        <f>G22*B22</f>
        <v>61344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61344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11655.36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72999.360000000001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ALDO ARATA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46168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12169</v>
      </c>
      <c r="C2" s="1">
        <f>'NOTA DE VENTA'!$G$10</f>
        <v>46168</v>
      </c>
      <c r="D2" s="1">
        <f>'NOTA DE VENTA'!$G$11</f>
        <v>46175</v>
      </c>
      <c r="E2" t="str">
        <f>'NOTA DE VENTA'!$C$10</f>
        <v>ALDO ARATA</v>
      </c>
      <c r="F2" t="str">
        <f>'NOTA DE VENTA'!$C$22</f>
        <v>PR6</v>
      </c>
      <c r="G2" t="str">
        <f>'NOTA DE VENTA'!$F$22</f>
        <v>SAPELLE 10019 SF</v>
      </c>
      <c r="H2" s="415">
        <f>'NOTA DE VENTA'!$H$25</f>
        <v>61344</v>
      </c>
      <c r="I2" s="415">
        <f>H2*0.19</f>
        <v>11655.36</v>
      </c>
      <c r="J2" s="415">
        <f>I2+H2</f>
        <v>72999.360000000001</v>
      </c>
      <c r="L2" s="61">
        <f>J2-K2</f>
        <v>72999.360000000001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2026-05-25T15:12:38Z</cp:lastPrinted>
  <dcterms:created xsi:type="dcterms:W3CDTF">2013-03-18T13:35:42Z</dcterms:created>
  <dcterms:modified xsi:type="dcterms:W3CDTF">2026-05-26T16:14:24Z</dcterms:modified>
</cp:coreProperties>
</file>