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5 MAYO 2026\"/>
    </mc:Choice>
  </mc:AlternateContent>
  <xr:revisionPtr revIDLastSave="0" documentId="13_ncr:1_{6D27CDCB-EFA6-4996-BF13-9A3B528701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9" i="1" l="1"/>
  <c r="L22" i="1"/>
  <c r="M22" i="1"/>
  <c r="N22" i="1"/>
  <c r="O22" i="1"/>
  <c r="P22" i="1" s="1"/>
  <c r="S22" i="1"/>
  <c r="L23" i="1"/>
  <c r="M23" i="1"/>
  <c r="O23" i="1" s="1"/>
  <c r="P23" i="1" s="1"/>
  <c r="N23" i="1"/>
  <c r="S23" i="1"/>
  <c r="L24" i="1"/>
  <c r="M24" i="1"/>
  <c r="N24" i="1"/>
  <c r="O24" i="1"/>
  <c r="P24" i="1" s="1"/>
  <c r="S24" i="1"/>
  <c r="L25" i="1"/>
  <c r="M25" i="1"/>
  <c r="N25" i="1"/>
  <c r="O25" i="1"/>
  <c r="P25" i="1" s="1"/>
  <c r="S25" i="1"/>
  <c r="L21" i="1"/>
  <c r="N5" i="6" l="1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9" i="1" l="1"/>
  <c r="S21" i="1"/>
  <c r="S30" i="1" s="1"/>
  <c r="T21" i="1"/>
  <c r="T28" i="1" s="1"/>
  <c r="O21" i="1"/>
  <c r="P21" i="1" s="1"/>
  <c r="K43" i="1"/>
  <c r="S31" i="1" l="1"/>
  <c r="S32" i="1" s="1"/>
  <c r="S33" i="1" s="1"/>
  <c r="V36" i="1"/>
  <c r="V37" i="1" s="1"/>
  <c r="P30" i="1" l="1"/>
  <c r="N20" i="1"/>
  <c r="L20" i="1"/>
  <c r="P31" i="1" l="1"/>
  <c r="P32" i="1" s="1"/>
  <c r="M34" i="1" s="1"/>
  <c r="O36" i="1"/>
  <c r="R40" i="1"/>
  <c r="R41" i="1" l="1"/>
  <c r="O35" i="1" s="1"/>
  <c r="O37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9" i="1"/>
  <c r="O38" i="1"/>
  <c r="F18" i="3" l="1"/>
  <c r="O34" i="1" l="1"/>
  <c r="O40" i="1" s="1"/>
  <c r="O41" i="1" s="1"/>
  <c r="D20" i="3" l="1"/>
  <c r="E20" i="3" s="1"/>
  <c r="E21" i="3" s="1"/>
  <c r="O42" i="1" l="1"/>
  <c r="Q20" i="1" s="1"/>
  <c r="D21" i="3"/>
  <c r="M43" i="3" s="1"/>
  <c r="D12" i="3" s="1"/>
  <c r="F20" i="3"/>
  <c r="F21" i="3" s="1"/>
  <c r="Q22" i="1" l="1"/>
  <c r="Q23" i="1"/>
  <c r="Q24" i="1"/>
  <c r="Q25" i="1"/>
  <c r="O43" i="1"/>
  <c r="E15" i="3"/>
  <c r="R22" i="1" l="1"/>
  <c r="H22" i="1" s="1"/>
  <c r="G22" i="1"/>
  <c r="R25" i="1"/>
  <c r="H25" i="1" s="1"/>
  <c r="G25" i="1"/>
  <c r="R24" i="1"/>
  <c r="H24" i="1" s="1"/>
  <c r="G24" i="1"/>
  <c r="R23" i="1"/>
  <c r="H23" i="1" s="1"/>
  <c r="G23" i="1"/>
  <c r="Q21" i="1"/>
  <c r="G21" i="1" s="1"/>
  <c r="F15" i="3"/>
  <c r="R21" i="1" l="1"/>
  <c r="H21" i="1" l="1"/>
  <c r="H28" i="1" s="1"/>
  <c r="H29" i="1" l="1"/>
  <c r="H30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<sst xmlns="http://schemas.openxmlformats.org/spreadsheetml/2006/main" count="494" uniqueCount="295">
  <si>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</si>
  <si>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</si>
  <si>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</si>
  <si>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</si>
  <si>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</si>
  <si>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</si>
  <si>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</si>
  <si>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</si>
  <si>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</si>
  <si>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</si>
  <si>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</si>
  <si>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</si>
  <si>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</si>
  <si>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</si>
  <si>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</si>
  <si>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</si>
  <si>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</si>
  <si>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</si>
  <si>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</si>
  <si>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</si>
  <si>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</si>
  <si>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</si>
  <si>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</si>
  <si>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</si>
  <si>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</si>
  <si>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</si>
  <si>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</si>
  <si>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</si>
  <si>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</si>
  <si>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</si>
  <si>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</si>
  <si>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</si>
  <si>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</si>
  <si>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</si>
  <si>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</si>
  <si>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</si>
  <si>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</si>
  <si>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</si>
  <si>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</si>
  <si>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</si>
  <si>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</si>
  <si>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</si>
  <si>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</si>
  <si>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</si>
  <si>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</si>
  <si>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</si>
  <si>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</si>
  <si>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</si>
  <si>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</si>
  <si>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</si>
  <si>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</si>
  <si>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</si>
  <si>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</si>
  <si>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</si>
  <si>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</si>
  <si>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</si>
  <si>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</si>
  <si>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</si>
  <si>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</si>
  <si>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</si>
  <si>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</si>
  <si>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</si>
  <si>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</si>
  <si>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</si>
  <si>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</si>
  <si>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</si>
  <si>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</si>
  <si>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</si>
  <si>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</si>
  <si>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</si>
  <si>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</si>
  <si>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</si>
  <si>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</si>
  <si>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</si>
  <si>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</si>
  <si>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</si>
  <si>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</si>
  <si>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</si>
  <si>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</si>
  <si>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</si>
  <si>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</si>
  <si>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</si>
  <si>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</si>
  <si>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</si>
  <si>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</si>
  <si>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</si>
  <si>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</si>
  <si>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</si>
  <si>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</si>
  <si>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</si>
  <si>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</si>
  <si>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</si>
  <si>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</si>
  <si>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</si>
  <si>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</si>
  <si>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</si>
  <si>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</si>
  <si>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</si>
  <si>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</si>
  <si>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</si>
  <si>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</si>
  <si>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</si>
  <si>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</si>
  <si>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</si>
  <si>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</si>
  <si>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</si>
  <si>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</si>
  <si>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</si>
  <si>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</si>
  <si>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</si>
  <si>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</si>
  <si>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</si>
  <si>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</si>
  <si>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</si>
  <si>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</si>
  <si>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</si>
  <si>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</si>
  <si>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</si>
  <si>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</si>
  <si>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</si>
  <si>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</si>
  <si>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</si>
  <si>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</si>
  <si>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</si>
  <si>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</si>
  <si>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</si>
  <si>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</si>
  <si>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</si>
  <si>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</si>
  <si>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</si>
  <si>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</si>
  <si>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</si>
  <si>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</si>
  <si>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</si>
  <si>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</si>
  <si>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</si>
  <si>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</si>
  <si>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</si>
  <si>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</si>
  <si>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</si>
  <si>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</si>
  <si>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</si>
  <si>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</si>
  <si>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</si>
  <si>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</si>
  <si>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</si>
  <si>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</si>
  <si>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</si>
  <si>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</si>
  <si>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</si>
  <si>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</si>
  <si>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</si>
  <si>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</si>
  <si>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</si>
  <si>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</si>
  <si>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</si>
  <si>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</si>
  <si>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</si>
  <si>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</si>
  <si>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</si>
  <si>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</si>
  <si>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</si>
  <si>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</si>
  <si>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</si>
  <si>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</si>
  <si>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</si>
  <si>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</si>
  <si>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</si>
  <si>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</si>
  <si>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</si>
  <si>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</si>
  <si>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</si>
  <si>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</si>
  <si>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</si>
  <si>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</si>
  <si>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</si>
  <si>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</si>
  <si>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</si>
  <si>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</si>
  <si>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</si>
  <si>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</si>
  <si>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</si>
  <si>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</si>
  <si>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</si>
  <si>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</si>
  <si>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</si>
  <si>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</si>
  <si>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</si>
  <si>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</si>
  <si>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</si>
  <si>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</si>
  <si>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</si>
  <si>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</si>
  <si>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</si>
  <si>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</si>
  <si>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</si>
  <si>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</si>
  <si>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</si>
  <si>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</si>
  <si>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</si>
  <si>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</si>
  <si>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</si>
  <si>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</si>
  <si>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</si>
  <si>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</si>
  <si>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</si>
  <si>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</si>
  <si>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</si>
  <si>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</si>
  <si>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</si>
  <si>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</si>
  <si>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</si>
  <si>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</si>
  <si>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</si>
  <si>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</si>
  <si>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</si>
  <si>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</si>
  <si>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</si>
  <si>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</si>
  <si>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</si>
  <si>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</si>
  <si>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</si>
  <si>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</si>
  <si>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</si>
  <si>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</si>
  <si>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</si>
  <si>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</si>
  <si>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</si>
  <si>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</si>
  <si>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</si>
  <si>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</si>
  <si>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</si>
  <si>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</si>
  <si>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</si>
  <si>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</si>
  <si>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</si>
  <si>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</si>
  <si>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</si>
  <si>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</si>
  <si>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</si>
  <si>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</si>
  <si>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</si>
  <si>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</si>
  <si>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</si>
  <si>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</si>
  <si>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</si>
  <si>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</si>
  <si>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</si>
  <si>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</si>
  <si>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</si>
  <si>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</si>
  <si>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</si>
  <si>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</si>
  <si>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</si>
  <si>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</si>
  <si>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</si>
  <si>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</si>
  <si>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</si>
  <si>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</si>
  <si>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</si>
  <si>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</si>
  <si>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</si>
  <si>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</si>
  <si>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</si>
  <si>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</si>
  <si>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</si>
  <si>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</si>
  <si>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</si>
  <si>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</si>
  <si>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</si>
  <si>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</si>
  <si>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</si>
  <si>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</si>
  <si>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</si>
  <si>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</si>
  <si>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</si>
  <si>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</si>
  <si>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</si>
  <si>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</si>
  <si>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</si>
  <si>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</si>
  <si>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</si>
  <si>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</si>
  <si>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</si>
  <si>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</si>
  <si>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</si>
  <si>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</si>
  <si>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</si>
  <si>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3 A 5 DÍAS HÁBILES</t>
  </si>
  <si>
    <t>CUB MESA 2 LADOS R6</t>
  </si>
  <si>
    <t>CUB SIN RESPALDO FTE 90°</t>
  </si>
  <si>
    <t>MINERAL STEEL 3166 MT CA</t>
  </si>
  <si>
    <t>MARCELO</t>
  </si>
  <si>
    <t>N° 12168</t>
  </si>
  <si>
    <t>+569 9965 7489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</si>
</sst>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sz val="11"/>
      <color rgb="FF00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51" fillId="8" borderId="0" xfId="0" applyFont="1" applyFill="1"/>
    <xf numFmtId="0" fontId="30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31</xdr:row>
      <xdr:rowOff>8194</xdr:rowOff>
    </xdr:from>
    <xdr:to>
      <xdr:col>8</xdr:col>
      <xdr:colOff>8193</xdr:colOff>
      <xdr:row>34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1745226</xdr:colOff>
      <xdr:row>34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26</xdr:row>
      <xdr:rowOff>153629</xdr:rowOff>
    </xdr:from>
    <xdr:to>
      <xdr:col>5</xdr:col>
      <xdr:colOff>1736459</xdr:colOff>
      <xdr:row>29</xdr:row>
      <xdr:rowOff>217416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182419"/>
          <a:ext cx="6457992" cy="719271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SOBRE MEDIDA EN EL LARGO.</a:t>
          </a:r>
        </a:p>
        <a:p>
          <a:pPr algn="l"/>
          <a:r>
            <a:rPr lang="es-CL" sz="1200" b="1" baseline="0"/>
            <a:t>CUBIERTA DE 1,102x0,550 LLEVA REGRUESO DE 2cm EN CADA LADO.</a:t>
          </a:r>
        </a:p>
        <a:p>
          <a:pPr algn="l"/>
          <a:r>
            <a:rPr lang="es-CL" sz="1200" b="1" u="sng" baseline="0"/>
            <a:t>SUSTRATO MDF 18MM.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5"/>
  <sheetViews>
    <sheetView tabSelected="1" topLeftCell="A8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2.77734375" customWidth="1"/>
    <col min="5" max="5" width="10.5546875" customWidth="1"/>
    <col min="6" max="6" width="34.33203125" bestFit="1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292</v>
      </c>
      <c r="D10" s="243"/>
      <c r="E10" s="243"/>
      <c r="F10" s="417" t="s">
        <v>277</v>
      </c>
      <c r="G10" s="275">
        <v>46168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288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0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0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3" t="s">
        <v>294</v>
      </c>
      <c r="D15" s="424"/>
      <c r="F15" s="29" t="s">
        <v>284</v>
      </c>
      <c r="G15" s="75" t="s">
        <v>133</v>
      </c>
      <c r="H15" s="421"/>
    </row>
    <row r="16" spans="2:24" x14ac:dyDescent="0.3">
      <c r="B16" s="301" t="s">
        <v>3</v>
      </c>
      <c r="C16" s="430"/>
      <c r="D16" s="246"/>
      <c r="E16" s="246"/>
      <c r="F16" s="302" t="s">
        <v>128</v>
      </c>
      <c r="G16" s="303" t="s">
        <v>160</v>
      </c>
      <c r="H16" s="247"/>
    </row>
    <row r="17" spans="2:25" ht="15" thickBot="1" x14ac:dyDescent="0.35">
      <c r="B17" s="425" t="s">
        <v>13</v>
      </c>
      <c r="C17" s="298" t="s">
        <v>287</v>
      </c>
      <c r="D17" s="299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46" t="s">
        <v>95</v>
      </c>
      <c r="C19" s="447"/>
      <c r="D19" s="447"/>
      <c r="E19" s="447"/>
      <c r="F19" s="447"/>
      <c r="G19" s="447"/>
      <c r="H19" s="448"/>
      <c r="I19" s="263"/>
      <c r="J19" s="263"/>
      <c r="K19" s="5"/>
      <c r="L19" s="249"/>
      <c r="M19" s="14"/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8" thickBot="1" x14ac:dyDescent="0.35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O42</f>
        <v>129395.46349658679</v>
      </c>
      <c r="R20" s="257">
        <v>3000</v>
      </c>
      <c r="S20" s="38"/>
      <c r="T20" s="14" t="s">
        <v>127</v>
      </c>
      <c r="U20" s="9"/>
      <c r="X20" s="4"/>
    </row>
    <row r="21" spans="2:25" ht="17.399999999999999" x14ac:dyDescent="0.3">
      <c r="B21" s="311">
        <v>1</v>
      </c>
      <c r="C21" s="435" t="s">
        <v>289</v>
      </c>
      <c r="D21" s="436">
        <v>1.268</v>
      </c>
      <c r="E21" s="436">
        <v>0.67500000000000004</v>
      </c>
      <c r="F21" s="312" t="s">
        <v>291</v>
      </c>
      <c r="G21" s="313">
        <f>Q21</f>
        <v>110749.57720672865</v>
      </c>
      <c r="H21" s="437">
        <f>G21*B21</f>
        <v>110749.57720672865</v>
      </c>
      <c r="I21" s="305"/>
      <c r="J21" s="264"/>
      <c r="K21" s="47"/>
      <c r="L21" s="47">
        <f>B21</f>
        <v>1</v>
      </c>
      <c r="M21" s="39">
        <f>D21+M$19</f>
        <v>1.268</v>
      </c>
      <c r="N21" s="39">
        <f>E21+$N$19</f>
        <v>0.67500000000000004</v>
      </c>
      <c r="O21" s="260">
        <f t="shared" ref="O21" si="0">M21*N21</f>
        <v>0.85590000000000011</v>
      </c>
      <c r="P21" s="258">
        <f>O21*L21</f>
        <v>0.85590000000000011</v>
      </c>
      <c r="Q21" s="251">
        <f t="shared" ref="Q21" si="1">Q$20*O21</f>
        <v>110749.57720672865</v>
      </c>
      <c r="R21" s="304">
        <f t="shared" ref="R21" si="2">Q21+R$20</f>
        <v>113749.57720672865</v>
      </c>
      <c r="S21" s="290">
        <f>M21*L21</f>
        <v>1.268</v>
      </c>
      <c r="T21" s="46">
        <f>N21*2*L21*2</f>
        <v>2.7</v>
      </c>
      <c r="U21" s="9"/>
      <c r="X21" s="4"/>
    </row>
    <row r="22" spans="2:25" ht="17.399999999999999" x14ac:dyDescent="0.3">
      <c r="B22" s="438">
        <v>1</v>
      </c>
      <c r="C22" s="432" t="s">
        <v>289</v>
      </c>
      <c r="D22" s="433">
        <v>0.69799999999999995</v>
      </c>
      <c r="E22" s="433">
        <v>0.67500000000000004</v>
      </c>
      <c r="F22" s="431" t="s">
        <v>291</v>
      </c>
      <c r="G22" s="434">
        <f>Q22</f>
        <v>60964.672626416868</v>
      </c>
      <c r="H22" s="439">
        <f>R22</f>
        <v>63964.672626416868</v>
      </c>
      <c r="I22" s="305"/>
      <c r="J22" s="264"/>
      <c r="K22" s="47"/>
      <c r="L22" s="47">
        <f t="shared" ref="L22:L25" si="3">B22</f>
        <v>1</v>
      </c>
      <c r="M22" s="39">
        <f t="shared" ref="M22:M25" si="4">D22+M$19</f>
        <v>0.69799999999999995</v>
      </c>
      <c r="N22" s="39">
        <f t="shared" ref="N22:N25" si="5">E22+$N$19</f>
        <v>0.67500000000000004</v>
      </c>
      <c r="O22" s="260">
        <f t="shared" ref="O22:O25" si="6">M22*N22</f>
        <v>0.47115000000000001</v>
      </c>
      <c r="P22" s="258">
        <f t="shared" ref="P22:P25" si="7">O22*L22</f>
        <v>0.47115000000000001</v>
      </c>
      <c r="Q22" s="251">
        <f t="shared" ref="Q22:Q25" si="8">Q$20*O22</f>
        <v>60964.672626416868</v>
      </c>
      <c r="R22" s="304">
        <f t="shared" ref="R22:R25" si="9">Q22+R$20</f>
        <v>63964.672626416868</v>
      </c>
      <c r="S22" s="290">
        <f t="shared" ref="S22:S25" si="10">M22*L22</f>
        <v>0.69799999999999995</v>
      </c>
      <c r="T22" s="46"/>
      <c r="U22" s="9"/>
      <c r="X22" s="4"/>
    </row>
    <row r="23" spans="2:25" ht="17.399999999999999" x14ac:dyDescent="0.3">
      <c r="B23" s="438">
        <v>1</v>
      </c>
      <c r="C23" s="432" t="s">
        <v>289</v>
      </c>
      <c r="D23" s="433">
        <v>1.1020000000000001</v>
      </c>
      <c r="E23" s="433">
        <v>0.55000000000000004</v>
      </c>
      <c r="F23" s="431" t="s">
        <v>291</v>
      </c>
      <c r="G23" s="434">
        <f t="shared" ref="G23:H25" si="11">Q23</f>
        <v>78426.590425281262</v>
      </c>
      <c r="H23" s="439">
        <f t="shared" si="11"/>
        <v>81426.590425281262</v>
      </c>
      <c r="I23" s="305"/>
      <c r="J23" s="264"/>
      <c r="K23" s="47"/>
      <c r="L23" s="47">
        <f t="shared" si="3"/>
        <v>1</v>
      </c>
      <c r="M23" s="39">
        <f t="shared" si="4"/>
        <v>1.1020000000000001</v>
      </c>
      <c r="N23" s="39">
        <f t="shared" si="5"/>
        <v>0.55000000000000004</v>
      </c>
      <c r="O23" s="260">
        <f t="shared" si="6"/>
        <v>0.60610000000000008</v>
      </c>
      <c r="P23" s="258">
        <f t="shared" si="7"/>
        <v>0.60610000000000008</v>
      </c>
      <c r="Q23" s="251">
        <f t="shared" si="8"/>
        <v>78426.590425281262</v>
      </c>
      <c r="R23" s="304">
        <f t="shared" si="9"/>
        <v>81426.590425281262</v>
      </c>
      <c r="S23" s="290">
        <f t="shared" si="10"/>
        <v>1.1020000000000001</v>
      </c>
      <c r="T23" s="46"/>
      <c r="U23" s="9"/>
      <c r="X23" s="4"/>
    </row>
    <row r="24" spans="2:25" ht="17.399999999999999" x14ac:dyDescent="0.3">
      <c r="B24" s="438">
        <v>1</v>
      </c>
      <c r="C24" s="432" t="s">
        <v>290</v>
      </c>
      <c r="D24" s="433">
        <v>1.1020000000000001</v>
      </c>
      <c r="E24" s="433">
        <v>0.2</v>
      </c>
      <c r="F24" s="431" t="s">
        <v>291</v>
      </c>
      <c r="G24" s="434">
        <f t="shared" si="11"/>
        <v>28518.760154647734</v>
      </c>
      <c r="H24" s="439">
        <f t="shared" si="11"/>
        <v>31518.760154647734</v>
      </c>
      <c r="I24" s="305"/>
      <c r="J24" s="264"/>
      <c r="K24" s="47"/>
      <c r="L24" s="47">
        <f t="shared" si="3"/>
        <v>1</v>
      </c>
      <c r="M24" s="39">
        <f t="shared" si="4"/>
        <v>1.1020000000000001</v>
      </c>
      <c r="N24" s="39">
        <f t="shared" si="5"/>
        <v>0.2</v>
      </c>
      <c r="O24" s="260">
        <f t="shared" si="6"/>
        <v>0.22040000000000004</v>
      </c>
      <c r="P24" s="258">
        <f t="shared" si="7"/>
        <v>0.22040000000000004</v>
      </c>
      <c r="Q24" s="251">
        <f t="shared" si="8"/>
        <v>28518.760154647734</v>
      </c>
      <c r="R24" s="304">
        <f t="shared" si="9"/>
        <v>31518.760154647734</v>
      </c>
      <c r="S24" s="290">
        <f t="shared" si="10"/>
        <v>1.1020000000000001</v>
      </c>
      <c r="T24" s="46"/>
      <c r="U24" s="9"/>
      <c r="X24" s="4"/>
    </row>
    <row r="25" spans="2:25" ht="18" thickBot="1" x14ac:dyDescent="0.35">
      <c r="B25" s="440">
        <v>1</v>
      </c>
      <c r="C25" s="441" t="s">
        <v>290</v>
      </c>
      <c r="D25" s="442">
        <v>0.76</v>
      </c>
      <c r="E25" s="442">
        <v>0.26</v>
      </c>
      <c r="F25" s="443" t="s">
        <v>291</v>
      </c>
      <c r="G25" s="444">
        <f t="shared" si="11"/>
        <v>25568.543586925549</v>
      </c>
      <c r="H25" s="445">
        <f t="shared" si="11"/>
        <v>28568.543586925549</v>
      </c>
      <c r="I25" s="305"/>
      <c r="J25" s="264"/>
      <c r="K25" s="47"/>
      <c r="L25" s="47">
        <f t="shared" si="3"/>
        <v>1</v>
      </c>
      <c r="M25" s="39">
        <f t="shared" si="4"/>
        <v>0.76</v>
      </c>
      <c r="N25" s="39">
        <f t="shared" si="5"/>
        <v>0.26</v>
      </c>
      <c r="O25" s="260">
        <f t="shared" si="6"/>
        <v>0.1976</v>
      </c>
      <c r="P25" s="258">
        <f t="shared" si="7"/>
        <v>0.1976</v>
      </c>
      <c r="Q25" s="251">
        <f t="shared" si="8"/>
        <v>25568.543586925549</v>
      </c>
      <c r="R25" s="304">
        <f t="shared" si="9"/>
        <v>28568.543586925549</v>
      </c>
      <c r="S25" s="290">
        <f t="shared" si="10"/>
        <v>0.76</v>
      </c>
      <c r="T25" s="46"/>
      <c r="U25" s="9"/>
      <c r="X25" s="4"/>
    </row>
    <row r="26" spans="2:25" ht="17.399999999999999" x14ac:dyDescent="0.3">
      <c r="B26" s="283"/>
      <c r="C26" s="324"/>
      <c r="D26" s="284"/>
      <c r="E26" s="284"/>
      <c r="F26" s="283"/>
      <c r="G26" s="305"/>
      <c r="H26" s="305"/>
      <c r="I26" s="305"/>
      <c r="J26" s="264"/>
      <c r="K26" s="47"/>
      <c r="L26" s="47"/>
      <c r="M26" s="39"/>
      <c r="N26" s="39"/>
      <c r="O26" s="260"/>
      <c r="P26" s="258"/>
      <c r="Q26" s="251"/>
      <c r="R26" s="304"/>
      <c r="S26" s="290"/>
      <c r="T26" s="46"/>
      <c r="U26" s="9"/>
      <c r="X26" s="4"/>
    </row>
    <row r="27" spans="2:25" ht="18" thickBot="1" x14ac:dyDescent="0.35">
      <c r="B27" s="283"/>
      <c r="C27" s="324"/>
      <c r="D27" s="284"/>
      <c r="E27" s="284"/>
      <c r="F27" s="283"/>
      <c r="G27" s="264"/>
      <c r="H27" s="306"/>
      <c r="I27" s="308"/>
      <c r="J27" s="233"/>
      <c r="K27" s="47"/>
      <c r="L27" s="47"/>
      <c r="M27" s="39"/>
      <c r="N27" s="39"/>
      <c r="O27" s="260"/>
      <c r="P27" s="258"/>
      <c r="Q27" s="251"/>
      <c r="R27" s="257"/>
      <c r="S27" s="290"/>
      <c r="T27" s="14"/>
      <c r="U27" s="9"/>
      <c r="X27" s="4"/>
    </row>
    <row r="28" spans="2:25" ht="17.399999999999999" x14ac:dyDescent="0.3">
      <c r="B28" s="283"/>
      <c r="C28" s="283"/>
      <c r="D28" s="284"/>
      <c r="E28" s="284"/>
      <c r="F28" s="283"/>
      <c r="G28" s="309" t="s">
        <v>28</v>
      </c>
      <c r="H28" s="310">
        <f>SUM(H21:H27)</f>
        <v>316228.14400000009</v>
      </c>
      <c r="I28" s="307"/>
      <c r="J28" s="264"/>
      <c r="K28" s="47"/>
      <c r="L28" s="47"/>
      <c r="M28" s="39"/>
      <c r="N28" s="39"/>
      <c r="O28" s="260"/>
      <c r="P28" s="258"/>
      <c r="Q28" s="251"/>
      <c r="R28" s="257"/>
      <c r="S28" s="290"/>
      <c r="T28" s="46">
        <f>SUM(T21:T21)</f>
        <v>2.7</v>
      </c>
      <c r="U28" s="9"/>
      <c r="X28" s="4"/>
    </row>
    <row r="29" spans="2:25" ht="17.399999999999999" x14ac:dyDescent="0.3">
      <c r="B29" s="277"/>
      <c r="C29" s="280"/>
      <c r="D29" s="281"/>
      <c r="E29" s="281"/>
      <c r="F29" s="282"/>
      <c r="G29" s="289" t="s">
        <v>51</v>
      </c>
      <c r="H29" s="287">
        <f>H28*19%</f>
        <v>60083.347360000014</v>
      </c>
      <c r="I29" s="307"/>
      <c r="J29" s="264"/>
      <c r="K29" s="47"/>
      <c r="L29" s="47"/>
      <c r="M29" s="39">
        <f>SUM(M21:M28)</f>
        <v>4.93</v>
      </c>
      <c r="N29" s="12"/>
      <c r="O29" s="12"/>
      <c r="P29" s="252">
        <f>SUM(P21:P27)</f>
        <v>2.3511500000000001</v>
      </c>
      <c r="Q29" s="14"/>
      <c r="R29" s="12"/>
      <c r="S29" s="239"/>
      <c r="T29" s="46"/>
      <c r="U29" s="9"/>
      <c r="X29" s="4"/>
    </row>
    <row r="30" spans="2:25" ht="18" thickBot="1" x14ac:dyDescent="0.35">
      <c r="B30" s="274"/>
      <c r="C30" s="279"/>
      <c r="D30" s="271"/>
      <c r="E30" s="271"/>
      <c r="F30" s="272"/>
      <c r="G30" s="278" t="s">
        <v>6</v>
      </c>
      <c r="H30" s="288">
        <f>H28+H29</f>
        <v>376311.4913600001</v>
      </c>
      <c r="I30" s="307"/>
      <c r="J30" s="264"/>
      <c r="K30" s="47"/>
      <c r="L30" s="47"/>
      <c r="M30" s="39"/>
      <c r="N30" s="12"/>
      <c r="O30" s="12"/>
      <c r="P30" s="252">
        <f>P29</f>
        <v>2.3511500000000001</v>
      </c>
      <c r="Q30" s="14"/>
      <c r="R30" s="12"/>
      <c r="S30" s="239">
        <f>SUM(S21:S29)</f>
        <v>4.93</v>
      </c>
      <c r="T30" s="46"/>
      <c r="U30" s="9"/>
      <c r="X30" s="4"/>
    </row>
    <row r="31" spans="2:25" ht="17.399999999999999" x14ac:dyDescent="0.3">
      <c r="B31" s="274"/>
      <c r="C31" s="270"/>
      <c r="D31" s="271"/>
      <c r="E31" s="271"/>
      <c r="F31" s="272"/>
      <c r="J31" s="264"/>
      <c r="K31" s="47"/>
      <c r="L31" s="47"/>
      <c r="M31" s="14"/>
      <c r="N31" s="12"/>
      <c r="O31" s="12"/>
      <c r="P31" s="39">
        <f>P30*20%</f>
        <v>0.47023000000000004</v>
      </c>
      <c r="Q31" s="39" t="s">
        <v>129</v>
      </c>
      <c r="R31" s="42"/>
      <c r="S31" s="240">
        <f>S30+T28</f>
        <v>7.63</v>
      </c>
      <c r="T31" s="14"/>
      <c r="U31" s="9"/>
      <c r="X31" s="4"/>
    </row>
    <row r="32" spans="2:25" ht="17.399999999999999" x14ac:dyDescent="0.35">
      <c r="B32" s="268"/>
      <c r="C32" s="230"/>
      <c r="D32" s="230"/>
      <c r="E32" s="233"/>
      <c r="F32" s="234"/>
      <c r="G32" s="230"/>
      <c r="H32" s="273"/>
      <c r="I32" s="273"/>
      <c r="J32" s="264"/>
      <c r="K32" s="47"/>
      <c r="L32" s="47"/>
      <c r="M32" s="14"/>
      <c r="N32" s="12"/>
      <c r="O32" s="12"/>
      <c r="P32" s="46">
        <f>P30+P31</f>
        <v>2.82138</v>
      </c>
      <c r="Q32" s="14"/>
      <c r="R32" s="14"/>
      <c r="S32" s="238">
        <f>S31*20%</f>
        <v>1.526</v>
      </c>
      <c r="T32" s="14"/>
      <c r="U32" s="9"/>
      <c r="X32" s="4"/>
    </row>
    <row r="33" spans="1:24" ht="17.399999999999999" x14ac:dyDescent="0.35">
      <c r="B33" s="235"/>
      <c r="C33" s="236"/>
      <c r="D33" s="237"/>
      <c r="E33" s="235"/>
      <c r="F33" s="230"/>
      <c r="G33" s="230"/>
      <c r="I33" s="273"/>
      <c r="J33" s="264"/>
      <c r="K33" s="47"/>
      <c r="L33" s="47"/>
      <c r="M33" s="14"/>
      <c r="N33" s="14"/>
      <c r="O33" s="14"/>
      <c r="P33" s="14"/>
      <c r="Q33" s="14"/>
      <c r="R33" s="14"/>
      <c r="S33" s="240">
        <f>S31+S32</f>
        <v>9.1560000000000006</v>
      </c>
      <c r="T33" s="14"/>
      <c r="U33" s="294" t="s">
        <v>21</v>
      </c>
      <c r="V33" s="291" t="s">
        <v>149</v>
      </c>
      <c r="W33" s="295">
        <v>44971</v>
      </c>
      <c r="X33" s="296"/>
    </row>
    <row r="34" spans="1:24" ht="17.399999999999999" x14ac:dyDescent="0.35">
      <c r="B34" s="230"/>
      <c r="C34" s="230"/>
      <c r="D34" s="230"/>
      <c r="E34" s="230"/>
      <c r="F34" s="230"/>
      <c r="G34" s="230"/>
      <c r="J34" s="264"/>
      <c r="K34" s="47"/>
      <c r="L34" s="47"/>
      <c r="M34" s="39">
        <f>P32</f>
        <v>2.82138</v>
      </c>
      <c r="N34" s="12">
        <v>4000</v>
      </c>
      <c r="O34" s="12">
        <f t="shared" ref="O34:O39" si="12">M34*N34</f>
        <v>11285.52</v>
      </c>
      <c r="P34" s="14" t="s">
        <v>21</v>
      </c>
      <c r="Q34" s="14"/>
      <c r="R34" s="14"/>
      <c r="S34" s="241"/>
      <c r="T34" s="14"/>
      <c r="U34" s="294" t="s">
        <v>150</v>
      </c>
      <c r="V34" s="291">
        <v>3625</v>
      </c>
      <c r="W34" s="59" t="s">
        <v>151</v>
      </c>
      <c r="X34" s="296"/>
    </row>
    <row r="35" spans="1:24" ht="17.399999999999999" x14ac:dyDescent="0.35">
      <c r="A35" s="230"/>
      <c r="B35" s="230"/>
      <c r="C35" s="230"/>
      <c r="D35" s="230"/>
      <c r="E35" s="230"/>
      <c r="F35" s="230"/>
      <c r="G35" s="230"/>
      <c r="H35" s="230"/>
      <c r="J35" s="264"/>
      <c r="K35" s="47"/>
      <c r="L35" s="47"/>
      <c r="M35" s="248">
        <v>0.8</v>
      </c>
      <c r="N35" s="12">
        <v>25000</v>
      </c>
      <c r="O35" s="12">
        <f t="shared" si="12"/>
        <v>20000</v>
      </c>
      <c r="P35" s="39" t="s">
        <v>31</v>
      </c>
      <c r="Q35" s="42"/>
      <c r="R35" s="14"/>
      <c r="S35" s="240"/>
      <c r="T35" s="14"/>
      <c r="U35" s="294"/>
      <c r="V35" s="59">
        <v>906.25</v>
      </c>
      <c r="W35" s="59" t="s">
        <v>152</v>
      </c>
      <c r="X35" s="296"/>
    </row>
    <row r="36" spans="1:24" s="230" customFormat="1" ht="17.399999999999999" x14ac:dyDescent="0.35">
      <c r="B36" s="24" t="s">
        <v>148</v>
      </c>
      <c r="J36" s="261"/>
      <c r="K36" s="232"/>
      <c r="L36" s="249"/>
      <c r="M36" s="14">
        <v>1</v>
      </c>
      <c r="N36" s="249">
        <v>107000</v>
      </c>
      <c r="O36" s="12">
        <f t="shared" si="12"/>
        <v>107000</v>
      </c>
      <c r="P36" s="39" t="s">
        <v>30</v>
      </c>
      <c r="Q36" s="42"/>
      <c r="S36" s="240"/>
      <c r="T36" s="255"/>
      <c r="U36" s="59"/>
      <c r="V36" s="59">
        <f>V35*20%</f>
        <v>181.25</v>
      </c>
      <c r="W36" s="296" t="s">
        <v>153</v>
      </c>
      <c r="X36" s="59"/>
    </row>
    <row r="37" spans="1:24" s="230" customFormat="1" ht="17.399999999999999" x14ac:dyDescent="0.35">
      <c r="B37" s="24" t="s">
        <v>162</v>
      </c>
      <c r="C37"/>
      <c r="D37"/>
      <c r="E37"/>
      <c r="F37"/>
      <c r="J37" s="261"/>
      <c r="K37" s="232"/>
      <c r="L37" s="249"/>
      <c r="M37" s="14"/>
      <c r="N37" s="249"/>
      <c r="O37" s="12">
        <f t="shared" si="12"/>
        <v>0</v>
      </c>
      <c r="P37" s="14" t="s">
        <v>139</v>
      </c>
      <c r="Q37" s="17"/>
      <c r="S37" s="238"/>
      <c r="T37" s="255"/>
      <c r="U37" s="59"/>
      <c r="V37" s="59">
        <f>V35+V36</f>
        <v>1087.5</v>
      </c>
      <c r="W37" s="296" t="s">
        <v>154</v>
      </c>
      <c r="X37" s="59"/>
    </row>
    <row r="38" spans="1:24" s="230" customFormat="1" ht="17.399999999999999" x14ac:dyDescent="0.35">
      <c r="A38" s="230" t="s">
        <v>283</v>
      </c>
      <c r="B38" s="29" t="s">
        <v>124</v>
      </c>
      <c r="C38"/>
      <c r="D38"/>
      <c r="E38"/>
      <c r="F38" s="229" t="s">
        <v>15</v>
      </c>
      <c r="J38" s="261"/>
      <c r="K38" s="259"/>
      <c r="L38" s="249"/>
      <c r="M38" s="248"/>
      <c r="N38" s="249">
        <v>900</v>
      </c>
      <c r="O38" s="12">
        <f t="shared" si="12"/>
        <v>0</v>
      </c>
      <c r="P38" s="14" t="s">
        <v>32</v>
      </c>
      <c r="Q38" s="14"/>
      <c r="R38" s="230">
        <v>1.52</v>
      </c>
      <c r="S38" s="238"/>
      <c r="T38" s="238"/>
    </row>
    <row r="39" spans="1:24" s="230" customFormat="1" ht="17.399999999999999" x14ac:dyDescent="0.35">
      <c r="J39" s="286"/>
      <c r="K39" s="259"/>
      <c r="L39" s="249"/>
      <c r="M39" s="265"/>
      <c r="N39" s="12">
        <v>2000</v>
      </c>
      <c r="O39" s="12">
        <f t="shared" si="12"/>
        <v>0</v>
      </c>
      <c r="P39" s="14" t="s">
        <v>22</v>
      </c>
      <c r="Q39" s="14"/>
      <c r="R39">
        <v>2.44</v>
      </c>
      <c r="S39"/>
      <c r="T39" s="238"/>
      <c r="X39" s="231"/>
    </row>
    <row r="40" spans="1:24" s="230" customFormat="1" ht="17.399999999999999" x14ac:dyDescent="0.35">
      <c r="K40" s="259"/>
      <c r="L40" s="249"/>
      <c r="M40" s="14"/>
      <c r="N40" s="12"/>
      <c r="O40" s="12">
        <f>SUM(O34:O39)</f>
        <v>138285.51999999999</v>
      </c>
      <c r="P40" s="39" t="s">
        <v>23</v>
      </c>
      <c r="Q40" s="14"/>
      <c r="R40">
        <f>R38*R39</f>
        <v>3.7088000000000001</v>
      </c>
      <c r="S40"/>
      <c r="T40" s="238"/>
      <c r="X40" s="231"/>
    </row>
    <row r="41" spans="1:24" s="230" customFormat="1" ht="17.399999999999999" x14ac:dyDescent="0.35">
      <c r="L41" s="249"/>
      <c r="M41" s="253" t="s">
        <v>33</v>
      </c>
      <c r="N41" s="12"/>
      <c r="O41" s="254">
        <f>O40*2.2</f>
        <v>304228.14400000003</v>
      </c>
      <c r="P41" s="14" t="s">
        <v>138</v>
      </c>
      <c r="Q41" s="14"/>
      <c r="R41" s="40">
        <f>P32/R40</f>
        <v>0.76072584124245035</v>
      </c>
      <c r="S41"/>
      <c r="T41" s="256"/>
    </row>
    <row r="42" spans="1:24" s="230" customFormat="1" ht="17.399999999999999" x14ac:dyDescent="0.35">
      <c r="G42"/>
      <c r="H42" s="259"/>
      <c r="I42" s="259"/>
      <c r="J42" s="259"/>
      <c r="K42" s="230">
        <v>33790</v>
      </c>
      <c r="L42" s="249"/>
      <c r="M42" s="14"/>
      <c r="N42" s="12"/>
      <c r="O42" s="12">
        <f>O41/P30</f>
        <v>129395.46349658679</v>
      </c>
      <c r="P42" s="45" t="s">
        <v>24</v>
      </c>
      <c r="Q42" s="14"/>
      <c r="R42" s="14"/>
      <c r="S42"/>
      <c r="T42" s="238"/>
      <c r="U42" s="59" t="s">
        <v>155</v>
      </c>
      <c r="V42" s="291">
        <v>43650</v>
      </c>
    </row>
    <row r="43" spans="1:24" s="230" customFormat="1" ht="17.399999999999999" x14ac:dyDescent="0.35">
      <c r="G43"/>
      <c r="K43" s="230">
        <f>K42/1.19</f>
        <v>28394.957983193279</v>
      </c>
      <c r="L43" s="249"/>
      <c r="M43" s="13"/>
      <c r="N43" s="14"/>
      <c r="O43" s="17">
        <f>O41/O40</f>
        <v>2.2000000000000002</v>
      </c>
      <c r="P43" s="15"/>
      <c r="Q43"/>
      <c r="R43"/>
      <c r="S43"/>
      <c r="T43" s="238"/>
      <c r="U43" s="59" t="s">
        <v>157</v>
      </c>
      <c r="V43" s="292" t="s">
        <v>156</v>
      </c>
      <c r="W43" s="59">
        <v>2.4</v>
      </c>
    </row>
    <row r="44" spans="1:24" s="230" customFormat="1" ht="17.399999999999999" x14ac:dyDescent="0.35">
      <c r="G44" s="23"/>
      <c r="L44" s="12"/>
      <c r="T44" s="238"/>
      <c r="U44" s="59" t="s">
        <v>158</v>
      </c>
      <c r="V44" s="293">
        <v>395.37</v>
      </c>
    </row>
    <row r="45" spans="1:24" s="230" customFormat="1" ht="17.399999999999999" x14ac:dyDescent="0.35">
      <c r="B45"/>
      <c r="C45" s="228"/>
      <c r="D45" s="22"/>
      <c r="E45" s="22"/>
      <c r="F45" s="21"/>
      <c r="G45" s="23"/>
      <c r="L45" s="12"/>
      <c r="T45" s="238"/>
      <c r="U45" s="59" t="s">
        <v>153</v>
      </c>
      <c r="V45" s="59">
        <v>474.45</v>
      </c>
    </row>
    <row r="46" spans="1:24" ht="14.4" customHeight="1" x14ac:dyDescent="0.3">
      <c r="L46" s="12"/>
      <c r="U46" s="59"/>
      <c r="V46" s="59"/>
    </row>
    <row r="47" spans="1:24" x14ac:dyDescent="0.3">
      <c r="L47" s="249"/>
    </row>
    <row r="48" spans="1:24" x14ac:dyDescent="0.3">
      <c r="L48" s="249"/>
      <c r="T48" s="269"/>
    </row>
    <row r="49" spans="12:20" x14ac:dyDescent="0.3">
      <c r="L49" s="249"/>
    </row>
    <row r="50" spans="12:20" ht="15" customHeight="1" x14ac:dyDescent="0.3"/>
    <row r="52" spans="12:20" x14ac:dyDescent="0.3">
      <c r="O52">
        <v>40935</v>
      </c>
      <c r="P52" t="s">
        <v>16</v>
      </c>
      <c r="Q52" t="s">
        <v>26</v>
      </c>
    </row>
    <row r="54" spans="12:20" x14ac:dyDescent="0.3">
      <c r="O54" s="54"/>
      <c r="P54" s="54"/>
    </row>
    <row r="55" spans="12:20" x14ac:dyDescent="0.3">
      <c r="S55" s="18"/>
      <c r="T55" s="18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6" spans="3:15" x14ac:dyDescent="0.3">
      <c r="O66" s="43"/>
    </row>
    <row r="67" spans="3:15" x14ac:dyDescent="0.3">
      <c r="O67" s="43"/>
    </row>
    <row r="68" spans="3:15" x14ac:dyDescent="0.3">
      <c r="O68" s="6"/>
    </row>
    <row r="69" spans="3:15" x14ac:dyDescent="0.3">
      <c r="O69" s="6"/>
    </row>
    <row r="77" spans="3:15" x14ac:dyDescent="0.3">
      <c r="C77" t="s">
        <v>145</v>
      </c>
    </row>
    <row r="78" spans="3:15" x14ac:dyDescent="0.3">
      <c r="C78" t="s">
        <v>144</v>
      </c>
    </row>
    <row r="81" spans="3:3" x14ac:dyDescent="0.3">
      <c r="C81" t="s">
        <v>144</v>
      </c>
    </row>
    <row r="158" spans="3:3" x14ac:dyDescent="0.3">
      <c r="C158" t="s">
        <v>144</v>
      </c>
    </row>
    <row r="159" spans="3:3" x14ac:dyDescent="0.3">
      <c r="C159" t="s">
        <v>146</v>
      </c>
    </row>
    <row r="160" spans="3:3" x14ac:dyDescent="0.3">
      <c r="C160" t="s">
        <v>147</v>
      </c>
    </row>
    <row r="585" spans="3:3" x14ac:dyDescent="0.3">
      <c r="C585" t="s">
        <v>144</v>
      </c>
    </row>
  </sheetData>
  <mergeCells count="1">
    <mergeCell ref="B19:H19"/>
  </mergeCells>
  <phoneticPr fontId="32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46168</v>
      </c>
    </row>
    <row r="6" spans="2:31" ht="16.2" thickBot="1" x14ac:dyDescent="0.35">
      <c r="B6" s="140" t="s">
        <v>2</v>
      </c>
      <c r="C6" s="139" t="str">
        <f>'2229'!C10</f>
        <v>MARCELO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50" t="s">
        <v>98</v>
      </c>
      <c r="I7" s="451"/>
      <c r="J7" s="451"/>
      <c r="K7" s="452"/>
      <c r="N7" s="75"/>
      <c r="O7" s="44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12168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4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-6471.7977001207955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'2229'!H28</f>
        <v>316228.14400000009</v>
      </c>
      <c r="E11" s="132">
        <f>D11*0.19</f>
        <v>60083.347360000014</v>
      </c>
      <c r="F11" s="131">
        <f>E11+D11</f>
        <v>376311.4913600001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99518.202299879209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168119.6107874396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81518.202299879209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148108.53321256049</v>
      </c>
      <c r="E13" s="221">
        <f>(D11/D12)-1</f>
        <v>0.88097118782781436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72518.202299879209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33518.202299879202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277397.35779927531</v>
      </c>
      <c r="F15" s="216">
        <f>E15-D12</f>
        <v>109277.74701183572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33518.202299879202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73518.202299879209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'2229'!O36</f>
        <v>107000</v>
      </c>
      <c r="E18" s="123">
        <f>D18*0.19</f>
        <v>20330</v>
      </c>
      <c r="F18" s="120">
        <f>SUM(D18:E18)</f>
        <v>127330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'2229'!O35</f>
        <v>20000</v>
      </c>
      <c r="E19" s="123">
        <f>D19*0.19</f>
        <v>3800</v>
      </c>
      <c r="F19" s="120">
        <f>SUM(D19:E19)</f>
        <v>23800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'2229'!O34</f>
        <v>11285.52</v>
      </c>
      <c r="E20" s="121">
        <f>D20*0.19</f>
        <v>2144.2488000000003</v>
      </c>
      <c r="F20" s="120">
        <f>SUM(D20:E20)</f>
        <v>13429.768800000002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138285.51999999999</v>
      </c>
      <c r="E21" s="116">
        <f>SUM(E18:E20)</f>
        <v>26274.248800000001</v>
      </c>
      <c r="F21" s="115">
        <f>SUM(F18:F20)</f>
        <v>164559.76879999999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33809.098560000013</v>
      </c>
    </row>
    <row r="41" spans="2:16" ht="15" thickBot="1" x14ac:dyDescent="0.35">
      <c r="H41" s="453" t="s">
        <v>60</v>
      </c>
      <c r="I41" s="454"/>
      <c r="J41" s="454"/>
      <c r="K41" s="454"/>
      <c r="L41" s="454"/>
      <c r="M41" s="45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316228.14400000009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138285.51999999999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148108.53321256049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148108.53321256049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4" t="s">
        <v>125</v>
      </c>
      <c r="C8" s="315"/>
      <c r="D8" s="316" t="str">
        <f>'2229'!D8</f>
        <v>N° 12168</v>
      </c>
      <c r="E8" s="138"/>
      <c r="F8" s="317" t="s">
        <v>165</v>
      </c>
      <c r="G8" s="318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8" t="s">
        <v>166</v>
      </c>
      <c r="C10" s="349" t="str">
        <f>IF('2229'!C10="","",'2229'!C10)</f>
        <v>MARCELO</v>
      </c>
      <c r="D10" s="349"/>
      <c r="E10" s="349"/>
      <c r="F10" s="350" t="s">
        <v>167</v>
      </c>
      <c r="G10" s="351">
        <f>'2229'!G10</f>
        <v>46168</v>
      </c>
      <c r="H10" s="352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8" t="s">
        <v>12</v>
      </c>
      <c r="C11" s="246" t="str">
        <f>IF('2229'!C11="","",'2229'!C11)</f>
        <v/>
      </c>
      <c r="D11" s="344"/>
      <c r="E11" s="344"/>
      <c r="F11" s="344" t="s">
        <v>168</v>
      </c>
      <c r="G11" s="339">
        <f>WORKDAY(G10,5)</f>
        <v>46175</v>
      </c>
      <c r="H11" s="340"/>
      <c r="I11" s="138"/>
    </row>
    <row r="12" spans="1:17" ht="15.6" x14ac:dyDescent="0.3">
      <c r="A12" s="138"/>
      <c r="B12" s="353" t="s">
        <v>169</v>
      </c>
      <c r="C12" s="354" t="str">
        <f>IF('2229'!C12="","",'2229'!C12)</f>
        <v/>
      </c>
      <c r="D12" s="354"/>
      <c r="E12" s="354"/>
      <c r="F12" s="354" t="s">
        <v>181</v>
      </c>
      <c r="G12" s="354" t="str">
        <f>'2229'!G14</f>
        <v>NO</v>
      </c>
      <c r="H12" s="355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5"/>
      <c r="H13" s="247"/>
      <c r="I13" s="138"/>
    </row>
    <row r="14" spans="1:17" ht="15.6" x14ac:dyDescent="0.3">
      <c r="A14" s="138"/>
      <c r="B14" s="353" t="s">
        <v>137</v>
      </c>
      <c r="C14" s="354" t="str">
        <f>IF('2229'!C14="","",'2229'!C14)</f>
        <v/>
      </c>
      <c r="D14" s="354"/>
      <c r="E14" s="354"/>
      <c r="F14" s="354" t="s">
        <v>171</v>
      </c>
      <c r="G14" s="356" t="s">
        <v>172</v>
      </c>
      <c r="H14" s="355"/>
      <c r="I14" s="138"/>
    </row>
    <row r="15" spans="1:17" ht="15.6" x14ac:dyDescent="0.3">
      <c r="A15" s="138"/>
      <c r="B15" s="338" t="s">
        <v>4</v>
      </c>
      <c r="C15" s="246" t="str">
        <f>IF('2229'!C15="","",'2229'!C15)</f>
        <v>+569 9965 7489</v>
      </c>
      <c r="D15" s="346"/>
      <c r="E15" s="344"/>
      <c r="F15" s="344" t="s">
        <v>173</v>
      </c>
      <c r="G15" s="344" t="str">
        <f>'2229'!G12</f>
        <v>NO</v>
      </c>
      <c r="H15" s="340"/>
      <c r="I15" s="138"/>
    </row>
    <row r="16" spans="1:17" ht="15.6" x14ac:dyDescent="0.3">
      <c r="A16" s="138"/>
      <c r="B16" s="353" t="s">
        <v>3</v>
      </c>
      <c r="C16" s="354" t="str">
        <f>IF('2229'!C16="","",'2229'!C16)</f>
        <v/>
      </c>
      <c r="D16" s="354"/>
      <c r="E16" s="354"/>
      <c r="F16" s="354" t="s">
        <v>174</v>
      </c>
      <c r="G16" s="354" t="str">
        <f>'2229'!G16</f>
        <v>ABONO 50% SALDO C/ENTREGA</v>
      </c>
      <c r="H16" s="355"/>
      <c r="I16" s="138"/>
    </row>
    <row r="17" spans="1:16" ht="16.2" thickBot="1" x14ac:dyDescent="0.35">
      <c r="A17" s="138"/>
      <c r="B17" s="341" t="s">
        <v>13</v>
      </c>
      <c r="C17" s="347" t="str">
        <f>IF('2229'!C17="","",'2229'!C17)</f>
        <v>SANTIAGO</v>
      </c>
      <c r="D17" s="342"/>
      <c r="E17" s="343"/>
      <c r="F17" s="456" t="s">
        <v>175</v>
      </c>
      <c r="G17" s="456"/>
      <c r="H17" s="457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8" t="s">
        <v>176</v>
      </c>
      <c r="C20" s="459"/>
      <c r="D20" s="459"/>
      <c r="E20" s="459"/>
      <c r="F20" s="459"/>
      <c r="G20" s="459"/>
      <c r="H20" s="460"/>
      <c r="I20" s="138"/>
    </row>
    <row r="21" spans="1:16" ht="16.2" thickBot="1" x14ac:dyDescent="0.35">
      <c r="A21" s="138"/>
      <c r="B21" s="357" t="s">
        <v>7</v>
      </c>
      <c r="C21" s="358" t="s">
        <v>1</v>
      </c>
      <c r="D21" s="358" t="s">
        <v>10</v>
      </c>
      <c r="E21" s="358" t="s">
        <v>11</v>
      </c>
      <c r="F21" s="359" t="s">
        <v>8</v>
      </c>
      <c r="G21" s="357" t="s">
        <v>5</v>
      </c>
      <c r="H21" s="359" t="s">
        <v>6</v>
      </c>
      <c r="I21" s="138"/>
    </row>
    <row r="22" spans="1:16" ht="15.6" x14ac:dyDescent="0.3">
      <c r="A22" s="138"/>
      <c r="B22" s="311">
        <f>'2229'!B21</f>
        <v>1</v>
      </c>
      <c r="C22" s="312" t="str">
        <f>'2229'!C21</f>
        <v>CUB MESA 2 LADOS R6</v>
      </c>
      <c r="D22" s="320">
        <f>'2229'!D21*1000</f>
        <v>1268</v>
      </c>
      <c r="E22" s="320">
        <f>'2229'!E21*1000</f>
        <v>675</v>
      </c>
      <c r="F22" s="321" t="str">
        <f>'2229'!F21</f>
        <v>MINERAL STEEL 3166 MT CA</v>
      </c>
      <c r="G22" s="313">
        <f>'2229'!G21</f>
        <v>110749.57720672865</v>
      </c>
      <c r="H22" s="322">
        <f>G22*B22</f>
        <v>110749.57720672865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3"/>
      <c r="H23" s="323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4"/>
      <c r="G24" s="323"/>
      <c r="H24" s="323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6" t="s">
        <v>28</v>
      </c>
      <c r="H25" s="327">
        <f>SUM(H22:H24)</f>
        <v>110749.57720672865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8" t="s">
        <v>29</v>
      </c>
      <c r="H26" s="329">
        <f>H25*19%</f>
        <v>21042.419669278443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0" t="s">
        <v>6</v>
      </c>
      <c r="H27" s="331">
        <f>H25+H26</f>
        <v>131791.99687600709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2"/>
      <c r="H28" s="333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4" t="s">
        <v>177</v>
      </c>
      <c r="C30" s="335"/>
      <c r="D30" s="336"/>
      <c r="E30" s="336"/>
      <c r="F30" s="325"/>
      <c r="G30" s="138"/>
      <c r="H30" s="138"/>
      <c r="I30" s="138"/>
    </row>
    <row r="31" spans="1:16" ht="15.6" x14ac:dyDescent="0.3">
      <c r="A31" s="138"/>
      <c r="B31" s="334" t="s">
        <v>178</v>
      </c>
      <c r="C31" s="335"/>
      <c r="D31" s="336"/>
      <c r="E31" s="336"/>
      <c r="F31" s="325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7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61" t="s">
        <v>182</v>
      </c>
      <c r="C2" s="461"/>
      <c r="D2" s="461"/>
      <c r="E2" s="360"/>
      <c r="G2" s="461" t="s">
        <v>183</v>
      </c>
      <c r="H2" s="461"/>
      <c r="I2" s="461"/>
      <c r="P2" s="462" t="s">
        <v>184</v>
      </c>
      <c r="Q2" s="462"/>
      <c r="R2" s="462"/>
    </row>
    <row r="3" spans="2:18" x14ac:dyDescent="0.3">
      <c r="B3" s="362" t="s">
        <v>130</v>
      </c>
      <c r="C3" s="362" t="s">
        <v>11</v>
      </c>
      <c r="D3" s="362" t="s">
        <v>1</v>
      </c>
      <c r="E3" s="363"/>
      <c r="G3" s="362" t="s">
        <v>130</v>
      </c>
      <c r="H3" s="362" t="s">
        <v>11</v>
      </c>
      <c r="I3" s="362" t="s">
        <v>1</v>
      </c>
      <c r="P3" s="362" t="s">
        <v>130</v>
      </c>
      <c r="Q3" s="362" t="s">
        <v>11</v>
      </c>
      <c r="R3" s="362" t="s">
        <v>1</v>
      </c>
    </row>
    <row r="4" spans="2:18" x14ac:dyDescent="0.3">
      <c r="B4" s="364">
        <v>40</v>
      </c>
      <c r="C4" s="364">
        <v>60</v>
      </c>
      <c r="D4" s="365" t="s">
        <v>185</v>
      </c>
      <c r="E4" s="246" t="s">
        <v>186</v>
      </c>
      <c r="G4" s="361">
        <v>50</v>
      </c>
      <c r="H4" s="361">
        <v>100</v>
      </c>
      <c r="I4" s="366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4">
        <v>40</v>
      </c>
      <c r="C5" s="364">
        <v>90</v>
      </c>
      <c r="D5" s="365" t="s">
        <v>189</v>
      </c>
      <c r="E5" s="246" t="s">
        <v>190</v>
      </c>
      <c r="G5" s="361">
        <v>50</v>
      </c>
      <c r="H5" s="361"/>
      <c r="I5" s="366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4">
        <v>40</v>
      </c>
      <c r="C6" s="364">
        <v>100</v>
      </c>
      <c r="D6" s="365" t="s">
        <v>193</v>
      </c>
      <c r="E6" s="246" t="s">
        <v>194</v>
      </c>
      <c r="G6" s="364">
        <v>50</v>
      </c>
      <c r="H6" s="364">
        <v>100</v>
      </c>
      <c r="I6" s="365" t="s">
        <v>193</v>
      </c>
      <c r="P6">
        <v>50</v>
      </c>
      <c r="Q6">
        <v>-30</v>
      </c>
      <c r="R6" t="s">
        <v>195</v>
      </c>
    </row>
    <row r="7" spans="2:18" x14ac:dyDescent="0.3">
      <c r="B7" s="364">
        <v>40</v>
      </c>
      <c r="C7" s="364">
        <v>150</v>
      </c>
      <c r="D7" s="365" t="s">
        <v>196</v>
      </c>
      <c r="E7" s="246" t="s">
        <v>197</v>
      </c>
      <c r="G7" s="364">
        <v>50</v>
      </c>
      <c r="H7" s="364"/>
      <c r="I7" s="365" t="s">
        <v>196</v>
      </c>
      <c r="P7">
        <v>50</v>
      </c>
      <c r="Q7">
        <v>-30</v>
      </c>
      <c r="R7" t="s">
        <v>198</v>
      </c>
    </row>
    <row r="8" spans="2:18" x14ac:dyDescent="0.3">
      <c r="B8" s="364">
        <v>40</v>
      </c>
      <c r="C8" s="364">
        <v>100</v>
      </c>
      <c r="D8" s="365" t="s">
        <v>199</v>
      </c>
      <c r="E8" s="246" t="s">
        <v>200</v>
      </c>
      <c r="G8" s="364">
        <v>50</v>
      </c>
      <c r="H8" s="364">
        <v>100</v>
      </c>
      <c r="I8" s="365" t="s">
        <v>199</v>
      </c>
      <c r="L8" s="462" t="s">
        <v>184</v>
      </c>
      <c r="M8" s="462"/>
      <c r="N8" s="462"/>
      <c r="P8">
        <v>50</v>
      </c>
      <c r="Q8">
        <v>-30</v>
      </c>
      <c r="R8" t="s">
        <v>201</v>
      </c>
    </row>
    <row r="9" spans="2:18" x14ac:dyDescent="0.3">
      <c r="B9" s="364">
        <v>40</v>
      </c>
      <c r="C9" s="364">
        <v>50</v>
      </c>
      <c r="D9" s="365" t="s">
        <v>202</v>
      </c>
      <c r="E9" s="246" t="s">
        <v>203</v>
      </c>
      <c r="G9" s="364">
        <v>50</v>
      </c>
      <c r="H9" s="364">
        <v>100</v>
      </c>
      <c r="I9" s="365" t="s">
        <v>204</v>
      </c>
      <c r="L9" s="362" t="s">
        <v>130</v>
      </c>
      <c r="M9" s="362" t="s">
        <v>11</v>
      </c>
      <c r="N9" s="362" t="s">
        <v>1</v>
      </c>
      <c r="P9">
        <v>50</v>
      </c>
      <c r="Q9">
        <v>0</v>
      </c>
      <c r="R9" t="s">
        <v>205</v>
      </c>
    </row>
    <row r="10" spans="2:18" x14ac:dyDescent="0.3">
      <c r="B10" s="364">
        <v>40</v>
      </c>
      <c r="C10" s="364">
        <v>80</v>
      </c>
      <c r="D10" s="365" t="s">
        <v>206</v>
      </c>
      <c r="E10" s="246" t="s">
        <v>207</v>
      </c>
      <c r="G10" s="364">
        <v>50</v>
      </c>
      <c r="H10" s="364"/>
      <c r="I10" s="365" t="s">
        <v>208</v>
      </c>
      <c r="L10" s="364">
        <v>50</v>
      </c>
      <c r="M10" s="364">
        <v>-30</v>
      </c>
      <c r="N10" s="365" t="s">
        <v>188</v>
      </c>
      <c r="P10">
        <v>50</v>
      </c>
      <c r="Q10">
        <v>0</v>
      </c>
      <c r="R10" t="s">
        <v>209</v>
      </c>
    </row>
    <row r="11" spans="2:18" x14ac:dyDescent="0.3">
      <c r="B11" s="364">
        <v>40</v>
      </c>
      <c r="C11" s="364">
        <v>60</v>
      </c>
      <c r="D11" s="365" t="s">
        <v>210</v>
      </c>
      <c r="E11" s="246" t="s">
        <v>211</v>
      </c>
      <c r="G11" s="364">
        <v>50</v>
      </c>
      <c r="H11" s="364">
        <v>100</v>
      </c>
      <c r="I11" s="365" t="s">
        <v>202</v>
      </c>
      <c r="L11" s="364">
        <v>50</v>
      </c>
      <c r="M11" s="364">
        <v>0</v>
      </c>
      <c r="N11" s="365" t="s">
        <v>212</v>
      </c>
      <c r="P11">
        <v>50</v>
      </c>
      <c r="Q11">
        <v>0</v>
      </c>
      <c r="R11" t="s">
        <v>213</v>
      </c>
    </row>
    <row r="12" spans="2:18" x14ac:dyDescent="0.3">
      <c r="B12" s="364">
        <v>40</v>
      </c>
      <c r="C12" s="364">
        <v>100</v>
      </c>
      <c r="D12" s="365" t="s">
        <v>214</v>
      </c>
      <c r="E12" s="246" t="s">
        <v>215</v>
      </c>
      <c r="G12" s="364">
        <v>50</v>
      </c>
      <c r="H12" s="364"/>
      <c r="I12" s="365" t="s">
        <v>206</v>
      </c>
      <c r="L12" s="364">
        <v>50</v>
      </c>
      <c r="M12" s="364">
        <v>-2</v>
      </c>
      <c r="N12" s="365" t="s">
        <v>216</v>
      </c>
      <c r="P12">
        <v>50</v>
      </c>
      <c r="Q12">
        <v>0</v>
      </c>
      <c r="R12" t="s">
        <v>217</v>
      </c>
    </row>
    <row r="13" spans="2:18" x14ac:dyDescent="0.3">
      <c r="B13" s="364">
        <v>40</v>
      </c>
      <c r="C13" s="364">
        <v>130</v>
      </c>
      <c r="D13" s="365" t="s">
        <v>218</v>
      </c>
      <c r="E13" s="246" t="s">
        <v>219</v>
      </c>
      <c r="G13" s="364">
        <v>50</v>
      </c>
      <c r="H13" s="364">
        <v>-30</v>
      </c>
      <c r="I13" s="365" t="s">
        <v>188</v>
      </c>
      <c r="P13">
        <v>50</v>
      </c>
      <c r="Q13">
        <v>0</v>
      </c>
      <c r="R13" t="s">
        <v>220</v>
      </c>
    </row>
    <row r="14" spans="2:18" x14ac:dyDescent="0.3">
      <c r="B14" s="364">
        <v>40</v>
      </c>
      <c r="C14" s="364">
        <v>150</v>
      </c>
      <c r="D14" s="365" t="s">
        <v>195</v>
      </c>
      <c r="E14" s="246"/>
      <c r="G14" s="364">
        <v>50</v>
      </c>
      <c r="H14" s="364">
        <v>-30</v>
      </c>
      <c r="I14" s="365" t="s">
        <v>195</v>
      </c>
    </row>
    <row r="15" spans="2:18" x14ac:dyDescent="0.3">
      <c r="B15" s="364">
        <v>40</v>
      </c>
      <c r="C15" s="364">
        <v>150</v>
      </c>
      <c r="D15" s="365" t="s">
        <v>221</v>
      </c>
      <c r="E15" s="246" t="s">
        <v>222</v>
      </c>
      <c r="G15" s="364">
        <v>50</v>
      </c>
      <c r="H15" s="364">
        <v>-30</v>
      </c>
      <c r="I15" s="365" t="s">
        <v>198</v>
      </c>
      <c r="P15">
        <v>50</v>
      </c>
      <c r="Q15">
        <v>0</v>
      </c>
      <c r="R15" t="s">
        <v>223</v>
      </c>
    </row>
    <row r="16" spans="2:18" x14ac:dyDescent="0.3">
      <c r="B16" s="364">
        <v>40</v>
      </c>
      <c r="C16" s="364">
        <v>130</v>
      </c>
      <c r="D16" s="365" t="s">
        <v>224</v>
      </c>
      <c r="E16" s="246" t="s">
        <v>225</v>
      </c>
      <c r="G16" s="364">
        <v>50</v>
      </c>
      <c r="H16" s="364">
        <v>-30</v>
      </c>
      <c r="I16" s="365" t="s">
        <v>226</v>
      </c>
      <c r="P16">
        <v>50</v>
      </c>
      <c r="Q16">
        <v>0</v>
      </c>
      <c r="R16" t="s">
        <v>227</v>
      </c>
    </row>
    <row r="17" spans="2:18" x14ac:dyDescent="0.3">
      <c r="B17" s="364">
        <v>40</v>
      </c>
      <c r="C17" s="364">
        <v>150</v>
      </c>
      <c r="D17" s="365" t="s">
        <v>213</v>
      </c>
      <c r="E17" s="246" t="s">
        <v>228</v>
      </c>
      <c r="G17" s="364">
        <v>50</v>
      </c>
      <c r="H17" s="364"/>
      <c r="I17" s="365" t="s">
        <v>213</v>
      </c>
      <c r="P17">
        <v>50</v>
      </c>
      <c r="Q17">
        <v>0</v>
      </c>
      <c r="R17" t="s">
        <v>229</v>
      </c>
    </row>
    <row r="18" spans="2:18" x14ac:dyDescent="0.3">
      <c r="B18" s="364">
        <v>140</v>
      </c>
      <c r="C18" s="364">
        <v>150</v>
      </c>
      <c r="D18" s="365" t="s">
        <v>217</v>
      </c>
      <c r="E18" s="246" t="s">
        <v>230</v>
      </c>
      <c r="G18" s="364">
        <v>50</v>
      </c>
      <c r="H18" s="364"/>
      <c r="I18" s="365" t="s">
        <v>217</v>
      </c>
      <c r="P18">
        <v>50</v>
      </c>
      <c r="Q18">
        <v>0</v>
      </c>
      <c r="R18" t="s">
        <v>231</v>
      </c>
    </row>
    <row r="19" spans="2:18" x14ac:dyDescent="0.3">
      <c r="B19" s="364">
        <v>150</v>
      </c>
      <c r="C19" s="364">
        <v>150</v>
      </c>
      <c r="D19" s="365" t="s">
        <v>220</v>
      </c>
      <c r="E19" s="246" t="s">
        <v>232</v>
      </c>
      <c r="G19" s="364">
        <v>50</v>
      </c>
      <c r="H19" s="364"/>
      <c r="I19" s="365" t="s">
        <v>220</v>
      </c>
      <c r="P19">
        <v>50</v>
      </c>
      <c r="Q19">
        <v>0</v>
      </c>
      <c r="R19" t="s">
        <v>233</v>
      </c>
    </row>
    <row r="20" spans="2:18" x14ac:dyDescent="0.3">
      <c r="B20" s="364">
        <v>40</v>
      </c>
      <c r="C20" s="364">
        <v>100</v>
      </c>
      <c r="D20" s="365" t="s">
        <v>234</v>
      </c>
      <c r="E20" s="246" t="s">
        <v>235</v>
      </c>
      <c r="G20" s="364">
        <v>50</v>
      </c>
      <c r="H20" s="364">
        <v>0</v>
      </c>
      <c r="I20" s="365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4">
        <v>100</v>
      </c>
      <c r="C21" s="364">
        <v>100</v>
      </c>
      <c r="D21" s="365" t="s">
        <v>238</v>
      </c>
      <c r="E21" s="246" t="s">
        <v>239</v>
      </c>
      <c r="G21" s="364">
        <v>50</v>
      </c>
      <c r="H21" s="364">
        <v>0</v>
      </c>
      <c r="I21" s="365" t="s">
        <v>238</v>
      </c>
      <c r="P21">
        <v>50</v>
      </c>
      <c r="Q21">
        <v>0</v>
      </c>
      <c r="R21" t="s">
        <v>240</v>
      </c>
    </row>
    <row r="22" spans="2:18" x14ac:dyDescent="0.3">
      <c r="B22" s="364">
        <v>100</v>
      </c>
      <c r="C22" s="364">
        <v>100</v>
      </c>
      <c r="D22" s="365" t="s">
        <v>223</v>
      </c>
      <c r="E22" s="246" t="s">
        <v>241</v>
      </c>
      <c r="G22" s="361"/>
      <c r="H22" s="361"/>
      <c r="I22" s="366" t="s">
        <v>223</v>
      </c>
      <c r="P22">
        <v>50</v>
      </c>
      <c r="Q22">
        <v>0</v>
      </c>
      <c r="R22" t="s">
        <v>242</v>
      </c>
    </row>
    <row r="23" spans="2:18" x14ac:dyDescent="0.3">
      <c r="B23" s="364">
        <v>40</v>
      </c>
      <c r="C23" s="364">
        <v>150</v>
      </c>
      <c r="D23" s="365" t="s">
        <v>227</v>
      </c>
      <c r="E23" s="246" t="s">
        <v>243</v>
      </c>
      <c r="G23" s="364">
        <v>50</v>
      </c>
      <c r="H23" s="364"/>
      <c r="I23" s="365" t="s">
        <v>227</v>
      </c>
      <c r="R23" t="s">
        <v>244</v>
      </c>
    </row>
    <row r="24" spans="2:18" x14ac:dyDescent="0.3">
      <c r="B24" s="364">
        <v>140</v>
      </c>
      <c r="C24" s="364">
        <v>150</v>
      </c>
      <c r="D24" s="365" t="s">
        <v>229</v>
      </c>
      <c r="E24" s="246" t="s">
        <v>245</v>
      </c>
      <c r="G24" s="364">
        <v>50</v>
      </c>
      <c r="H24" s="364"/>
      <c r="I24" s="365" t="s">
        <v>229</v>
      </c>
      <c r="R24" t="s">
        <v>246</v>
      </c>
    </row>
    <row r="25" spans="2:18" x14ac:dyDescent="0.3">
      <c r="B25" s="364">
        <v>150</v>
      </c>
      <c r="C25" s="364">
        <v>150</v>
      </c>
      <c r="D25" s="365" t="s">
        <v>231</v>
      </c>
      <c r="E25" s="246" t="s">
        <v>247</v>
      </c>
      <c r="G25" s="364">
        <v>50</v>
      </c>
      <c r="H25" s="364"/>
      <c r="I25" s="365" t="s">
        <v>231</v>
      </c>
      <c r="R25" t="s">
        <v>193</v>
      </c>
    </row>
    <row r="26" spans="2:18" x14ac:dyDescent="0.3">
      <c r="B26" s="364">
        <v>40</v>
      </c>
      <c r="C26" s="364">
        <v>77</v>
      </c>
      <c r="D26" s="365" t="s">
        <v>233</v>
      </c>
      <c r="E26" s="246" t="s">
        <v>248</v>
      </c>
      <c r="G26" s="364">
        <v>50</v>
      </c>
      <c r="H26" s="364"/>
      <c r="I26" s="365" t="s">
        <v>233</v>
      </c>
      <c r="R26" t="s">
        <v>196</v>
      </c>
    </row>
    <row r="27" spans="2:18" x14ac:dyDescent="0.3">
      <c r="B27" s="364">
        <v>110</v>
      </c>
      <c r="C27" s="364">
        <v>77</v>
      </c>
      <c r="D27" s="365" t="s">
        <v>237</v>
      </c>
      <c r="E27" s="246" t="s">
        <v>249</v>
      </c>
      <c r="G27" s="364">
        <v>50</v>
      </c>
      <c r="H27" s="364"/>
      <c r="I27" s="365" t="s">
        <v>237</v>
      </c>
      <c r="R27" t="s">
        <v>199</v>
      </c>
    </row>
    <row r="28" spans="2:18" x14ac:dyDescent="0.3">
      <c r="B28" s="364">
        <v>120</v>
      </c>
      <c r="C28" s="364">
        <v>77</v>
      </c>
      <c r="D28" s="365" t="s">
        <v>240</v>
      </c>
      <c r="E28" s="246" t="s">
        <v>250</v>
      </c>
      <c r="G28" s="364">
        <v>50</v>
      </c>
      <c r="H28" s="364"/>
      <c r="I28" s="365" t="s">
        <v>240</v>
      </c>
      <c r="R28" t="s">
        <v>204</v>
      </c>
    </row>
    <row r="29" spans="2:18" x14ac:dyDescent="0.3">
      <c r="B29" s="364">
        <v>40</v>
      </c>
      <c r="C29" s="364">
        <v>50</v>
      </c>
      <c r="D29" s="365" t="s">
        <v>242</v>
      </c>
      <c r="E29" s="246" t="s">
        <v>251</v>
      </c>
      <c r="G29" s="364">
        <v>50</v>
      </c>
      <c r="H29" s="364"/>
      <c r="I29" s="365" t="s">
        <v>242</v>
      </c>
      <c r="R29" t="s">
        <v>208</v>
      </c>
    </row>
    <row r="30" spans="2:18" x14ac:dyDescent="0.3">
      <c r="B30" s="364">
        <v>40</v>
      </c>
      <c r="C30" s="364">
        <v>60</v>
      </c>
      <c r="D30" s="365" t="s">
        <v>252</v>
      </c>
      <c r="E30" s="246" t="s">
        <v>253</v>
      </c>
      <c r="G30" s="364">
        <v>50</v>
      </c>
      <c r="H30" s="364"/>
      <c r="I30" s="365" t="s">
        <v>209</v>
      </c>
      <c r="R30" t="s">
        <v>202</v>
      </c>
    </row>
    <row r="31" spans="2:18" x14ac:dyDescent="0.3">
      <c r="B31" s="364">
        <v>40</v>
      </c>
      <c r="C31" s="364">
        <v>100</v>
      </c>
      <c r="D31" s="365" t="s">
        <v>205</v>
      </c>
      <c r="E31" s="246" t="s">
        <v>254</v>
      </c>
      <c r="G31" s="364">
        <v>50</v>
      </c>
      <c r="H31" s="364"/>
      <c r="I31" s="365" t="s">
        <v>205</v>
      </c>
      <c r="R31" t="s">
        <v>206</v>
      </c>
    </row>
    <row r="32" spans="2:18" x14ac:dyDescent="0.3">
      <c r="B32" s="364">
        <v>40</v>
      </c>
      <c r="C32" s="364">
        <v>60</v>
      </c>
      <c r="D32" s="365" t="s">
        <v>255</v>
      </c>
      <c r="E32" s="246" t="s">
        <v>256</v>
      </c>
      <c r="G32" s="364">
        <v>50</v>
      </c>
      <c r="H32" s="364"/>
      <c r="I32" s="365" t="s">
        <v>255</v>
      </c>
      <c r="R32" t="s">
        <v>257</v>
      </c>
    </row>
    <row r="33" spans="2:18" x14ac:dyDescent="0.3">
      <c r="B33" s="364">
        <v>40</v>
      </c>
      <c r="C33" s="364">
        <v>90</v>
      </c>
      <c r="D33" s="365" t="s">
        <v>258</v>
      </c>
      <c r="E33" s="246" t="s">
        <v>259</v>
      </c>
      <c r="G33" s="364">
        <v>50</v>
      </c>
      <c r="H33" s="364">
        <v>-2</v>
      </c>
      <c r="I33" s="365" t="s">
        <v>258</v>
      </c>
      <c r="R33" t="s">
        <v>260</v>
      </c>
    </row>
    <row r="34" spans="2:18" x14ac:dyDescent="0.3">
      <c r="B34" s="364">
        <v>40</v>
      </c>
      <c r="C34" s="364">
        <v>90</v>
      </c>
      <c r="D34" s="365" t="s">
        <v>261</v>
      </c>
      <c r="E34" s="246"/>
      <c r="G34" s="364">
        <v>50</v>
      </c>
      <c r="H34" s="364">
        <v>-2</v>
      </c>
      <c r="I34" s="365" t="s">
        <v>261</v>
      </c>
    </row>
    <row r="35" spans="2:18" x14ac:dyDescent="0.3">
      <c r="B35" s="364">
        <v>40</v>
      </c>
      <c r="C35" s="364">
        <v>90</v>
      </c>
      <c r="D35" s="365" t="s">
        <v>257</v>
      </c>
      <c r="E35" s="246" t="s">
        <v>262</v>
      </c>
      <c r="G35" s="364">
        <v>50</v>
      </c>
      <c r="H35" s="364">
        <v>-2</v>
      </c>
      <c r="I35" s="365" t="s">
        <v>257</v>
      </c>
      <c r="R35" t="s">
        <v>263</v>
      </c>
    </row>
    <row r="36" spans="2:18" x14ac:dyDescent="0.3">
      <c r="B36" s="367">
        <v>40</v>
      </c>
      <c r="C36" s="367">
        <v>90</v>
      </c>
      <c r="D36" s="368" t="s">
        <v>260</v>
      </c>
      <c r="G36" s="364">
        <v>50</v>
      </c>
      <c r="H36" s="364">
        <v>-2</v>
      </c>
      <c r="I36" s="365" t="s">
        <v>260</v>
      </c>
      <c r="R36" t="s">
        <v>258</v>
      </c>
    </row>
    <row r="37" spans="2:18" x14ac:dyDescent="0.3">
      <c r="B37" s="367">
        <v>40</v>
      </c>
      <c r="C37" s="367">
        <v>90</v>
      </c>
      <c r="D37" s="368" t="s">
        <v>263</v>
      </c>
      <c r="G37" s="364">
        <v>50</v>
      </c>
      <c r="H37" s="364">
        <v>-2</v>
      </c>
      <c r="I37" s="365" t="s">
        <v>263</v>
      </c>
      <c r="R37" t="s">
        <v>261</v>
      </c>
    </row>
    <row r="48" spans="2:18" x14ac:dyDescent="0.3">
      <c r="B48" s="364">
        <v>40</v>
      </c>
      <c r="C48" s="364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67" t="s">
        <v>265</v>
      </c>
      <c r="L3" s="467"/>
      <c r="M3" s="467" t="s">
        <v>266</v>
      </c>
      <c r="N3" s="467"/>
    </row>
    <row r="4" spans="1:14" ht="15.75" customHeight="1" x14ac:dyDescent="0.3">
      <c r="A4" s="138"/>
      <c r="B4" s="138"/>
      <c r="C4" s="369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0" t="s">
        <v>267</v>
      </c>
      <c r="D5" s="371" t="str">
        <f>'NOTA DE VENTA'!$C$10</f>
        <v>MARCELO</v>
      </c>
      <c r="E5" s="319"/>
      <c r="F5" s="319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2"/>
      <c r="D6" s="373"/>
      <c r="E6" s="138"/>
      <c r="F6" s="138"/>
      <c r="G6" s="138"/>
    </row>
    <row r="7" spans="1:14" ht="15.6" x14ac:dyDescent="0.3">
      <c r="A7" s="138"/>
      <c r="B7" s="138"/>
      <c r="C7" s="395" t="str">
        <f>'NOTA DE VENTA'!$F$10</f>
        <v>FECHA :</v>
      </c>
      <c r="D7" s="405">
        <f>'NOTA DE VENTA'!$G$10</f>
        <v>46168</v>
      </c>
      <c r="E7" s="138"/>
      <c r="F7" s="138"/>
      <c r="G7" s="138"/>
    </row>
    <row r="8" spans="1:14" ht="15.6" x14ac:dyDescent="0.3">
      <c r="A8" s="138"/>
      <c r="B8" s="138"/>
      <c r="C8" s="369" t="s">
        <v>268</v>
      </c>
      <c r="D8" s="404">
        <f>'NOTA DE VENTA'!$G$11</f>
        <v>46175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8" t="s">
        <v>265</v>
      </c>
      <c r="B10" s="468"/>
      <c r="C10" s="468"/>
      <c r="D10" s="468"/>
      <c r="E10" s="468"/>
      <c r="F10" s="468"/>
      <c r="G10" s="138"/>
    </row>
    <row r="11" spans="1:14" ht="15.6" x14ac:dyDescent="0.3">
      <c r="A11" s="138"/>
      <c r="B11" s="138"/>
      <c r="C11" s="375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2" t="s">
        <v>130</v>
      </c>
      <c r="E12" s="332" t="s">
        <v>11</v>
      </c>
      <c r="F12" s="138"/>
      <c r="G12" s="138"/>
    </row>
    <row r="13" spans="1:14" ht="15.6" x14ac:dyDescent="0.3">
      <c r="A13" s="332" t="s">
        <v>87</v>
      </c>
      <c r="B13" s="376" t="s">
        <v>96</v>
      </c>
      <c r="C13" s="376" t="s">
        <v>25</v>
      </c>
      <c r="D13" s="377">
        <v>80</v>
      </c>
      <c r="E13" s="377">
        <v>-30</v>
      </c>
      <c r="F13" s="376" t="s">
        <v>269</v>
      </c>
      <c r="G13" s="138"/>
      <c r="J13" s="378" t="s">
        <v>130</v>
      </c>
      <c r="K13" s="378" t="s">
        <v>11</v>
      </c>
    </row>
    <row r="14" spans="1:14" ht="15.6" x14ac:dyDescent="0.3">
      <c r="A14" s="379" t="s">
        <v>31</v>
      </c>
      <c r="B14" s="380">
        <f t="shared" ref="B14" si="0">I14</f>
        <v>1</v>
      </c>
      <c r="C14" s="380"/>
      <c r="D14" s="380">
        <f>LOOKUP(F14,REGLAS!$I$4:$I$37,REGLAS!$G$4:$G$37)+J14</f>
        <v>1850</v>
      </c>
      <c r="E14" s="381">
        <f>LOOKUP(F14,REGLAS!$I$4:$I$37,REGLAS!$H$4:$H$37)+K14</f>
        <v>470</v>
      </c>
      <c r="F14" s="382" t="str">
        <f>C27</f>
        <v>CUB C/R R8</v>
      </c>
      <c r="G14" s="138"/>
      <c r="I14" s="383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2"/>
      <c r="B15" s="52"/>
      <c r="C15" s="52"/>
      <c r="D15" s="52"/>
      <c r="E15" s="384"/>
      <c r="F15" s="52"/>
      <c r="G15" s="138"/>
      <c r="I15" s="385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8" t="s">
        <v>266</v>
      </c>
      <c r="B17" s="468"/>
      <c r="C17" s="468"/>
      <c r="D17" s="468"/>
      <c r="E17" s="468"/>
      <c r="F17" s="468"/>
      <c r="G17" s="138"/>
    </row>
    <row r="18" spans="1:11" ht="10.5" customHeight="1" x14ac:dyDescent="0.3">
      <c r="A18" s="138"/>
      <c r="B18" s="138"/>
      <c r="C18" s="375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2" t="s">
        <v>130</v>
      </c>
      <c r="E19" s="332" t="s">
        <v>11</v>
      </c>
      <c r="F19" s="138"/>
      <c r="G19" s="138"/>
    </row>
    <row r="20" spans="1:11" ht="15.6" x14ac:dyDescent="0.3">
      <c r="A20" s="332" t="s">
        <v>87</v>
      </c>
      <c r="B20" s="386" t="s">
        <v>96</v>
      </c>
      <c r="C20" s="386" t="s">
        <v>25</v>
      </c>
      <c r="D20" s="387">
        <v>40</v>
      </c>
      <c r="E20" s="387">
        <v>130</v>
      </c>
      <c r="F20" s="386" t="s">
        <v>269</v>
      </c>
      <c r="G20" s="138"/>
      <c r="J20" s="378" t="s">
        <v>130</v>
      </c>
      <c r="K20" s="378" t="s">
        <v>11</v>
      </c>
    </row>
    <row r="21" spans="1:11" ht="15.6" x14ac:dyDescent="0.3">
      <c r="A21" s="379" t="s">
        <v>270</v>
      </c>
      <c r="B21" s="388">
        <f t="shared" ref="B21" si="2">I21</f>
        <v>1</v>
      </c>
      <c r="C21" s="388"/>
      <c r="D21" s="388">
        <f>LOOKUP(F14,REGLAS!$D$4:$D$37,REGLAS!$B$4:$B$37)+J21</f>
        <v>1840</v>
      </c>
      <c r="E21" s="388">
        <f>LOOKUP(F14,REGLAS!$D$4:$D$37,REGLAS!$C$4:$C$37)+K21</f>
        <v>630</v>
      </c>
      <c r="F21" s="389" t="str">
        <f>C27</f>
        <v>CUB C/R R8</v>
      </c>
      <c r="G21" s="138"/>
      <c r="I21" s="383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0"/>
      <c r="B22" s="52"/>
      <c r="C22" s="52"/>
      <c r="D22" s="52"/>
      <c r="E22" s="52"/>
      <c r="F22" s="52"/>
      <c r="G22" s="138"/>
      <c r="I22" s="385"/>
      <c r="J22" s="6"/>
      <c r="K22" s="6"/>
    </row>
    <row r="23" spans="1:11" ht="16.2" thickBot="1" x14ac:dyDescent="0.35">
      <c r="A23" s="332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2"/>
      <c r="B24" s="391" t="s">
        <v>271</v>
      </c>
      <c r="C24" s="392"/>
      <c r="D24" s="392"/>
      <c r="E24" s="392"/>
      <c r="F24" s="393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2" t="s">
        <v>87</v>
      </c>
      <c r="B26" s="394" t="s">
        <v>96</v>
      </c>
      <c r="C26" s="394" t="s">
        <v>269</v>
      </c>
      <c r="D26" s="394" t="s">
        <v>130</v>
      </c>
      <c r="E26" s="394" t="s">
        <v>11</v>
      </c>
      <c r="F26" s="394" t="s">
        <v>8</v>
      </c>
      <c r="G26" s="138"/>
    </row>
    <row r="27" spans="1:11" ht="15.6" x14ac:dyDescent="0.3">
      <c r="A27" s="379" t="s">
        <v>31</v>
      </c>
      <c r="B27" s="380">
        <f>'[1]4637'!B21</f>
        <v>1</v>
      </c>
      <c r="C27" s="382" t="str">
        <f>'[1]4637'!C21</f>
        <v>CUB C/R R8</v>
      </c>
      <c r="D27" s="380">
        <f>'[1]4637'!D21</f>
        <v>1800</v>
      </c>
      <c r="E27" s="380">
        <f>'[1]4637'!E21</f>
        <v>500</v>
      </c>
      <c r="F27" s="380" t="str">
        <f>'[1]4637'!F21</f>
        <v>LATE 2167 MT</v>
      </c>
      <c r="G27" s="138"/>
    </row>
    <row r="28" spans="1:11" ht="15.6" x14ac:dyDescent="0.3">
      <c r="A28" s="390"/>
      <c r="B28" s="52"/>
      <c r="C28" s="52"/>
      <c r="D28" s="52"/>
      <c r="E28" s="52"/>
      <c r="F28" s="52"/>
      <c r="G28" s="138"/>
    </row>
    <row r="29" spans="1:11" ht="15.6" x14ac:dyDescent="0.3">
      <c r="A29" s="332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69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0" t="s">
        <v>267</v>
      </c>
      <c r="D40" s="371" t="str">
        <f>'[1]4637'!C10</f>
        <v>FMR MAKING SPA</v>
      </c>
      <c r="E40" s="319"/>
      <c r="F40" s="319"/>
      <c r="G40" s="138"/>
    </row>
    <row r="41" spans="1:7" ht="4.5" customHeight="1" x14ac:dyDescent="0.3">
      <c r="A41" s="138"/>
      <c r="B41" s="138"/>
      <c r="C41" s="372"/>
      <c r="D41" s="373"/>
      <c r="E41" s="138"/>
      <c r="F41" s="138"/>
      <c r="G41" s="138"/>
    </row>
    <row r="42" spans="1:7" ht="15.6" x14ac:dyDescent="0.3">
      <c r="A42" s="138"/>
      <c r="B42" s="138"/>
      <c r="C42" s="395" t="str">
        <f>'[1]4637'!F11</f>
        <v>FECHA LIMITE :</v>
      </c>
      <c r="D42" s="374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8" t="s">
        <v>272</v>
      </c>
      <c r="B45" s="468"/>
      <c r="C45" s="468"/>
      <c r="D45" s="468"/>
      <c r="E45" s="468"/>
      <c r="F45" s="468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63" t="s">
        <v>95</v>
      </c>
      <c r="C47" s="464"/>
      <c r="D47" s="465"/>
      <c r="E47" s="465"/>
      <c r="F47" s="466"/>
      <c r="G47" s="138"/>
    </row>
    <row r="48" spans="1:7" s="59" customFormat="1" ht="12.75" customHeight="1" x14ac:dyDescent="0.3">
      <c r="A48" s="138"/>
      <c r="B48" s="386" t="s">
        <v>96</v>
      </c>
      <c r="C48" s="396" t="s">
        <v>25</v>
      </c>
      <c r="D48" s="397" t="s">
        <v>130</v>
      </c>
      <c r="E48" s="397" t="s">
        <v>11</v>
      </c>
      <c r="F48" s="398" t="s">
        <v>273</v>
      </c>
      <c r="G48" s="138"/>
    </row>
    <row r="49" spans="1:7" s="59" customFormat="1" ht="15" customHeight="1" x14ac:dyDescent="0.3">
      <c r="A49" s="379" t="s">
        <v>274</v>
      </c>
      <c r="B49" s="399">
        <f>'[1]4637'!B21</f>
        <v>1</v>
      </c>
      <c r="C49" s="400" t="str">
        <f>'[1]4637'!C21</f>
        <v>CUB C/R R8</v>
      </c>
      <c r="D49" s="401">
        <f>'[1]4637'!D21</f>
        <v>1800</v>
      </c>
      <c r="E49" s="401">
        <f>'[1]4637'!E21</f>
        <v>500</v>
      </c>
      <c r="F49" s="399" t="str">
        <f>'[1]4637'!F21</f>
        <v>LATE 2167 MT</v>
      </c>
      <c r="G49" s="138"/>
    </row>
    <row r="50" spans="1:7" s="59" customFormat="1" ht="15" customHeight="1" x14ac:dyDescent="0.3">
      <c r="A50" s="390"/>
      <c r="B50" s="332"/>
      <c r="C50" s="402"/>
      <c r="D50" s="332"/>
      <c r="E50" s="332"/>
      <c r="F50" s="332"/>
      <c r="G50" s="138"/>
    </row>
    <row r="51" spans="1:7" s="59" customFormat="1" ht="15" customHeight="1" x14ac:dyDescent="0.3">
      <c r="A51" s="139"/>
      <c r="B51" s="332"/>
      <c r="C51" s="332"/>
      <c r="D51" s="332"/>
      <c r="E51" s="332"/>
      <c r="F51" s="332"/>
      <c r="G51" s="138"/>
    </row>
    <row r="52" spans="1:7" ht="15.6" x14ac:dyDescent="0.3">
      <c r="A52" s="52"/>
      <c r="B52" s="52"/>
      <c r="C52" s="138"/>
      <c r="D52" s="52"/>
      <c r="E52" s="52"/>
      <c r="F52" s="372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12168</v>
      </c>
      <c r="C2" s="1">
        <f>'NOTA DE VENTA'!$G$10</f>
        <v>46168</v>
      </c>
      <c r="D2" s="1">
        <f>'NOTA DE VENTA'!$G$11</f>
        <v>46175</v>
      </c>
      <c r="E2" t="str">
        <f>'NOTA DE VENTA'!$C$10</f>
        <v>MARCELO</v>
      </c>
      <c r="F2" t="str">
        <f>'NOTA DE VENTA'!$C$22</f>
        <v>CUB MESA 2 LADOS R6</v>
      </c>
      <c r="G2" t="str">
        <f>'NOTA DE VENTA'!$F$22</f>
        <v>MINERAL STEEL 3166 MT CA</v>
      </c>
      <c r="H2" s="415">
        <f>'NOTA DE VENTA'!$H$25</f>
        <v>110749.57720672865</v>
      </c>
      <c r="I2" s="415">
        <f>H2*0.19</f>
        <v>21042.419669278443</v>
      </c>
      <c r="J2" s="415">
        <f>I2+H2</f>
        <v>131791.99687600709</v>
      </c>
      <c r="L2" s="61">
        <f>J2-K2</f>
        <v>131791.99687600709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2026-05-26T14:11:22Z</cp:lastPrinted>
  <dcterms:created xsi:type="dcterms:W3CDTF">2013-03-18T13:35:42Z</dcterms:created>
  <dcterms:modified xsi:type="dcterms:W3CDTF">2026-06-01T15:13:40Z</dcterms:modified>
</cp:coreProperties>
</file>