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E7BD9B84-FED0-4719-A077-FD49FAB0E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S21" i="1" l="1"/>
  <c r="N21" i="1" l="1"/>
  <c r="O21" i="1" l="1"/>
  <c r="P21" i="1" s="1"/>
  <c r="P25" i="1" s="1"/>
  <c r="S26" i="1"/>
  <c r="M25" i="1"/>
  <c r="T24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<sst xmlns="http://schemas.openxmlformats.org/spreadsheetml/2006/main" count="230" uniqueCount="175">
  <si>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</si>
  <si>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</si>
  <si>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</si>
  <si>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</si>
  <si>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</si>
  <si>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</si>
  <si>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</si>
  <si>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</si>
  <si>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</si>
  <si>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</si>
  <si>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</si>
  <si>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</si>
  <si>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</si>
  <si>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</si>
  <si>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</si>
  <si>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</si>
  <si>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</si>
  <si>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</si>
  <si>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</si>
  <si>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</si>
  <si>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</si>
  <si>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</si>
  <si>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</si>
  <si>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</si>
  <si>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</si>
  <si>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</si>
  <si>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</si>
  <si>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</si>
  <si>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</si>
  <si>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</si>
  <si>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</si>
  <si>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</si>
  <si>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</si>
  <si>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</si>
  <si>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</si>
  <si>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</si>
  <si>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</si>
  <si>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</si>
  <si>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</si>
  <si>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</si>
  <si>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</si>
  <si>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</si>
  <si>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</si>
  <si>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</si>
  <si>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</si>
  <si>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</si>
  <si>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</si>
  <si>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</si>
  <si>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</si>
  <si>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</si>
  <si>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</si>
  <si>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</si>
  <si>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</si>
  <si>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</si>
  <si>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</si>
  <si>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</si>
  <si>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</si>
  <si>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</si>
  <si>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</si>
  <si>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</si>
  <si>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</si>
  <si>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</si>
  <si>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</si>
  <si>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</si>
  <si>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</si>
  <si>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</si>
  <si>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</si>
  <si>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</si>
  <si>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</si>
  <si>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</si>
  <si>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</si>
  <si>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</si>
  <si>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</si>
  <si>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</si>
  <si>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</si>
  <si>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</si>
  <si>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</si>
  <si>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</si>
  <si>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</si>
  <si>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</si>
  <si>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</si>
  <si>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</si>
  <si>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</si>
  <si>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</si>
  <si>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</si>
  <si>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</si>
  <si>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</si>
  <si>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</si>
  <si>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</si>
  <si>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</si>
  <si>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</si>
  <si>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</si>
  <si>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</si>
  <si>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</si>
  <si>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</si>
  <si>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</si>
  <si>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</si>
  <si>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</si>
  <si>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</si>
  <si>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</si>
  <si>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</si>
  <si>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</si>
  <si>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</si>
  <si>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</si>
  <si>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</si>
  <si>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</si>
  <si>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</si>
  <si>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</si>
  <si>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</si>
  <si>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</si>
  <si>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</si>
  <si>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</si>
  <si>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</si>
  <si>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</si>
  <si>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</si>
  <si>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</si>
  <si>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</si>
  <si>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</si>
  <si>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</si>
  <si>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</si>
  <si>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</si>
  <si>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</si>
  <si>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</si>
  <si>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</si>
  <si>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</si>
  <si>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</si>
  <si>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</si>
  <si>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</si>
  <si>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</si>
  <si>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</si>
  <si>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</si>
  <si>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</si>
  <si>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</si>
  <si>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</si>
  <si>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</si>
  <si>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</si>
  <si>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</si>
  <si>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</si>
  <si>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</si>
  <si>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</si>
  <si>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</si>
  <si>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</si>
  <si>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</si>
  <si>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</si>
  <si>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</si>
  <si>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</si>
  <si>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</si>
  <si>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</si>
  <si>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</si>
  <si>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</si>
  <si>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</si>
  <si>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</si>
  <si>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</si>
  <si>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</si>
  <si>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</si>
  <si>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</si>
  <si>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</si>
  <si>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</si>
  <si>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</si>
  <si>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</si>
  <si>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</si>
  <si>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</si>
  <si>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</si>
  <si>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</si>
  <si>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</si>
  <si>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</si>
  <si>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</si>
  <si>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</si>
  <si>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</si>
  <si>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</si>
  <si>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</si>
  <si>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N° 12117</t>
  </si>
  <si>
    <t>CUB MESA 90° R8 2L</t>
  </si>
  <si>
    <t>CANDY WHITE 21941 SF</t>
  </si>
  <si>
    <t>5 DIA HABIL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</si>
</sst>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25913</xdr:rowOff>
    </xdr:from>
    <xdr:to>
      <xdr:col>5</xdr:col>
      <xdr:colOff>1728839</xdr:colOff>
      <xdr:row>26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</a:t>
          </a:r>
          <a:r>
            <a:rPr lang="es-CL" sz="1200" b="1" baseline="0"/>
            <a:t> APORTA LA LAMINA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1" zoomScale="84" zoomScaleNormal="84" workbookViewId="0">
      <selection activeCell="I20" sqref="I20:J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46148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20535.867768595039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18</v>
      </c>
      <c r="C21" s="330" t="s">
        <v>172</v>
      </c>
      <c r="D21" s="332">
        <v>3</v>
      </c>
      <c r="E21" s="332">
        <v>1.1000000000000001</v>
      </c>
      <c r="F21" s="330" t="s">
        <v>173</v>
      </c>
      <c r="G21" s="331">
        <v>80000</v>
      </c>
      <c r="H21" s="331">
        <f t="shared" ref="H21" si="1">G21*B21</f>
        <v>1440000</v>
      </c>
      <c r="I21" s="320"/>
      <c r="J21" s="265"/>
      <c r="K21" s="47"/>
      <c r="L21" s="333">
        <f>B21</f>
        <v>18</v>
      </c>
      <c r="M21" s="39">
        <f>D21+M$19</f>
        <v>3.08</v>
      </c>
      <c r="N21" s="39">
        <f t="shared" ref="N21" si="2">E21+$N$19</f>
        <v>1.1000000000000001</v>
      </c>
      <c r="O21" s="261">
        <f t="shared" ref="O21" si="3">M21*N21</f>
        <v>3.3880000000000003</v>
      </c>
      <c r="P21" s="259">
        <f t="shared" ref="P21" si="4">O21*L21</f>
        <v>60.984000000000009</v>
      </c>
      <c r="Q21" s="252">
        <f t="shared" ref="Q21" si="5">Q$20*O21</f>
        <v>69575.520000000004</v>
      </c>
      <c r="R21" s="319">
        <f t="shared" ref="R21" si="6">Q21+R$20</f>
        <v>72575.520000000004</v>
      </c>
      <c r="S21" s="297">
        <f t="shared" ref="S21" si="7">L21*M21</f>
        <v>55.44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3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1440000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273600</v>
      </c>
      <c r="I25" s="322"/>
      <c r="J25" s="265"/>
      <c r="K25" s="47"/>
      <c r="L25" s="47"/>
      <c r="M25" s="39">
        <f>SUM(M21:M24)</f>
        <v>3.08</v>
      </c>
      <c r="N25" s="12"/>
      <c r="O25" s="12"/>
      <c r="P25" s="253">
        <f>SUM(P21:P23)</f>
        <v>60.984000000000009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1713600</v>
      </c>
      <c r="I26" s="322"/>
      <c r="J26" s="265"/>
      <c r="K26" s="47"/>
      <c r="L26" s="47"/>
      <c r="M26" s="39"/>
      <c r="N26" s="12"/>
      <c r="O26" s="12"/>
      <c r="P26" s="253">
        <f>P25</f>
        <v>60.984000000000009</v>
      </c>
      <c r="Q26" s="14"/>
      <c r="R26" s="12"/>
      <c r="S26" s="239">
        <f>SUM(S21:S25)</f>
        <v>55.44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12.196800000000003</v>
      </c>
      <c r="Q27" s="39" t="s">
        <v>130</v>
      </c>
      <c r="R27" s="42"/>
      <c r="S27" s="240">
        <f>S26+T24</f>
        <v>55.44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73.180800000000005</v>
      </c>
      <c r="Q28" s="14"/>
      <c r="R28" s="14"/>
      <c r="S28" s="238">
        <f>S27*20%</f>
        <v>11.088000000000001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66.527999999999992</v>
      </c>
      <c r="T29" s="14"/>
      <c r="U29" s="302" t="s">
        <v>21</v>
      </c>
      <c r="V29" s="299" t="s">
        <v>151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73.180800000000005</v>
      </c>
      <c r="N30" s="12">
        <v>2000</v>
      </c>
      <c r="O30" s="12">
        <f t="shared" ref="O30:O35" si="8">M30*N30</f>
        <v>146361.60000000001</v>
      </c>
      <c r="P30" s="14" t="s">
        <v>21</v>
      </c>
      <c r="Q30" s="14"/>
      <c r="R30" s="14"/>
      <c r="S30" s="241"/>
      <c r="T30" s="14"/>
      <c r="U30" s="302" t="s">
        <v>152</v>
      </c>
      <c r="V30" s="299">
        <v>3625</v>
      </c>
      <c r="W30" s="59" t="s">
        <v>153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18</v>
      </c>
      <c r="N31" s="12">
        <v>25000</v>
      </c>
      <c r="O31" s="12">
        <f t="shared" si="8"/>
        <v>450000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154</v>
      </c>
      <c r="X31" s="304"/>
    </row>
    <row r="32" spans="1:25" s="230" customFormat="1" ht="17.399999999999999" x14ac:dyDescent="0.35">
      <c r="B32" s="24" t="s">
        <v>150</v>
      </c>
      <c r="J32" s="262"/>
      <c r="K32" s="232"/>
      <c r="L32" s="250"/>
      <c r="M32" s="14"/>
      <c r="N32" s="250">
        <v>23500</v>
      </c>
      <c r="O32" s="12">
        <f t="shared" si="8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155</v>
      </c>
      <c r="X32" s="59"/>
    </row>
    <row r="33" spans="2:24" s="230" customFormat="1" ht="17.399999999999999" x14ac:dyDescent="0.35">
      <c r="B33" s="24" t="s">
        <v>143</v>
      </c>
      <c r="C33"/>
      <c r="D33"/>
      <c r="E33"/>
      <c r="F33"/>
      <c r="J33" s="262"/>
      <c r="K33" s="232"/>
      <c r="L33" s="250"/>
      <c r="M33" s="14"/>
      <c r="N33" s="250">
        <v>27100</v>
      </c>
      <c r="O33" s="12">
        <f t="shared" si="8"/>
        <v>0</v>
      </c>
      <c r="P33" s="14" t="s">
        <v>170</v>
      </c>
      <c r="Q33" s="17"/>
      <c r="S33" s="238"/>
      <c r="T33" s="256"/>
      <c r="U33" s="59"/>
      <c r="V33" s="59">
        <f>V31+V32</f>
        <v>1087.5</v>
      </c>
      <c r="W33" s="304" t="s">
        <v>156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15700</v>
      </c>
      <c r="O34" s="12">
        <f t="shared" si="8"/>
        <v>0</v>
      </c>
      <c r="P34" s="14" t="s">
        <v>32</v>
      </c>
      <c r="Q34" s="14"/>
      <c r="R34" s="230">
        <v>1.83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1000</v>
      </c>
      <c r="O35" s="12">
        <f t="shared" si="8"/>
        <v>0</v>
      </c>
      <c r="P35" s="14" t="s">
        <v>22</v>
      </c>
      <c r="Q35" s="14"/>
      <c r="R35">
        <v>2.5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596361.6</v>
      </c>
      <c r="P36" s="39" t="s">
        <v>23</v>
      </c>
      <c r="Q36" s="14"/>
      <c r="R36">
        <f>R34*R35</f>
        <v>4.5750000000000002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1252359.3600000001</v>
      </c>
      <c r="P37" s="14" t="s">
        <v>140</v>
      </c>
      <c r="Q37" s="14"/>
      <c r="R37" s="40">
        <f>P28/R36</f>
        <v>15.995803278688525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20535.867768595039</v>
      </c>
      <c r="P38" s="45" t="s">
        <v>24</v>
      </c>
      <c r="Q38" s="14"/>
      <c r="R38" s="14"/>
      <c r="S38"/>
      <c r="T38" s="238"/>
      <c r="U38" s="59" t="s">
        <v>157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159</v>
      </c>
      <c r="V39" s="300" t="s">
        <v>158</v>
      </c>
      <c r="W39" s="59">
        <v>2.4</v>
      </c>
    </row>
    <row r="40" spans="2:24" s="230" customFormat="1" ht="17.399999999999999" x14ac:dyDescent="0.35">
      <c r="G40" s="23"/>
      <c r="J40" s="260"/>
      <c r="L40" s="12"/>
      <c r="T40" s="238"/>
      <c r="U40" s="59" t="s">
        <v>160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155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147</v>
      </c>
    </row>
    <row r="74" spans="3:15" x14ac:dyDescent="0.3">
      <c r="C74" t="s">
        <v>146</v>
      </c>
    </row>
    <row r="77" spans="3:15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-67796.185033454138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1440000</v>
      </c>
      <c r="E11" s="132">
        <f>D11*0.19</f>
        <v>273600</v>
      </c>
      <c r="F11" s="131">
        <f>E11+D11</f>
        <v>1713600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38193.814966545862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626195.69078743958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20193.814966545862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813804.30921256042</v>
      </c>
      <c r="E13" s="221">
        <f>(D11/D12)-1</f>
        <v>1.299600621954462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11193.814966545862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-27806.185033454138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1033222.8897992752</v>
      </c>
      <c r="F15" s="216">
        <f>E15-D12</f>
        <v>407027.19901183562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-27806.185033454138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12193.814966545862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450000</v>
      </c>
      <c r="E19" s="123">
        <f>D19*0.19</f>
        <v>85500</v>
      </c>
      <c r="F19" s="120">
        <f>SUM(D19:E19)</f>
        <v>535500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146361.60000000001</v>
      </c>
      <c r="E20" s="121">
        <f>D20*0.19</f>
        <v>27808.704000000002</v>
      </c>
      <c r="F20" s="120">
        <f>SUM(D20:E20)</f>
        <v>174170.304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596361.6</v>
      </c>
      <c r="E21" s="116">
        <f>SUM(E18:E20)</f>
        <v>113308.704</v>
      </c>
      <c r="F21" s="115">
        <f>SUM(F18:F20)</f>
        <v>709670.304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160291.296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1440000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596361.6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813804.30921256042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813804.30921256042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2026-05-06T22:06:56Z</cp:lastPrinted>
  <dcterms:created xsi:type="dcterms:W3CDTF">2013-03-18T13:35:42Z</dcterms:created>
  <dcterms:modified xsi:type="dcterms:W3CDTF">2026-05-06T22:10:08Z</dcterms:modified>
</cp:coreProperties>
</file>