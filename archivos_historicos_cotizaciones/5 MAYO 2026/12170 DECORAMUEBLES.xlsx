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EB89ADFA-BB20-4F9C-8AD4-5BFCDFA04003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RESUMEN" sheetId="8" r:id="rId2"/>
    <sheet name="COSTOS" sheetId="3" r:id="rId3"/>
    <sheet name="NOTA DE VENTA" sheetId="4" r:id="rId4"/>
    <sheet name="REGLAS" sheetId="5" r:id="rId5"/>
    <sheet name="PRODUCCION" sheetId="6" r:id="rId6"/>
    <sheet name="SEGUIMIENTO" sheetId="7" r:id="rId7"/>
  </sheets>
  <externalReferences>
    <externalReference r:id="rId8"/>
  </externalReference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" l="1"/>
  <c r="C2" i="8"/>
  <c r="B2" i="8"/>
  <c r="A2" i="8"/>
  <c r="H29" i="1"/>
  <c r="H28" i="1"/>
  <c r="H25" i="1"/>
  <c r="P29" i="1"/>
  <c r="N25" i="1"/>
  <c r="O25" i="1" s="1"/>
  <c r="P25" i="1" s="1"/>
  <c r="M25" i="1"/>
  <c r="L25" i="1"/>
  <c r="K32" i="1"/>
  <c r="J29" i="1"/>
  <c r="J32" i="1" s="1"/>
  <c r="L22" i="1"/>
  <c r="M22" i="1"/>
  <c r="N22" i="1"/>
  <c r="L23" i="1"/>
  <c r="M23" i="1"/>
  <c r="N23" i="1"/>
  <c r="L24" i="1"/>
  <c r="M24" i="1"/>
  <c r="N24" i="1"/>
  <c r="L21" i="1"/>
  <c r="O24" i="1" l="1"/>
  <c r="P24" i="1" s="1"/>
  <c r="O23" i="1"/>
  <c r="P23" i="1" s="1"/>
  <c r="O22" i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9" i="1" l="1"/>
  <c r="S21" i="1"/>
  <c r="S30" i="1" s="1"/>
  <c r="T21" i="1"/>
  <c r="T28" i="1" s="1"/>
  <c r="O21" i="1"/>
  <c r="P21" i="1" s="1"/>
  <c r="K43" i="1"/>
  <c r="S31" i="1" l="1"/>
  <c r="S32" i="1" s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Q25" i="1" s="1"/>
  <c r="R25" i="1" s="1"/>
  <c r="D21" i="3"/>
  <c r="M43" i="3" s="1"/>
  <c r="D12" i="3" s="1"/>
  <c r="F20" i="3"/>
  <c r="F21" i="3" s="1"/>
  <c r="Q22" i="1" l="1"/>
  <c r="Q23" i="1"/>
  <c r="Q24" i="1"/>
  <c r="O43" i="1"/>
  <c r="E15" i="3"/>
  <c r="R22" i="1" l="1"/>
  <c r="H22" i="1"/>
  <c r="H23" i="1"/>
  <c r="R23" i="1"/>
  <c r="H24" i="1"/>
  <c r="R24" i="1"/>
  <c r="Q21" i="1"/>
  <c r="F15" i="3"/>
  <c r="R21" i="1" l="1"/>
  <c r="H21" i="1" l="1"/>
  <c r="H30" i="1" l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<sst xmlns="http://schemas.openxmlformats.org/spreadsheetml/2006/main" count="498" uniqueCount="295">
  <si>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</si>
  <si>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</si>
  <si>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</si>
  <si>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</si>
  <si>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</si>
  <si>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</si>
  <si>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</si>
  <si>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</si>
  <si>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</si>
  <si>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</si>
  <si>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</si>
  <si>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</si>
  <si>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</si>
  <si>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</si>
  <si>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</si>
  <si>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</si>
  <si>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</si>
  <si>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</si>
  <si>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</si>
  <si>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</si>
  <si>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</si>
  <si>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</si>
  <si>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</si>
  <si>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</si>
  <si>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</si>
  <si>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</si>
  <si>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</si>
  <si>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</si>
  <si>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</si>
  <si>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</si>
  <si>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</si>
  <si>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</si>
  <si>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</si>
  <si>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</si>
  <si>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</si>
  <si>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</si>
  <si>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</si>
  <si>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</si>
  <si>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</si>
  <si>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</si>
  <si>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</si>
  <si>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</si>
  <si>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</si>
  <si>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</si>
  <si>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</si>
  <si>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</si>
  <si>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</si>
  <si>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</si>
  <si>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</si>
  <si>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</si>
  <si>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</si>
  <si>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</si>
  <si>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</si>
  <si>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</si>
  <si>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</si>
  <si>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</si>
  <si>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</si>
  <si>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</si>
  <si>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</si>
  <si>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</si>
  <si>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</si>
  <si>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</si>
  <si>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</si>
  <si>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</si>
  <si>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</si>
  <si>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</si>
  <si>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</si>
  <si>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</si>
  <si>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</si>
  <si>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</si>
  <si>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</si>
  <si>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</si>
  <si>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</si>
  <si>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</si>
  <si>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</si>
  <si>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</si>
  <si>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</si>
  <si>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</si>
  <si>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</si>
  <si>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</si>
  <si>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</si>
  <si>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</si>
  <si>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</si>
  <si>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</si>
  <si>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</si>
  <si>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</si>
  <si>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</si>
  <si>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</si>
  <si>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</si>
  <si>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</si>
  <si>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</si>
  <si>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</si>
  <si>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</si>
  <si>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</si>
  <si>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</si>
  <si>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</si>
  <si>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</si>
  <si>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</si>
  <si>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</si>
  <si>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</si>
  <si>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</si>
  <si>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</si>
  <si>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</si>
  <si>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</si>
  <si>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</si>
  <si>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</si>
  <si>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</si>
  <si>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</si>
  <si>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</si>
  <si>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</si>
  <si>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</si>
  <si>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</si>
  <si>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</si>
  <si>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</si>
  <si>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</si>
  <si>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</si>
  <si>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</si>
  <si>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</si>
  <si>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</si>
  <si>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</si>
  <si>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</si>
  <si>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</si>
  <si>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</si>
  <si>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</si>
  <si>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</si>
  <si>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</si>
  <si>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</si>
  <si>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</si>
  <si>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</si>
  <si>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</si>
  <si>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</si>
  <si>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</si>
  <si>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</si>
  <si>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</si>
  <si>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</si>
  <si>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</si>
  <si>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</si>
  <si>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</si>
  <si>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</si>
  <si>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</si>
  <si>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</si>
  <si>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</si>
  <si>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</si>
  <si>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</si>
  <si>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</si>
  <si>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</si>
  <si>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</si>
  <si>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</si>
  <si>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</si>
  <si>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</si>
  <si>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</si>
  <si>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</si>
  <si>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</si>
  <si>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</si>
  <si>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</si>
  <si>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</si>
  <si>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</si>
  <si>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</si>
  <si>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</si>
  <si>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</si>
  <si>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</si>
  <si>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</si>
  <si>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</si>
  <si>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</si>
  <si>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</si>
  <si>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</si>
  <si>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</si>
  <si>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</si>
  <si>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</si>
  <si>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</si>
  <si>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</si>
  <si>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</si>
  <si>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</si>
  <si>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</si>
  <si>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</si>
  <si>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</si>
  <si>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</si>
  <si>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</si>
  <si>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</si>
  <si>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</si>
  <si>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</si>
  <si>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</si>
  <si>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</si>
  <si>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</si>
  <si>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</si>
  <si>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</si>
  <si>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</si>
  <si>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</si>
  <si>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</si>
  <si>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</si>
  <si>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</si>
  <si>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</si>
  <si>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</si>
  <si>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</si>
  <si>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</si>
  <si>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</si>
  <si>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</si>
  <si>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</si>
  <si>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</si>
  <si>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</si>
  <si>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</si>
  <si>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</si>
  <si>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</si>
  <si>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</si>
  <si>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</si>
  <si>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</si>
  <si>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</si>
  <si>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</si>
  <si>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</si>
  <si>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</si>
  <si>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</si>
  <si>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</si>
  <si>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</si>
  <si>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</si>
  <si>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</si>
  <si>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</si>
  <si>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</si>
  <si>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</si>
  <si>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</si>
  <si>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</si>
  <si>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</si>
  <si>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</si>
  <si>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</si>
  <si>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</si>
  <si>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</si>
  <si>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</si>
  <si>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</si>
  <si>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</si>
  <si>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</si>
  <si>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</si>
  <si>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</si>
  <si>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</si>
  <si>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</si>
  <si>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</si>
  <si>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</si>
  <si>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</si>
  <si>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</si>
  <si>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</si>
  <si>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</si>
  <si>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</si>
  <si>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</si>
  <si>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</si>
  <si>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</si>
  <si>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</si>
  <si>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</si>
  <si>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</si>
  <si>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</si>
  <si>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</si>
  <si>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</si>
  <si>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</si>
  <si>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</si>
  <si>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</si>
  <si>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</si>
  <si>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</si>
  <si>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</si>
  <si>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</si>
  <si>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</si>
  <si>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</si>
  <si>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</si>
  <si>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</si>
  <si>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</si>
  <si>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</si>
  <si>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</si>
  <si>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</si>
  <si>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</si>
  <si>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</si>
  <si>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</si>
  <si>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</si>
  <si>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</si>
  <si>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</si>
  <si>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</si>
  <si>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</si>
  <si>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</si>
  <si>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</si>
  <si>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</si>
  <si>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</si>
  <si>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</si>
  <si>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</si>
  <si>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</si>
  <si>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</si>
  <si>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</si>
  <si>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</si>
  <si>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</si>
  <si>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</si>
  <si>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</si>
  <si>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</si>
  <si>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</si>
  <si>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8 DÍAS HÁBILES</t>
  </si>
  <si>
    <t>DECORAMUEBLES</t>
  </si>
  <si>
    <t>SANTIAGO</t>
  </si>
  <si>
    <t>+56 9 9494 8892</t>
  </si>
  <si>
    <t>BLANCO OPACO</t>
  </si>
  <si>
    <t>N° 12170</t>
  </si>
  <si>
    <t>N° COTIZACION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</si>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</sst>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153629</xdr:rowOff>
    </xdr:from>
    <xdr:to>
      <xdr:col>5</xdr:col>
      <xdr:colOff>1736459</xdr:colOff>
      <xdr:row>29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 A LA</a:t>
          </a:r>
          <a:r>
            <a:rPr lang="es-CL" sz="1200" b="1" baseline="0"/>
            <a:t> MEDIDA Y ENCHAPADAS CON TAPACANTO PVC 0,45MM</a:t>
          </a:r>
        </a:p>
        <a:p>
          <a:pPr algn="l"/>
          <a:r>
            <a:rPr lang="es-CL" sz="1200" b="1" u="sng" baseline="0"/>
            <a:t>SUSTRATO MDF MELAMIL  18MM.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322313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opLeftCell="A12" zoomScale="93" zoomScaleNormal="93" workbookViewId="0">
      <selection activeCell="D14" sqref="D14"/>
    </sheetView>
  </sheetViews>
  <sheetFormatPr baseColWidth="10" defaultRowHeight="14.4" x14ac:dyDescent="0.3"/>
  <cols>
    <col min="1" max="1" width="6" customWidth="1"/>
    <col min="2" max="2" width="10.5546875" customWidth="1"/>
    <col min="3" max="3" width="26.109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288</v>
      </c>
      <c r="D10" s="243"/>
      <c r="E10" s="243"/>
      <c r="F10" s="417" t="s">
        <v>277</v>
      </c>
      <c r="G10" s="275">
        <v>46168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290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289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O42</f>
        <v>71837.958794054401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1">
        <v>2</v>
      </c>
      <c r="C21" s="432" t="s">
        <v>260</v>
      </c>
      <c r="D21" s="433">
        <v>0.81499999999999995</v>
      </c>
      <c r="E21" s="433">
        <v>0.29499999999999998</v>
      </c>
      <c r="F21" s="431" t="s">
        <v>291</v>
      </c>
      <c r="G21" s="434">
        <v>21331</v>
      </c>
      <c r="H21" s="434">
        <f>G21*B21</f>
        <v>42662</v>
      </c>
      <c r="I21" s="305"/>
      <c r="J21" s="264"/>
      <c r="K21" s="47"/>
      <c r="L21" s="47">
        <f>B21</f>
        <v>2</v>
      </c>
      <c r="M21" s="39">
        <f>D21+M$19</f>
        <v>0.86499999999999999</v>
      </c>
      <c r="N21" s="39">
        <f>E21+$N$19</f>
        <v>0.29499999999999998</v>
      </c>
      <c r="O21" s="260">
        <f t="shared" ref="O21" si="0">M21*N21</f>
        <v>0.25517499999999999</v>
      </c>
      <c r="P21" s="258">
        <f>O21*L21</f>
        <v>0.51034999999999997</v>
      </c>
      <c r="Q21" s="251">
        <f t="shared" ref="Q21" si="1">Q$20*O21</f>
        <v>18331.251135272829</v>
      </c>
      <c r="R21" s="304">
        <f t="shared" ref="R21" si="2">Q21+R$20</f>
        <v>21331.251135272829</v>
      </c>
      <c r="S21" s="290">
        <f>M21*L21</f>
        <v>1.73</v>
      </c>
      <c r="T21" s="46">
        <f>N21*2*L21*2</f>
        <v>2.36</v>
      </c>
      <c r="U21" s="9"/>
      <c r="X21" s="4"/>
    </row>
    <row r="22" spans="2:25" ht="17.399999999999999" x14ac:dyDescent="0.3">
      <c r="B22" s="431">
        <v>2</v>
      </c>
      <c r="C22" s="432" t="s">
        <v>260</v>
      </c>
      <c r="D22" s="433">
        <v>0.80500000000000005</v>
      </c>
      <c r="E22" s="433">
        <v>0.29499999999999998</v>
      </c>
      <c r="F22" s="431" t="s">
        <v>291</v>
      </c>
      <c r="G22" s="434">
        <v>21119</v>
      </c>
      <c r="H22" s="434">
        <f t="shared" ref="H22:H25" si="3">G22*B22</f>
        <v>42238</v>
      </c>
      <c r="I22" s="305"/>
      <c r="J22" s="264"/>
      <c r="K22" s="47"/>
      <c r="L22" s="47">
        <f t="shared" ref="L22:L25" si="4">B22</f>
        <v>2</v>
      </c>
      <c r="M22" s="39">
        <f t="shared" ref="M22:M25" si="5">D22+M$19</f>
        <v>0.85500000000000009</v>
      </c>
      <c r="N22" s="39">
        <f t="shared" ref="N22:N25" si="6">E22+$N$19</f>
        <v>0.29499999999999998</v>
      </c>
      <c r="O22" s="260">
        <f t="shared" ref="O22:O25" si="7">M22*N22</f>
        <v>0.25222500000000003</v>
      </c>
      <c r="P22" s="258">
        <f t="shared" ref="P22:P25" si="8">O22*L22</f>
        <v>0.50445000000000007</v>
      </c>
      <c r="Q22" s="251">
        <f t="shared" ref="Q22:Q25" si="9">Q$20*O22</f>
        <v>18119.329156830372</v>
      </c>
      <c r="R22" s="304">
        <f t="shared" ref="R22:R25" si="10">Q22+R$20</f>
        <v>21119.329156830372</v>
      </c>
      <c r="S22" s="290"/>
      <c r="T22" s="46"/>
      <c r="U22" s="9"/>
      <c r="X22" s="4"/>
    </row>
    <row r="23" spans="2:25" ht="17.399999999999999" x14ac:dyDescent="0.3">
      <c r="B23" s="431">
        <v>1</v>
      </c>
      <c r="C23" s="432" t="s">
        <v>260</v>
      </c>
      <c r="D23" s="433">
        <v>0.69499999999999995</v>
      </c>
      <c r="E23" s="433">
        <v>0.29299999999999998</v>
      </c>
      <c r="F23" s="431" t="s">
        <v>291</v>
      </c>
      <c r="G23" s="434">
        <v>18681</v>
      </c>
      <c r="H23" s="434">
        <f t="shared" si="3"/>
        <v>18681</v>
      </c>
      <c r="I23" s="305"/>
      <c r="J23" s="264"/>
      <c r="K23" s="47"/>
      <c r="L23" s="47">
        <f t="shared" si="4"/>
        <v>1</v>
      </c>
      <c r="M23" s="39">
        <f t="shared" si="5"/>
        <v>0.745</v>
      </c>
      <c r="N23" s="39">
        <f t="shared" si="6"/>
        <v>0.29299999999999998</v>
      </c>
      <c r="O23" s="260">
        <f t="shared" si="7"/>
        <v>0.21828499999999998</v>
      </c>
      <c r="P23" s="258">
        <f t="shared" si="8"/>
        <v>0.21828499999999998</v>
      </c>
      <c r="Q23" s="251">
        <f t="shared" si="9"/>
        <v>15681.148835360164</v>
      </c>
      <c r="R23" s="304">
        <f t="shared" si="10"/>
        <v>18681.148835360164</v>
      </c>
      <c r="S23" s="290"/>
      <c r="T23" s="46"/>
      <c r="U23" s="9"/>
      <c r="X23" s="4"/>
    </row>
    <row r="24" spans="2:25" ht="17.399999999999999" x14ac:dyDescent="0.3">
      <c r="B24" s="431">
        <v>1</v>
      </c>
      <c r="C24" s="432" t="s">
        <v>260</v>
      </c>
      <c r="D24" s="433">
        <v>0.69499999999999995</v>
      </c>
      <c r="E24" s="433">
        <v>0.378</v>
      </c>
      <c r="F24" s="431" t="s">
        <v>291</v>
      </c>
      <c r="G24" s="434">
        <v>23230</v>
      </c>
      <c r="H24" s="434">
        <f t="shared" si="3"/>
        <v>23230</v>
      </c>
      <c r="I24" s="305"/>
      <c r="J24" s="264"/>
      <c r="K24" s="47"/>
      <c r="L24" s="47">
        <f t="shared" si="4"/>
        <v>1</v>
      </c>
      <c r="M24" s="39">
        <f t="shared" si="5"/>
        <v>0.745</v>
      </c>
      <c r="N24" s="39">
        <f t="shared" si="6"/>
        <v>0.378</v>
      </c>
      <c r="O24" s="260">
        <f t="shared" si="7"/>
        <v>0.28161000000000003</v>
      </c>
      <c r="P24" s="258">
        <f t="shared" si="8"/>
        <v>0.28161000000000003</v>
      </c>
      <c r="Q24" s="251">
        <f t="shared" si="9"/>
        <v>20230.287575993661</v>
      </c>
      <c r="R24" s="304">
        <f t="shared" si="10"/>
        <v>23230.287575993661</v>
      </c>
      <c r="S24" s="290"/>
      <c r="T24" s="46"/>
      <c r="U24" s="9"/>
      <c r="X24" s="4"/>
    </row>
    <row r="25" spans="2:25" ht="17.399999999999999" x14ac:dyDescent="0.3">
      <c r="B25" s="431">
        <v>1</v>
      </c>
      <c r="C25" s="432" t="s">
        <v>260</v>
      </c>
      <c r="D25" s="433">
        <v>0.69499999999999995</v>
      </c>
      <c r="E25" s="433">
        <v>0.28000000000000003</v>
      </c>
      <c r="F25" s="431" t="s">
        <v>291</v>
      </c>
      <c r="G25" s="434">
        <v>17985</v>
      </c>
      <c r="H25" s="434">
        <f t="shared" si="3"/>
        <v>17985</v>
      </c>
      <c r="I25" s="305"/>
      <c r="J25" s="264"/>
      <c r="K25" s="47"/>
      <c r="L25" s="47">
        <f t="shared" si="4"/>
        <v>1</v>
      </c>
      <c r="M25" s="39">
        <f t="shared" si="5"/>
        <v>0.745</v>
      </c>
      <c r="N25" s="39">
        <f t="shared" si="6"/>
        <v>0.28000000000000003</v>
      </c>
      <c r="O25" s="260">
        <f t="shared" si="7"/>
        <v>0.20860000000000001</v>
      </c>
      <c r="P25" s="258">
        <f t="shared" si="8"/>
        <v>0.20860000000000001</v>
      </c>
      <c r="Q25" s="251">
        <f t="shared" si="9"/>
        <v>14985.398204439749</v>
      </c>
      <c r="R25" s="304">
        <f t="shared" si="10"/>
        <v>17985.398204439749</v>
      </c>
      <c r="S25" s="290"/>
      <c r="T25" s="46"/>
      <c r="U25" s="9"/>
      <c r="X25" s="4"/>
    </row>
    <row r="26" spans="2:25" ht="17.399999999999999" x14ac:dyDescent="0.3">
      <c r="B26" s="283"/>
      <c r="C26" s="324"/>
      <c r="D26" s="284"/>
      <c r="E26" s="284"/>
      <c r="F26" s="283"/>
      <c r="G26" s="305"/>
      <c r="H26" s="305"/>
      <c r="I26" s="305"/>
      <c r="J26" s="264"/>
      <c r="K26" s="47"/>
      <c r="L26" s="47"/>
      <c r="M26" s="39"/>
      <c r="N26" s="39"/>
      <c r="O26" s="260"/>
      <c r="P26" s="258"/>
      <c r="Q26" s="251"/>
      <c r="R26" s="304"/>
      <c r="S26" s="290"/>
      <c r="T26" s="46"/>
      <c r="U26" s="9"/>
      <c r="X26" s="4"/>
    </row>
    <row r="27" spans="2:25" ht="18" thickBot="1" x14ac:dyDescent="0.35">
      <c r="B27" s="283"/>
      <c r="C27" s="324"/>
      <c r="D27" s="284"/>
      <c r="E27" s="284"/>
      <c r="F27" s="283"/>
      <c r="G27" s="264"/>
      <c r="H27" s="306"/>
      <c r="I27" s="308"/>
      <c r="J27" s="233">
        <v>432</v>
      </c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09" t="s">
        <v>28</v>
      </c>
      <c r="H28" s="310">
        <f>SUM(H21:H27)</f>
        <v>144796</v>
      </c>
      <c r="I28" s="307"/>
      <c r="J28" s="264">
        <v>190</v>
      </c>
      <c r="K28" s="47">
        <v>1550</v>
      </c>
      <c r="L28" s="47"/>
      <c r="M28" s="39"/>
      <c r="N28" s="39"/>
      <c r="O28" s="260"/>
      <c r="P28" s="258"/>
      <c r="Q28" s="251"/>
      <c r="R28" s="257"/>
      <c r="S28" s="290"/>
      <c r="T28" s="46">
        <f>SUM(T21:T21)</f>
        <v>2.36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9" t="s">
        <v>51</v>
      </c>
      <c r="H29" s="287">
        <f>H28*19%</f>
        <v>27511.24</v>
      </c>
      <c r="I29" s="307"/>
      <c r="J29" s="264">
        <f>SUM(J27:J28)</f>
        <v>622</v>
      </c>
      <c r="K29" s="47">
        <v>640</v>
      </c>
      <c r="L29" s="47"/>
      <c r="M29" s="39">
        <f>SUM(M21:M28)</f>
        <v>3.9550000000000005</v>
      </c>
      <c r="N29" s="12"/>
      <c r="O29" s="12"/>
      <c r="P29" s="252">
        <f>SUM(P21:P27)</f>
        <v>1.7232950000000002</v>
      </c>
      <c r="Q29" s="14"/>
      <c r="R29" s="12"/>
      <c r="S29" s="239"/>
      <c r="T29" s="46"/>
      <c r="U29" s="9"/>
      <c r="X29" s="4"/>
    </row>
    <row r="30" spans="2:25" ht="18" thickBot="1" x14ac:dyDescent="0.35">
      <c r="B30" s="274"/>
      <c r="C30" s="279"/>
      <c r="D30" s="271"/>
      <c r="E30" s="271"/>
      <c r="F30" s="272"/>
      <c r="G30" s="278" t="s">
        <v>6</v>
      </c>
      <c r="H30" s="288">
        <f>H28+H29</f>
        <v>172307.24</v>
      </c>
      <c r="I30" s="307"/>
      <c r="J30" s="264"/>
      <c r="K30" s="47">
        <v>640</v>
      </c>
      <c r="L30" s="47"/>
      <c r="M30" s="39"/>
      <c r="N30" s="12"/>
      <c r="O30" s="12"/>
      <c r="P30" s="252">
        <f>P29</f>
        <v>1.7232950000000002</v>
      </c>
      <c r="Q30" s="14"/>
      <c r="R30" s="12"/>
      <c r="S30" s="239">
        <f>SUM(S21:S29)</f>
        <v>1.73</v>
      </c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>
        <v>1220</v>
      </c>
      <c r="K31" s="47"/>
      <c r="L31" s="47"/>
      <c r="M31" s="14"/>
      <c r="N31" s="12"/>
      <c r="O31" s="12"/>
      <c r="P31" s="39">
        <f>P30*20%</f>
        <v>0.34465900000000005</v>
      </c>
      <c r="Q31" s="39" t="s">
        <v>129</v>
      </c>
      <c r="R31" s="42"/>
      <c r="S31" s="240">
        <f>S30+T28</f>
        <v>4.09</v>
      </c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>
        <f>J31-J29</f>
        <v>598</v>
      </c>
      <c r="K32" s="47">
        <f>SUM(K28:K31)</f>
        <v>2830</v>
      </c>
      <c r="L32" s="47"/>
      <c r="M32" s="14"/>
      <c r="N32" s="12"/>
      <c r="O32" s="12"/>
      <c r="P32" s="46">
        <f>P30+P31</f>
        <v>2.0679540000000003</v>
      </c>
      <c r="Q32" s="14"/>
      <c r="R32" s="14"/>
      <c r="S32" s="238">
        <f>S31*20%</f>
        <v>0.81800000000000006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>
        <f>S31+S32</f>
        <v>4.9079999999999995</v>
      </c>
      <c r="T33" s="14"/>
      <c r="U33" s="294" t="s">
        <v>21</v>
      </c>
      <c r="V33" s="291" t="s">
        <v>149</v>
      </c>
      <c r="W33" s="295">
        <v>44971</v>
      </c>
      <c r="X33" s="296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</f>
        <v>2.0679540000000003</v>
      </c>
      <c r="N34" s="12">
        <v>4000</v>
      </c>
      <c r="O34" s="12">
        <f t="shared" ref="O34:O39" si="11">M34*N34</f>
        <v>8271.8160000000007</v>
      </c>
      <c r="P34" s="14" t="s">
        <v>21</v>
      </c>
      <c r="Q34" s="14"/>
      <c r="R34" s="14"/>
      <c r="S34" s="241"/>
      <c r="T34" s="14"/>
      <c r="U34" s="294" t="s">
        <v>150</v>
      </c>
      <c r="V34" s="291">
        <v>3625</v>
      </c>
      <c r="W34" s="59" t="s">
        <v>151</v>
      </c>
      <c r="X34" s="296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0.6</v>
      </c>
      <c r="N35" s="12">
        <v>45000</v>
      </c>
      <c r="O35" s="12">
        <f t="shared" si="11"/>
        <v>27000</v>
      </c>
      <c r="P35" s="39" t="s">
        <v>31</v>
      </c>
      <c r="Q35" s="42"/>
      <c r="R35" s="14"/>
      <c r="S35" s="240"/>
      <c r="T35" s="14"/>
      <c r="U35" s="294"/>
      <c r="V35" s="59">
        <v>906.25</v>
      </c>
      <c r="W35" s="59" t="s">
        <v>152</v>
      </c>
      <c r="X35" s="296"/>
    </row>
    <row r="36" spans="1:24" s="230" customFormat="1" ht="17.399999999999999" x14ac:dyDescent="0.35">
      <c r="B36" s="24" t="s">
        <v>148</v>
      </c>
      <c r="J36" s="261"/>
      <c r="K36" s="232"/>
      <c r="L36" s="249"/>
      <c r="M36" s="14"/>
      <c r="N36" s="249">
        <v>58860</v>
      </c>
      <c r="O36" s="12">
        <f t="shared" si="11"/>
        <v>0</v>
      </c>
      <c r="P36" s="39" t="s">
        <v>30</v>
      </c>
      <c r="Q36" s="42"/>
      <c r="S36" s="240"/>
      <c r="T36" s="255"/>
      <c r="U36" s="59"/>
      <c r="V36" s="59">
        <f>V35*20%</f>
        <v>181.25</v>
      </c>
      <c r="W36" s="296" t="s">
        <v>153</v>
      </c>
      <c r="X36" s="59"/>
    </row>
    <row r="37" spans="1:24" s="230" customFormat="1" ht="17.399999999999999" x14ac:dyDescent="0.35">
      <c r="B37" s="24" t="s">
        <v>162</v>
      </c>
      <c r="C37"/>
      <c r="D37"/>
      <c r="E37"/>
      <c r="F37"/>
      <c r="J37" s="261"/>
      <c r="K37" s="232"/>
      <c r="L37" s="249"/>
      <c r="M37" s="14">
        <v>1</v>
      </c>
      <c r="N37" s="249">
        <v>21000</v>
      </c>
      <c r="O37" s="12">
        <f t="shared" si="11"/>
        <v>21000</v>
      </c>
      <c r="P37" s="14" t="s">
        <v>139</v>
      </c>
      <c r="Q37" s="17"/>
      <c r="S37" s="238"/>
      <c r="T37" s="255"/>
      <c r="U37" s="59"/>
      <c r="V37" s="59">
        <f>V35+V36</f>
        <v>1087.5</v>
      </c>
      <c r="W37" s="296" t="s">
        <v>154</v>
      </c>
      <c r="X37" s="59"/>
    </row>
    <row r="38" spans="1:24" s="230" customFormat="1" ht="17.399999999999999" x14ac:dyDescent="0.35">
      <c r="A38" s="230" t="s">
        <v>283</v>
      </c>
      <c r="B38" s="29" t="s">
        <v>124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11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6"/>
      <c r="K39" s="259"/>
      <c r="L39" s="249"/>
      <c r="M39" s="265"/>
      <c r="N39" s="12">
        <v>2000</v>
      </c>
      <c r="O39" s="12">
        <f t="shared" si="11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56271.815999999999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33</v>
      </c>
      <c r="N41" s="12"/>
      <c r="O41" s="254">
        <f>O40*2.2</f>
        <v>123797.9952</v>
      </c>
      <c r="P41" s="14" t="s">
        <v>138</v>
      </c>
      <c r="Q41" s="14"/>
      <c r="R41" s="40">
        <f>P32/R40</f>
        <v>0.55758034943917179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K42" s="230">
        <v>32090</v>
      </c>
      <c r="L42" s="249"/>
      <c r="M42" s="14"/>
      <c r="N42" s="12"/>
      <c r="O42" s="12">
        <f>O41/P30</f>
        <v>71837.958794054401</v>
      </c>
      <c r="P42" s="45" t="s">
        <v>24</v>
      </c>
      <c r="Q42" s="14"/>
      <c r="R42" s="14"/>
      <c r="S42"/>
      <c r="T42" s="238"/>
      <c r="U42" s="59" t="s">
        <v>155</v>
      </c>
      <c r="V42" s="291">
        <v>43650</v>
      </c>
    </row>
    <row r="43" spans="1:24" s="230" customFormat="1" ht="17.399999999999999" x14ac:dyDescent="0.35">
      <c r="G43"/>
      <c r="K43" s="230">
        <f>K42/1.19</f>
        <v>26966.386554621851</v>
      </c>
      <c r="L43" s="249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157</v>
      </c>
      <c r="V43" s="292" t="s">
        <v>156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158</v>
      </c>
      <c r="V44" s="293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153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1">
    <mergeCell ref="B19:H19"/>
  </mergeCells>
  <phoneticPr fontId="32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5951-3DFB-43E1-AEF5-568E99DB16A0}">
  <dimension ref="A1:D2"/>
  <sheetViews>
    <sheetView tabSelected="1" workbookViewId="0">
      <selection activeCell="D3" sqref="D3"/>
    </sheetView>
  </sheetViews>
  <sheetFormatPr baseColWidth="10" defaultRowHeight="14.4" x14ac:dyDescent="0.3"/>
  <cols>
    <col min="1" max="1" width="14.109375" bestFit="1" customWidth="1"/>
    <col min="2" max="2" width="16" bestFit="1" customWidth="1"/>
  </cols>
  <sheetData>
    <row r="1" spans="1:4" x14ac:dyDescent="0.3">
      <c r="A1" t="s">
        <v>293</v>
      </c>
      <c r="B1" t="s">
        <v>294</v>
      </c>
      <c r="C1" t="s">
        <v>277</v>
      </c>
      <c r="D1" t="s">
        <v>6</v>
      </c>
    </row>
    <row r="2" spans="1:4" x14ac:dyDescent="0.3">
      <c r="A2" t="str">
        <f>'2229'!D8</f>
        <v>N° 12170</v>
      </c>
      <c r="B2" t="str">
        <f>'2229'!C10</f>
        <v>DECORAMUEBLES</v>
      </c>
      <c r="C2" s="1">
        <f>'2229'!G10</f>
        <v>46168</v>
      </c>
      <c r="D2" s="61">
        <f>'2229'!H30</f>
        <v>172307.24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46168</v>
      </c>
    </row>
    <row r="6" spans="2:31" ht="16.2" thickBot="1" x14ac:dyDescent="0.35">
      <c r="B6" s="140" t="s">
        <v>2</v>
      </c>
      <c r="C6" s="139" t="str">
        <f>'2229'!C10</f>
        <v>DECORAMUEBLES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12170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-6228.5423001207746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144796</v>
      </c>
      <c r="E11" s="132">
        <f>D11*0.19</f>
        <v>27511.24</v>
      </c>
      <c r="F11" s="131">
        <f>E11+D11</f>
        <v>172307.24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99761.457699879218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65105.906787439613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81761.457699879218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79690.093212560387</v>
      </c>
      <c r="E13" s="221">
        <f>(D11/D12)-1</f>
        <v>1.2240071161705162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72761.457699879218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33761.457699879225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107424.74619927535</v>
      </c>
      <c r="F15" s="216">
        <f>E15-D12</f>
        <v>42318.839411835739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33761.457699879225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73761.457699879218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27000</v>
      </c>
      <c r="E19" s="123">
        <f>D19*0.19</f>
        <v>5130</v>
      </c>
      <c r="F19" s="120">
        <f>SUM(D19:E19)</f>
        <v>32130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8271.8160000000007</v>
      </c>
      <c r="E20" s="121">
        <f>D20*0.19</f>
        <v>1571.6450400000001</v>
      </c>
      <c r="F20" s="120">
        <f>SUM(D20:E20)</f>
        <v>9843.4610400000001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35271.815999999999</v>
      </c>
      <c r="E21" s="116">
        <f>SUM(E18:E20)</f>
        <v>6701.6450400000003</v>
      </c>
      <c r="F21" s="115">
        <f>SUM(F18:F20)</f>
        <v>41973.461040000002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20809.594960000002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144796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35271.815999999999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79690.093212560387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79690.093212560387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12170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DECORAMUEBLES</v>
      </c>
      <c r="D10" s="349"/>
      <c r="E10" s="349"/>
      <c r="F10" s="350" t="s">
        <v>167</v>
      </c>
      <c r="G10" s="351">
        <f>'2229'!G10</f>
        <v>46168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46175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+56 9 9494 8892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2</v>
      </c>
      <c r="C22" s="312" t="str">
        <f>'2229'!C21</f>
        <v>PR6</v>
      </c>
      <c r="D22" s="320">
        <f>'2229'!D21*1000</f>
        <v>815</v>
      </c>
      <c r="E22" s="320">
        <f>'2229'!E21*1000</f>
        <v>295</v>
      </c>
      <c r="F22" s="321" t="str">
        <f>'2229'!F21</f>
        <v>BLANCO OPACO</v>
      </c>
      <c r="G22" s="313">
        <f>'2229'!G21</f>
        <v>21331</v>
      </c>
      <c r="H22" s="322">
        <f>G22*B22</f>
        <v>42662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42662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8105.78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50767.78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0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DECORAMUEBLES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46168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12170</v>
      </c>
      <c r="C2" s="1">
        <f>'NOTA DE VENTA'!$G$10</f>
        <v>46168</v>
      </c>
      <c r="D2" s="1">
        <f>'NOTA DE VENTA'!$G$11</f>
        <v>46175</v>
      </c>
      <c r="E2" t="str">
        <f>'NOTA DE VENTA'!$C$10</f>
        <v>DECORAMUEBLES</v>
      </c>
      <c r="F2" t="str">
        <f>'NOTA DE VENTA'!$C$22</f>
        <v>PR6</v>
      </c>
      <c r="G2" t="str">
        <f>'NOTA DE VENTA'!$F$22</f>
        <v>BLANCO OPACO</v>
      </c>
      <c r="H2" s="415">
        <f>'NOTA DE VENTA'!$H$25</f>
        <v>42662</v>
      </c>
      <c r="I2" s="415">
        <f>H2*0.19</f>
        <v>8105.78</v>
      </c>
      <c r="J2" s="415">
        <f>I2+H2</f>
        <v>50767.78</v>
      </c>
      <c r="L2" s="61">
        <f>J2-K2</f>
        <v>50767.78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2229</vt:lpstr>
      <vt:lpstr>RESUMEN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2026-05-25T15:12:38Z</cp:lastPrinted>
  <dcterms:created xsi:type="dcterms:W3CDTF">2013-03-18T13:35:42Z</dcterms:created>
  <dcterms:modified xsi:type="dcterms:W3CDTF">2026-05-27T18:49:47Z</dcterms:modified>
</cp:coreProperties>
</file>