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3D566408-8802-4374-9328-6948B357831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 s="1"/>
  <c r="G21" i="1"/>
  <c r="L21" i="1"/>
  <c r="M21" i="1"/>
  <c r="N21" i="1"/>
  <c r="L22" i="1"/>
  <c r="M22" i="1"/>
  <c r="N22" i="1"/>
  <c r="O22" i="1" s="1"/>
  <c r="P22" i="1" s="1"/>
  <c r="S22" i="1"/>
  <c r="O32" i="1"/>
  <c r="O21" i="1" l="1"/>
  <c r="P21" i="1" s="1"/>
  <c r="S21" i="1"/>
  <c r="P26" i="1"/>
  <c r="T21" i="1"/>
  <c r="T25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S28" i="1" l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R21" i="1" s="1"/>
  <c r="Q22" i="1"/>
  <c r="R22" i="1" s="1"/>
  <c r="O40" i="1"/>
  <c r="E15" i="3"/>
  <c r="H21" i="1" l="1"/>
  <c r="F15" i="3"/>
  <c r="H25" i="1" l="1"/>
  <c r="H26" i="1" s="1"/>
  <c r="H2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<sst xmlns="http://schemas.openxmlformats.org/spreadsheetml/2006/main" count="488" uniqueCount="296">
  <si>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</si>
  <si>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</si>
  <si>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</si>
  <si>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</si>
  <si>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</si>
  <si>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</si>
  <si>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</si>
  <si>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</si>
  <si>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</si>
  <si>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</si>
  <si>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</si>
  <si>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</si>
  <si>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</si>
  <si>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</si>
  <si>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</si>
  <si>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</si>
  <si>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</si>
  <si>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</si>
  <si>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</si>
  <si>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</si>
  <si>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</si>
  <si>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</si>
  <si>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</si>
  <si>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</si>
  <si>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</si>
  <si>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</si>
  <si>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</si>
  <si>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</si>
  <si>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</si>
  <si>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</si>
  <si>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</si>
  <si>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</si>
  <si>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</si>
  <si>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</si>
  <si>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</si>
  <si>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</si>
  <si>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</si>
  <si>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</si>
  <si>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</si>
  <si>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</si>
  <si>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</si>
  <si>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</si>
  <si>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</si>
  <si>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</si>
  <si>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</si>
  <si>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</si>
  <si>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</si>
  <si>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</si>
  <si>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</si>
  <si>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</si>
  <si>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</si>
  <si>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</si>
  <si>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</si>
  <si>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</si>
  <si>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</si>
  <si>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</si>
  <si>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</si>
  <si>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</si>
  <si>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</si>
  <si>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</si>
  <si>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</si>
  <si>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</si>
  <si>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</si>
  <si>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</si>
  <si>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</si>
  <si>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</si>
  <si>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</si>
  <si>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</si>
  <si>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</si>
  <si>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</si>
  <si>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</si>
  <si>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</si>
  <si>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</si>
  <si>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</si>
  <si>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</si>
  <si>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</si>
  <si>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</si>
  <si>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</si>
  <si>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</si>
  <si>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</si>
  <si>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</si>
  <si>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</si>
  <si>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</si>
  <si>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</si>
  <si>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</si>
  <si>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</si>
  <si>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</si>
  <si>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</si>
  <si>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</si>
  <si>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</si>
  <si>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</si>
  <si>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</si>
  <si>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</si>
  <si>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</si>
  <si>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</si>
  <si>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</si>
  <si>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</si>
  <si>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</si>
  <si>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</si>
  <si>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</si>
  <si>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</si>
  <si>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</si>
  <si>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</si>
  <si>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</si>
  <si>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</si>
  <si>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</si>
  <si>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</si>
  <si>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</si>
  <si>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</si>
  <si>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</si>
  <si>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</si>
  <si>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</si>
  <si>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</si>
  <si>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</si>
  <si>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</si>
  <si>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</si>
  <si>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</si>
  <si>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</si>
  <si>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</si>
  <si>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</si>
  <si>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</si>
  <si>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</si>
  <si>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</si>
  <si>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</si>
  <si>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</si>
  <si>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</si>
  <si>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</si>
  <si>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</si>
  <si>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</si>
  <si>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</si>
  <si>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</si>
  <si>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</si>
  <si>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</si>
  <si>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</si>
  <si>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</si>
  <si>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</si>
  <si>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</si>
  <si>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</si>
  <si>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</si>
  <si>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</si>
  <si>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</si>
  <si>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</si>
  <si>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</si>
  <si>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</si>
  <si>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</si>
  <si>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</si>
  <si>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</si>
  <si>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</si>
  <si>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</si>
  <si>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</si>
  <si>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</si>
  <si>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</si>
  <si>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</si>
  <si>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</si>
  <si>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</si>
  <si>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</si>
  <si>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</si>
  <si>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</si>
  <si>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</si>
  <si>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</si>
  <si>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</si>
  <si>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</si>
  <si>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</si>
  <si>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</si>
  <si>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</si>
  <si>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</si>
  <si>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</si>
  <si>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</si>
  <si>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</si>
  <si>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</si>
  <si>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</si>
  <si>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</si>
  <si>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</si>
  <si>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</si>
  <si>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</si>
  <si>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</si>
  <si>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</si>
  <si>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</si>
  <si>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</si>
  <si>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</si>
  <si>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</si>
  <si>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</si>
  <si>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</si>
  <si>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</si>
  <si>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</si>
  <si>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</si>
  <si>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</si>
  <si>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</si>
  <si>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</si>
  <si>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</si>
  <si>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</si>
  <si>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</si>
  <si>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</si>
  <si>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</si>
  <si>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</si>
  <si>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</si>
  <si>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</si>
  <si>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</si>
  <si>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</si>
  <si>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</si>
  <si>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</si>
  <si>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</si>
  <si>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</si>
  <si>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</si>
  <si>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</si>
  <si>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</si>
  <si>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</si>
  <si>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</si>
  <si>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</si>
  <si>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</si>
  <si>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</si>
  <si>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</si>
  <si>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</si>
  <si>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</si>
  <si>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</si>
  <si>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</si>
  <si>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</si>
  <si>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</si>
  <si>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</si>
  <si>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</si>
  <si>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</si>
  <si>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</si>
  <si>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</si>
  <si>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</si>
  <si>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</si>
  <si>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</si>
  <si>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</si>
  <si>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</si>
  <si>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</si>
  <si>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</si>
  <si>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</si>
  <si>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</si>
  <si>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</si>
  <si>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</si>
  <si>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</si>
  <si>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</si>
  <si>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</si>
  <si>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</si>
  <si>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</si>
  <si>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</si>
  <si>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</si>
  <si>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</si>
  <si>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</si>
  <si>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</si>
  <si>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</si>
  <si>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</si>
  <si>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</si>
  <si>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</si>
  <si>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</si>
  <si>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</si>
  <si>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</si>
  <si>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</si>
  <si>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</si>
  <si>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</si>
  <si>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</si>
  <si>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</si>
  <si>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</si>
  <si>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</si>
  <si>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</si>
  <si>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</si>
  <si>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</si>
  <si>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</si>
  <si>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</si>
  <si>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</si>
  <si>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</si>
  <si>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</si>
  <si>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</si>
  <si>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</si>
  <si>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</si>
  <si>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</si>
  <si>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</si>
  <si>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</si>
  <si>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</si>
  <si>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</si>
  <si>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</si>
  <si>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</si>
  <si>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</si>
  <si>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</si>
  <si>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</si>
  <si>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</si>
  <si>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</si>
  <si>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</si>
  <si>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</si>
  <si>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</si>
  <si>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</si>
  <si>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</si>
  <si>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</si>
  <si>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</si>
  <si>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</si>
  <si>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</si>
  <si>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5 DÍAS HÁBILES</t>
  </si>
  <si>
    <t>CUB CON RESPALDO FTE 90°</t>
  </si>
  <si>
    <t>RUBY 2135 BR</t>
  </si>
  <si>
    <t>JOSE MARIO</t>
  </si>
  <si>
    <t>+56 9 6256 8746</t>
  </si>
  <si>
    <t>N° 12134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</si>
</sst>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50" fillId="0" borderId="0" xfId="0" quotePrefix="1" applyFont="1" applyAlignment="1">
      <alignment horizontal="left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5</xdr:col>
      <xdr:colOff>1736459</xdr:colOff>
      <xdr:row>26</xdr:row>
      <xdr:rowOff>217415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8214" y="4950907"/>
          <a:ext cx="6331487" cy="88730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 MEDIDAS EN EL LARGO.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1" zoomScaleNormal="91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293</v>
      </c>
      <c r="D10" s="243"/>
      <c r="E10" s="243"/>
      <c r="F10" s="418" t="s">
        <v>275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81403.337679269898</v>
      </c>
      <c r="R20" s="257">
        <v>2000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291</v>
      </c>
      <c r="D21" s="434">
        <v>0.8</v>
      </c>
      <c r="E21" s="434">
        <v>0.7</v>
      </c>
      <c r="F21" s="313" t="s">
        <v>292</v>
      </c>
      <c r="G21" s="314">
        <f>Q21</f>
        <v>50144.456010430258</v>
      </c>
      <c r="H21" s="435">
        <f>G21*B21</f>
        <v>50144.456010430258</v>
      </c>
      <c r="I21" s="306"/>
      <c r="J21" s="264"/>
      <c r="K21" s="47"/>
      <c r="L21" s="47">
        <f t="shared" ref="L21:L22" si="0">B21</f>
        <v>1</v>
      </c>
      <c r="M21" s="39">
        <f t="shared" ref="M21:M22" si="1">D21+M$19</f>
        <v>0.88</v>
      </c>
      <c r="N21" s="39">
        <f t="shared" ref="N21:N22" si="2">E21+$N$19</f>
        <v>0.7</v>
      </c>
      <c r="O21" s="260">
        <f t="shared" ref="O21:O22" si="3">M21*N21</f>
        <v>0.61599999999999999</v>
      </c>
      <c r="P21" s="258">
        <f t="shared" ref="P21:P22" si="4">O21*L21</f>
        <v>0.61599999999999999</v>
      </c>
      <c r="Q21" s="251">
        <f t="shared" ref="Q21:Q22" si="5">Q$20*O21</f>
        <v>50144.456010430258</v>
      </c>
      <c r="R21" s="305">
        <f t="shared" ref="R21:R22" si="6">Q21+R$20</f>
        <v>52144.456010430258</v>
      </c>
      <c r="S21" s="290">
        <f t="shared" ref="S21:S22" si="7">M21*L21*2</f>
        <v>1.76</v>
      </c>
      <c r="T21" s="46">
        <f>N21*L21*2</f>
        <v>1.4</v>
      </c>
      <c r="U21" s="9"/>
      <c r="X21" s="4"/>
    </row>
    <row r="22" spans="1:25" ht="17.399999999999999" x14ac:dyDescent="0.3">
      <c r="B22" s="436">
        <v>1</v>
      </c>
      <c r="C22" s="431" t="s">
        <v>291</v>
      </c>
      <c r="D22" s="432">
        <v>1.45</v>
      </c>
      <c r="E22" s="432">
        <v>0.6</v>
      </c>
      <c r="F22" s="431" t="s">
        <v>292</v>
      </c>
      <c r="G22" s="433">
        <f>Q22</f>
        <v>74728.263989569765</v>
      </c>
      <c r="H22" s="437">
        <f>G22*B22</f>
        <v>74728.263989569765</v>
      </c>
      <c r="I22" s="306"/>
      <c r="J22" s="264"/>
      <c r="K22" s="47"/>
      <c r="L22" s="47">
        <f t="shared" si="0"/>
        <v>1</v>
      </c>
      <c r="M22" s="39">
        <f t="shared" si="1"/>
        <v>1.53</v>
      </c>
      <c r="N22" s="39">
        <f t="shared" si="2"/>
        <v>0.6</v>
      </c>
      <c r="O22" s="260">
        <f t="shared" si="3"/>
        <v>0.91799999999999993</v>
      </c>
      <c r="P22" s="258">
        <f t="shared" si="4"/>
        <v>0.91799999999999993</v>
      </c>
      <c r="Q22" s="251">
        <f t="shared" si="5"/>
        <v>74728.263989569765</v>
      </c>
      <c r="R22" s="305">
        <f t="shared" si="6"/>
        <v>76728.263989569765</v>
      </c>
      <c r="S22" s="290">
        <f t="shared" si="7"/>
        <v>3.06</v>
      </c>
      <c r="T22" s="46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124872.72000000003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SUM(T21:T24)</f>
        <v>1.4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23725.816800000008</v>
      </c>
      <c r="I26" s="308"/>
      <c r="J26" s="264"/>
      <c r="K26" s="47"/>
      <c r="L26" s="429">
        <f>M26*10</f>
        <v>24.1</v>
      </c>
      <c r="M26" s="39">
        <f>SUM(M21:M25)</f>
        <v>2.41</v>
      </c>
      <c r="N26" s="12"/>
      <c r="O26" s="12"/>
      <c r="P26" s="252">
        <f>SUM(P21:P24)</f>
        <v>1.5339999999999998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148598.53680000003</v>
      </c>
      <c r="I27" s="308"/>
      <c r="J27" s="264"/>
      <c r="K27" s="47"/>
      <c r="L27" s="47"/>
      <c r="M27" s="39"/>
      <c r="N27" s="12"/>
      <c r="O27" s="12"/>
      <c r="P27" s="252">
        <f>P26</f>
        <v>1.5339999999999998</v>
      </c>
      <c r="Q27" s="14"/>
      <c r="R27" s="12"/>
      <c r="S27" s="239">
        <f>SUM(S21:S26)</f>
        <v>4.82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0.30679999999999996</v>
      </c>
      <c r="Q28" s="39" t="s">
        <v>128</v>
      </c>
      <c r="R28" s="42"/>
      <c r="S28" s="240">
        <f>S27+T25</f>
        <v>6.2200000000000006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1.8407999999999998</v>
      </c>
      <c r="Q29" s="14"/>
      <c r="R29" s="14"/>
      <c r="S29" s="238">
        <f>S28*20%</f>
        <v>1.2440000000000002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7.4640000000000004</v>
      </c>
      <c r="T30" s="14"/>
      <c r="U30" s="294" t="s">
        <v>21</v>
      </c>
      <c r="V30" s="291" t="s">
        <v>147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1.8407999999999998</v>
      </c>
      <c r="N31" s="12">
        <v>4000</v>
      </c>
      <c r="O31" s="12">
        <f t="shared" ref="O31:O36" si="8">M31*N31</f>
        <v>7363.1999999999989</v>
      </c>
      <c r="P31" s="14" t="s">
        <v>21</v>
      </c>
      <c r="Q31" s="14"/>
      <c r="R31" s="14"/>
      <c r="S31" s="241"/>
      <c r="T31" s="14"/>
      <c r="U31" s="294" t="s">
        <v>148</v>
      </c>
      <c r="V31" s="291">
        <v>3625</v>
      </c>
      <c r="W31" s="59" t="s">
        <v>149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0.5</v>
      </c>
      <c r="N32" s="12">
        <v>25000</v>
      </c>
      <c r="O32" s="12">
        <f t="shared" si="8"/>
        <v>12500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150</v>
      </c>
      <c r="X32" s="296"/>
    </row>
    <row r="33" spans="1:24" s="230" customFormat="1" ht="17.399999999999999" x14ac:dyDescent="0.35">
      <c r="B33" s="24" t="s">
        <v>146</v>
      </c>
      <c r="J33" s="261"/>
      <c r="K33" s="232"/>
      <c r="L33" s="249"/>
      <c r="M33" s="14"/>
      <c r="N33" s="249">
        <v>33975</v>
      </c>
      <c r="O33" s="12">
        <f t="shared" si="8"/>
        <v>0</v>
      </c>
      <c r="P33" s="39" t="s">
        <v>287</v>
      </c>
      <c r="Q33" s="42"/>
      <c r="S33" s="240"/>
      <c r="T33" s="255"/>
      <c r="U33" s="59"/>
      <c r="V33" s="59">
        <f>V32*20%</f>
        <v>181.25</v>
      </c>
      <c r="W33" s="296" t="s">
        <v>151</v>
      </c>
      <c r="X33" s="59"/>
    </row>
    <row r="34" spans="1:24" s="230" customFormat="1" ht="17.399999999999999" x14ac:dyDescent="0.35">
      <c r="B34" s="24" t="s">
        <v>160</v>
      </c>
      <c r="C34"/>
      <c r="D34"/>
      <c r="E34"/>
      <c r="F34"/>
      <c r="J34" s="261"/>
      <c r="K34" s="232"/>
      <c r="L34" s="249"/>
      <c r="M34" s="14">
        <v>1</v>
      </c>
      <c r="N34" s="249">
        <v>35000</v>
      </c>
      <c r="O34" s="12">
        <f t="shared" si="8"/>
        <v>35000</v>
      </c>
      <c r="P34" s="14" t="s">
        <v>288</v>
      </c>
      <c r="Q34" s="17"/>
      <c r="S34" s="238"/>
      <c r="T34" s="255"/>
      <c r="U34" s="59"/>
      <c r="V34" s="59">
        <f>V32+V33</f>
        <v>1087.5</v>
      </c>
      <c r="W34" s="296" t="s">
        <v>152</v>
      </c>
      <c r="X34" s="59"/>
    </row>
    <row r="35" spans="1:24" s="230" customFormat="1" ht="17.399999999999999" x14ac:dyDescent="0.35">
      <c r="A35" s="230" t="s">
        <v>281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90000</v>
      </c>
      <c r="O35" s="12">
        <f t="shared" si="8"/>
        <v>0</v>
      </c>
      <c r="P35" s="14" t="s">
        <v>289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2.2999999999999998</v>
      </c>
      <c r="N36" s="12">
        <v>2000</v>
      </c>
      <c r="O36" s="12">
        <f t="shared" si="8"/>
        <v>4600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59463.199999999997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O37*2.1</f>
        <v>124872.72</v>
      </c>
      <c r="P38" s="14" t="s">
        <v>137</v>
      </c>
      <c r="Q38" s="14"/>
      <c r="R38" s="40">
        <f>P29/R37</f>
        <v>0.49633304572907672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81403.337679269898</v>
      </c>
      <c r="P39" s="45" t="s">
        <v>24</v>
      </c>
      <c r="Q39" s="14"/>
      <c r="R39" s="14"/>
      <c r="S39"/>
      <c r="T39" s="238"/>
      <c r="U39" s="59" t="s">
        <v>153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155</v>
      </c>
      <c r="V40" s="292" t="s">
        <v>154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156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151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143</v>
      </c>
    </row>
    <row r="75" spans="3:15" x14ac:dyDescent="0.3">
      <c r="C75" t="s">
        <v>142</v>
      </c>
    </row>
    <row r="78" spans="3:15" x14ac:dyDescent="0.3">
      <c r="C78" t="s">
        <v>142</v>
      </c>
    </row>
    <row r="155" spans="3:3" x14ac:dyDescent="0.3">
      <c r="C155" t="s">
        <v>142</v>
      </c>
    </row>
    <row r="156" spans="3:3" x14ac:dyDescent="0.3">
      <c r="C156" t="s">
        <v>144</v>
      </c>
    </row>
    <row r="157" spans="3:3" x14ac:dyDescent="0.3">
      <c r="C157" t="s">
        <v>145</v>
      </c>
    </row>
    <row r="582" spans="3:3" x14ac:dyDescent="0.3">
      <c r="C582" t="s">
        <v>142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JOSE MARIO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12134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-7145.3650334541135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124872.72000000003</v>
      </c>
      <c r="E11" s="132">
        <f>D11*0.19</f>
        <v>23725.816800000008</v>
      </c>
      <c r="F11" s="131">
        <f>E11+D11</f>
        <v>148598.53680000003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98844.634966545884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49697.290787439611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80844.634966545884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75175.429212560412</v>
      </c>
      <c r="E13" s="221">
        <f>(D11/D12)-1</f>
        <v>1.5126665462327393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71844.634966545884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32844.634966545884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82000.529799275348</v>
      </c>
      <c r="F15" s="216">
        <f>E15-D12</f>
        <v>32303.239011835736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32844.634966545884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72844.634966545884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7363.1999999999989</v>
      </c>
      <c r="E20" s="121">
        <f>D20*0.19</f>
        <v>1399.0079999999998</v>
      </c>
      <c r="F20" s="120">
        <f>SUM(D20:E20)</f>
        <v>8762.2079999999987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19863.199999999997</v>
      </c>
      <c r="E21" s="116">
        <f>SUM(E18:E20)</f>
        <v>3774.0079999999998</v>
      </c>
      <c r="F21" s="115">
        <f>SUM(F18:F20)</f>
        <v>23637.207999999999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19951.808800000006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124872.72000000003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19863.199999999997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75175.429212560412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75175.429212560412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12134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JOSE MARIO</v>
      </c>
      <c r="D10" s="350"/>
      <c r="E10" s="350"/>
      <c r="F10" s="351" t="s">
        <v>165</v>
      </c>
      <c r="G10" s="352">
        <f>'2229'!G10</f>
        <v>46156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46163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+56 9 6256 8746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JOSE MARIO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12134</v>
      </c>
      <c r="C2" s="1">
        <f>'NOTA DE VENTA'!$G$10</f>
        <v>46156</v>
      </c>
      <c r="D2" s="1">
        <f>'NOTA DE VENTA'!$G$11</f>
        <v>46163</v>
      </c>
      <c r="E2" t="str">
        <f>'NOTA DE VENTA'!$C$10</f>
        <v>JOSE MARIO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2026-05-14T14:15:07Z</cp:lastPrinted>
  <dcterms:created xsi:type="dcterms:W3CDTF">2013-03-18T13:35:42Z</dcterms:created>
  <dcterms:modified xsi:type="dcterms:W3CDTF">2026-05-14T14:15:11Z</dcterms:modified>
</cp:coreProperties>
</file>