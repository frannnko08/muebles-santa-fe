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5D712FA3-E388-4748-9B91-641FF9AF30F9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<sst xmlns="http://schemas.openxmlformats.org/spreadsheetml/2006/main" count="485" uniqueCount="293">
  <si>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</si>
  <si>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</si>
  <si>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</si>
  <si>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</si>
  <si>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</si>
  <si>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</si>
  <si>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</si>
  <si>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</si>
  <si>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</si>
  <si>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</si>
  <si>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</si>
  <si>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</si>
  <si>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</si>
  <si>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</si>
  <si>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</si>
  <si>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</si>
  <si>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</si>
  <si>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</si>
  <si>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</si>
  <si>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</si>
  <si>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</si>
  <si>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</si>
  <si>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</si>
  <si>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</si>
  <si>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</si>
  <si>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</si>
  <si>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</si>
  <si>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</si>
  <si>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</si>
  <si>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</si>
  <si>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</si>
  <si>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</si>
  <si>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</si>
  <si>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</si>
  <si>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</si>
  <si>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</si>
  <si>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</si>
  <si>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</si>
  <si>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</si>
  <si>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</si>
  <si>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</si>
  <si>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</si>
  <si>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</si>
  <si>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</si>
  <si>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</si>
  <si>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</si>
  <si>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</si>
  <si>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</si>
  <si>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</si>
  <si>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</si>
  <si>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</si>
  <si>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</si>
  <si>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</si>
  <si>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</si>
  <si>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</si>
  <si>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</si>
  <si>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</si>
  <si>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</si>
  <si>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</si>
  <si>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</si>
  <si>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</si>
  <si>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</si>
  <si>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</si>
  <si>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</si>
  <si>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</si>
  <si>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</si>
  <si>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</si>
  <si>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</si>
  <si>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</si>
  <si>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</si>
  <si>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</si>
  <si>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</si>
  <si>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</si>
  <si>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</si>
  <si>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</si>
  <si>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</si>
  <si>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</si>
  <si>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</si>
  <si>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</si>
  <si>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</si>
  <si>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</si>
  <si>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</si>
  <si>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</si>
  <si>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</si>
  <si>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</si>
  <si>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</si>
  <si>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</si>
  <si>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</si>
  <si>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</si>
  <si>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</si>
  <si>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</si>
  <si>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</si>
  <si>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</si>
  <si>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</si>
  <si>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</si>
  <si>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</si>
  <si>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</si>
  <si>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</si>
  <si>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</si>
  <si>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</si>
  <si>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</si>
  <si>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</si>
  <si>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</si>
  <si>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</si>
  <si>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</si>
  <si>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</si>
  <si>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</si>
  <si>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</si>
  <si>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</si>
  <si>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</si>
  <si>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</si>
  <si>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</si>
  <si>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</si>
  <si>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</si>
  <si>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</si>
  <si>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</si>
  <si>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</si>
  <si>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</si>
  <si>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</si>
  <si>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</si>
  <si>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</si>
  <si>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</si>
  <si>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</si>
  <si>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</si>
  <si>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</si>
  <si>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</si>
  <si>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</si>
  <si>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</si>
  <si>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</si>
  <si>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</si>
  <si>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</si>
  <si>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</si>
  <si>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</si>
  <si>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</si>
  <si>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</si>
  <si>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</si>
  <si>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</si>
  <si>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</si>
  <si>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</si>
  <si>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</si>
  <si>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</si>
  <si>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</si>
  <si>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</si>
  <si>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</si>
  <si>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</si>
  <si>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</si>
  <si>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</si>
  <si>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</si>
  <si>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</si>
  <si>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</si>
  <si>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</si>
  <si>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</si>
  <si>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</si>
  <si>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</si>
  <si>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</si>
  <si>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</si>
  <si>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</si>
  <si>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</si>
  <si>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</si>
  <si>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</si>
  <si>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</si>
  <si>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</si>
  <si>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</si>
  <si>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</si>
  <si>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</si>
  <si>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</si>
  <si>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</si>
  <si>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</si>
  <si>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</si>
  <si>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</si>
  <si>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</si>
  <si>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</si>
  <si>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</si>
  <si>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</si>
  <si>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</si>
  <si>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</si>
  <si>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</si>
  <si>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</si>
  <si>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</si>
  <si>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</si>
  <si>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</si>
  <si>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</si>
  <si>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</si>
  <si>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</si>
  <si>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</si>
  <si>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</si>
  <si>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</si>
  <si>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</si>
  <si>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</si>
  <si>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</si>
  <si>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</si>
  <si>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</si>
  <si>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</si>
  <si>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</si>
  <si>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</si>
  <si>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</si>
  <si>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</si>
  <si>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</si>
  <si>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</si>
  <si>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</si>
  <si>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</si>
  <si>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</si>
  <si>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</si>
  <si>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</si>
  <si>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</si>
  <si>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</si>
  <si>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</si>
  <si>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</si>
  <si>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</si>
  <si>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</si>
  <si>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</si>
  <si>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</si>
  <si>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</si>
  <si>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</si>
  <si>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</si>
  <si>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</si>
  <si>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</si>
  <si>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</si>
  <si>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</si>
  <si>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</si>
  <si>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</si>
  <si>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</si>
  <si>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</si>
  <si>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</si>
  <si>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</si>
  <si>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</si>
  <si>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</si>
  <si>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</si>
  <si>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</si>
  <si>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</si>
  <si>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</si>
  <si>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</si>
  <si>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</si>
  <si>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</si>
  <si>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</si>
  <si>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</si>
  <si>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</si>
  <si>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</si>
  <si>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</si>
  <si>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</si>
  <si>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</si>
  <si>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</si>
  <si>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</si>
  <si>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</si>
  <si>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</si>
  <si>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</si>
  <si>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</si>
  <si>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</si>
  <si>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</si>
  <si>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</si>
  <si>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</si>
  <si>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</si>
  <si>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</si>
  <si>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</si>
  <si>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</si>
  <si>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</si>
  <si>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</si>
  <si>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</si>
  <si>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</si>
  <si>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</si>
  <si>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</si>
  <si>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</si>
  <si>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</si>
  <si>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</si>
  <si>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</si>
  <si>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</si>
  <si>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</si>
  <si>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</si>
  <si>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</si>
  <si>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</si>
  <si>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</si>
  <si>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</si>
  <si>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</si>
  <si>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</si>
  <si>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</si>
  <si>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</si>
  <si>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</si>
  <si>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</si>
  <si>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</si>
  <si>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</si>
  <si>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</si>
  <si>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</si>
  <si>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</si>
  <si>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</si>
  <si>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</si>
  <si>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</si>
  <si>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</si>
  <si>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</si>
  <si>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+569 8966 9555</t>
  </si>
  <si>
    <t>CUB SIN RESPALDO FTE 90°</t>
  </si>
  <si>
    <t>GRIS MT</t>
  </si>
  <si>
    <t>N° 12142</t>
  </si>
  <si>
    <t>MISMO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</si>
</sst>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153629</xdr:rowOff>
    </xdr:from>
    <xdr:to>
      <xdr:col>5</xdr:col>
      <xdr:colOff>1736459</xdr:colOff>
      <xdr:row>24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5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/>
      <c r="D10" s="243"/>
      <c r="E10" s="243"/>
      <c r="F10" s="417" t="s">
        <v>277</v>
      </c>
      <c r="G10" s="275">
        <v>46157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292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288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57871.827956989255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0" t="s">
        <v>289</v>
      </c>
      <c r="D21" s="431">
        <v>2.4</v>
      </c>
      <c r="E21" s="431">
        <v>0.6</v>
      </c>
      <c r="F21" s="312" t="s">
        <v>290</v>
      </c>
      <c r="G21" s="313">
        <f>Q21</f>
        <v>86113.280000000013</v>
      </c>
      <c r="H21" s="432">
        <f>G21*B21</f>
        <v>86113.280000000013</v>
      </c>
      <c r="I21" s="305"/>
      <c r="J21" s="264"/>
      <c r="K21" s="47"/>
      <c r="L21" s="47">
        <f>B21</f>
        <v>1</v>
      </c>
      <c r="M21" s="39">
        <f>D21+M$19</f>
        <v>2.48</v>
      </c>
      <c r="N21" s="39">
        <f>E21+$N$19</f>
        <v>0.6</v>
      </c>
      <c r="O21" s="260">
        <f t="shared" ref="O21" si="0">M21*N21</f>
        <v>1.488</v>
      </c>
      <c r="P21" s="258">
        <f t="shared" ref="P21" si="1">O21*L21</f>
        <v>1.488</v>
      </c>
      <c r="Q21" s="251">
        <f t="shared" ref="Q21" si="2">Q$20*O21</f>
        <v>86113.280000000013</v>
      </c>
      <c r="R21" s="304">
        <f t="shared" ref="R21" si="3">Q21+R$20</f>
        <v>89113.280000000013</v>
      </c>
      <c r="S21" s="290">
        <f>M21*L21</f>
        <v>2.48</v>
      </c>
      <c r="T21" s="46">
        <f>N21*2*L21*2</f>
        <v>2.4</v>
      </c>
      <c r="U21" s="9"/>
      <c r="X21" s="4"/>
    </row>
    <row r="22" spans="1:25" ht="18" thickBot="1" x14ac:dyDescent="0.35">
      <c r="B22" s="283"/>
      <c r="C22" s="324"/>
      <c r="D22" s="284"/>
      <c r="E22" s="284"/>
      <c r="F22" s="283"/>
      <c r="G22" s="264"/>
      <c r="H22" s="306"/>
      <c r="I22" s="308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9" t="s">
        <v>28</v>
      </c>
      <c r="H23" s="310">
        <f>SUM(H21:H21)</f>
        <v>86113.280000000013</v>
      </c>
      <c r="I23" s="307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2.4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16361.523200000003</v>
      </c>
      <c r="I24" s="307"/>
      <c r="J24" s="264"/>
      <c r="K24" s="47"/>
      <c r="L24" s="47"/>
      <c r="M24" s="39">
        <f>SUM(M21:M23)</f>
        <v>2.48</v>
      </c>
      <c r="N24" s="12"/>
      <c r="O24" s="12"/>
      <c r="P24" s="252">
        <f>SUM(P21:P22)</f>
        <v>1.488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102474.80320000002</v>
      </c>
      <c r="I25" s="307"/>
      <c r="J25" s="264"/>
      <c r="K25" s="47"/>
      <c r="L25" s="47"/>
      <c r="M25" s="39"/>
      <c r="N25" s="12"/>
      <c r="O25" s="12"/>
      <c r="P25" s="252">
        <f>P24</f>
        <v>1.488</v>
      </c>
      <c r="Q25" s="14"/>
      <c r="R25" s="12"/>
      <c r="S25" s="239">
        <f>SUM(S21:S24)</f>
        <v>2.48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0.29760000000000003</v>
      </c>
      <c r="Q26" s="39" t="s">
        <v>129</v>
      </c>
      <c r="R26" s="42"/>
      <c r="S26" s="240">
        <f>S25+T23</f>
        <v>4.88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1.7856000000000001</v>
      </c>
      <c r="Q27" s="14"/>
      <c r="R27" s="14"/>
      <c r="S27" s="238">
        <f>S26*20%</f>
        <v>0.97599999999999998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5.8559999999999999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1.7856000000000001</v>
      </c>
      <c r="N29" s="12">
        <v>4000</v>
      </c>
      <c r="O29" s="12">
        <f t="shared" ref="O29:O34" si="4">M29*N29</f>
        <v>7142.4000000000005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0.48</v>
      </c>
      <c r="N30" s="12">
        <v>25000</v>
      </c>
      <c r="O30" s="12">
        <f t="shared" si="4"/>
        <v>12000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4"/>
        <v>20000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39142.400000000001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86113.280000000013</v>
      </c>
      <c r="P36" s="14" t="s">
        <v>138</v>
      </c>
      <c r="Q36" s="14"/>
      <c r="R36" s="40">
        <f>P27/R35</f>
        <v>0.4814495254529767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57871.827956989255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46157</v>
      </c>
    </row>
    <row r="6" spans="2:31" ht="16.2" thickBot="1" x14ac:dyDescent="0.35">
      <c r="B6" s="140" t="s">
        <v>2</v>
      </c>
      <c r="C6" s="139">
        <f>'2229'!C10</f>
        <v>0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12142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-883.678366787443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86113.280000000013</v>
      </c>
      <c r="E11" s="132">
        <f>D11*0.19</f>
        <v>16361.523200000003</v>
      </c>
      <c r="F11" s="131">
        <f>E11+D11</f>
        <v>102474.80320000002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105106.32163321256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48976.490787439616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87106.321633212559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37136.789212560398</v>
      </c>
      <c r="E13" s="221">
        <f>(D11/D12)-1</f>
        <v>0.75825745404536837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78106.321633212559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39106.321633212559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80811.209799275355</v>
      </c>
      <c r="F15" s="216">
        <f>E15-D12</f>
        <v>31834.719011835739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39106.321633212559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79106.321633212559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12000</v>
      </c>
      <c r="E19" s="123">
        <f>D19*0.19</f>
        <v>2280</v>
      </c>
      <c r="F19" s="120">
        <f>SUM(D19:E19)</f>
        <v>14280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7142.4000000000005</v>
      </c>
      <c r="E20" s="121">
        <f>D20*0.19</f>
        <v>1357.056</v>
      </c>
      <c r="F20" s="120">
        <f>SUM(D20:E20)</f>
        <v>8499.4560000000001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19142.400000000001</v>
      </c>
      <c r="E21" s="116">
        <f>SUM(E18:E20)</f>
        <v>3637.056</v>
      </c>
      <c r="F21" s="115">
        <f>SUM(F18:F20)</f>
        <v>22779.455999999998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12724.467200000003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86113.280000000013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19142.400000000001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37136.789212560398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37136.789212560398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12142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/>
      </c>
      <c r="D10" s="349"/>
      <c r="E10" s="349"/>
      <c r="F10" s="350" t="s">
        <v>167</v>
      </c>
      <c r="G10" s="351">
        <f>'2229'!G10</f>
        <v>46157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46164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+569 8966 9555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SIN RESPALDO FTE 90°</v>
      </c>
      <c r="D22" s="320">
        <f>'2229'!D21*1000</f>
        <v>2400</v>
      </c>
      <c r="E22" s="320">
        <f>'2229'!E21*1000</f>
        <v>600</v>
      </c>
      <c r="F22" s="321" t="str">
        <f>'2229'!F21</f>
        <v>GRIS MT</v>
      </c>
      <c r="G22" s="313">
        <f>'2229'!G21</f>
        <v>86113.280000000013</v>
      </c>
      <c r="H22" s="322">
        <f>G22*B22</f>
        <v>86113.280000000013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86113.280000000013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16361.523200000003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102474.80320000002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0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/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46157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12142</v>
      </c>
      <c r="C2" s="1">
        <f>'NOTA DE VENTA'!$G$10</f>
        <v>46157</v>
      </c>
      <c r="D2" s="1">
        <f>'NOTA DE VENTA'!$G$11</f>
        <v>46164</v>
      </c>
      <c r="E2" t="str">
        <f>'NOTA DE VENTA'!$C$10</f>
        <v/>
      </c>
      <c r="F2" t="str">
        <f>'NOTA DE VENTA'!$C$22</f>
        <v>CUB SIN RESPALDO FTE 90°</v>
      </c>
      <c r="G2" t="str">
        <f>'NOTA DE VENTA'!$F$22</f>
        <v>GRIS MT</v>
      </c>
      <c r="H2" s="415">
        <f>'NOTA DE VENTA'!$H$25</f>
        <v>86113.280000000013</v>
      </c>
      <c r="I2" s="415">
        <f>H2*0.19</f>
        <v>16361.523200000003</v>
      </c>
      <c r="J2" s="415">
        <f>I2+H2</f>
        <v>102474.80320000002</v>
      </c>
      <c r="L2" s="61">
        <f>J2-K2</f>
        <v>102474.80320000002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2026-05-14T16:01:00Z</cp:lastPrinted>
  <dcterms:created xsi:type="dcterms:W3CDTF">2013-03-18T13:35:42Z</dcterms:created>
  <dcterms:modified xsi:type="dcterms:W3CDTF">2026-05-15T16:25:41Z</dcterms:modified>
</cp:coreProperties>
</file>