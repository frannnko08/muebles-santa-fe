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98BE28C6-674F-4D02-BB3E-3C89C164B6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<sst xmlns="http://schemas.openxmlformats.org/spreadsheetml/2006/main" count="488" uniqueCount="297">
  <si>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</si>
  <si>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</si>
  <si>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</si>
  <si>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</si>
  <si>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</si>
  <si>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</si>
  <si>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</si>
  <si>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</si>
  <si>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</si>
  <si>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</si>
  <si>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</si>
  <si>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</si>
  <si>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</si>
  <si>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</si>
  <si>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</si>
  <si>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</si>
  <si>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</si>
  <si>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</si>
  <si>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</si>
  <si>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</si>
  <si>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</si>
  <si>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</si>
  <si>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</si>
  <si>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</si>
  <si>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</si>
  <si>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</si>
  <si>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</si>
  <si>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</si>
  <si>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</si>
  <si>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</si>
  <si>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</si>
  <si>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</si>
  <si>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</si>
  <si>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</si>
  <si>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</si>
  <si>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</si>
  <si>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</si>
  <si>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</si>
  <si>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</si>
  <si>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</si>
  <si>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</si>
  <si>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</si>
  <si>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</si>
  <si>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</si>
  <si>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</si>
  <si>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</si>
  <si>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</si>
  <si>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</si>
  <si>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</si>
  <si>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</si>
  <si>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</si>
  <si>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</si>
  <si>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</si>
  <si>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</si>
  <si>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</si>
  <si>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</si>
  <si>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</si>
  <si>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</si>
  <si>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</si>
  <si>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</si>
  <si>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</si>
  <si>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</si>
  <si>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</si>
  <si>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</si>
  <si>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</si>
  <si>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</si>
  <si>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</si>
  <si>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</si>
  <si>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</si>
  <si>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</si>
  <si>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</si>
  <si>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</si>
  <si>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</si>
  <si>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</si>
  <si>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</si>
  <si>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</si>
  <si>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</si>
  <si>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</si>
  <si>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</si>
  <si>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</si>
  <si>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</si>
  <si>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</si>
  <si>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</si>
  <si>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</si>
  <si>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</si>
  <si>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</si>
  <si>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</si>
  <si>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</si>
  <si>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</si>
  <si>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</si>
  <si>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</si>
  <si>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</si>
  <si>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</si>
  <si>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</si>
  <si>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</si>
  <si>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</si>
  <si>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</si>
  <si>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</si>
  <si>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</si>
  <si>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</si>
  <si>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</si>
  <si>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</si>
  <si>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</si>
  <si>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</si>
  <si>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</si>
  <si>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</si>
  <si>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</si>
  <si>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</si>
  <si>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</si>
  <si>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</si>
  <si>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</si>
  <si>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</si>
  <si>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</si>
  <si>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</si>
  <si>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</si>
  <si>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</si>
  <si>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</si>
  <si>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</si>
  <si>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</si>
  <si>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</si>
  <si>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</si>
  <si>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</si>
  <si>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</si>
  <si>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</si>
  <si>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</si>
  <si>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</si>
  <si>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</si>
  <si>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</si>
  <si>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</si>
  <si>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</si>
  <si>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</si>
  <si>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</si>
  <si>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</si>
  <si>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</si>
  <si>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</si>
  <si>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</si>
  <si>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</si>
  <si>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</si>
  <si>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</si>
  <si>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</si>
  <si>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</si>
  <si>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</si>
  <si>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</si>
  <si>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</si>
  <si>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</si>
  <si>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</si>
  <si>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</si>
  <si>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</si>
  <si>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</si>
  <si>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</si>
  <si>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</si>
  <si>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</si>
  <si>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</si>
  <si>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</si>
  <si>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</si>
  <si>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</si>
  <si>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</si>
  <si>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</si>
  <si>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</si>
  <si>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</si>
  <si>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</si>
  <si>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</si>
  <si>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</si>
  <si>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</si>
  <si>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</si>
  <si>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</si>
  <si>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</si>
  <si>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</si>
  <si>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</si>
  <si>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</si>
  <si>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</si>
  <si>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</si>
  <si>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</si>
  <si>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</si>
  <si>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</si>
  <si>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</si>
  <si>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</si>
  <si>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</si>
  <si>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</si>
  <si>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</si>
  <si>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</si>
  <si>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</si>
  <si>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</si>
  <si>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</si>
  <si>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</si>
  <si>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</si>
  <si>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</si>
  <si>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</si>
  <si>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</si>
  <si>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</si>
  <si>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</si>
  <si>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</si>
  <si>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</si>
  <si>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</si>
  <si>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</si>
  <si>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</si>
  <si>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</si>
  <si>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</si>
  <si>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</si>
  <si>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</si>
  <si>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</si>
  <si>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</si>
  <si>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</si>
  <si>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</si>
  <si>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</si>
  <si>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</si>
  <si>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</si>
  <si>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</si>
  <si>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</si>
  <si>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</si>
  <si>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</si>
  <si>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</si>
  <si>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</si>
  <si>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</si>
  <si>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</si>
  <si>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</si>
  <si>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</si>
  <si>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</si>
  <si>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</si>
  <si>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</si>
  <si>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</si>
  <si>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</si>
  <si>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</si>
  <si>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</si>
  <si>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</si>
  <si>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</si>
  <si>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</si>
  <si>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</si>
  <si>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</si>
  <si>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</si>
  <si>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</si>
  <si>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</si>
  <si>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</si>
  <si>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</si>
  <si>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</si>
  <si>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</si>
  <si>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</si>
  <si>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</si>
  <si>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</si>
  <si>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</si>
  <si>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</si>
  <si>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</si>
  <si>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</si>
  <si>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</si>
  <si>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</si>
  <si>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</si>
  <si>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</si>
  <si>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</si>
  <si>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</si>
  <si>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</si>
  <si>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</si>
  <si>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</si>
  <si>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</si>
  <si>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</si>
  <si>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</si>
  <si>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</si>
  <si>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</si>
  <si>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</si>
  <si>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</si>
  <si>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</si>
  <si>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</si>
  <si>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</si>
  <si>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</si>
  <si>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</si>
  <si>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</si>
  <si>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</si>
  <si>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</si>
  <si>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</si>
  <si>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</si>
  <si>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</si>
  <si>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</si>
  <si>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</si>
  <si>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</si>
  <si>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</si>
  <si>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</si>
  <si>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</si>
  <si>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</si>
  <si>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</si>
  <si>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</si>
  <si>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</si>
  <si>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</si>
  <si>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</si>
  <si>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</si>
  <si>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</si>
  <si>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</si>
  <si>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</si>
  <si>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</si>
  <si>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</si>
  <si>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12163</t>
  </si>
  <si>
    <t>THE ROCK SPA</t>
  </si>
  <si>
    <t>76.990.134-5</t>
  </si>
  <si>
    <t>RODRIGO ODDE</t>
  </si>
  <si>
    <t>+569 4770 0665</t>
  </si>
  <si>
    <t>1 DÍA HABIL</t>
  </si>
  <si>
    <t>SI</t>
  </si>
  <si>
    <t>CUBIERTA CON RESPALDO Y FRENTE 90°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</si>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</sst>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153629</xdr:rowOff>
    </xdr:from>
    <xdr:to>
      <xdr:col>5</xdr:col>
      <xdr:colOff>1736459</xdr:colOff>
      <xdr:row>25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H22" sqref="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289</v>
      </c>
      <c r="D10" s="243"/>
      <c r="E10" s="243"/>
      <c r="F10" s="417" t="s">
        <v>277</v>
      </c>
      <c r="G10" s="275">
        <v>46161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 t="s">
        <v>290</v>
      </c>
      <c r="F11" s="29" t="s">
        <v>286</v>
      </c>
      <c r="G11" s="420" t="s">
        <v>293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294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291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292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88302.616033755286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1">
        <v>1</v>
      </c>
      <c r="C21" s="432" t="s">
        <v>295</v>
      </c>
      <c r="D21" s="433">
        <v>1.5</v>
      </c>
      <c r="E21" s="433">
        <v>0.6</v>
      </c>
      <c r="F21" s="431" t="s">
        <v>296</v>
      </c>
      <c r="G21" s="434">
        <v>67500</v>
      </c>
      <c r="H21" s="434">
        <f>G21*B21</f>
        <v>67500</v>
      </c>
      <c r="I21" s="305"/>
      <c r="J21" s="264"/>
      <c r="K21" s="47"/>
      <c r="L21" s="47">
        <f>B21</f>
        <v>1</v>
      </c>
      <c r="M21" s="39">
        <f>D21+M$19</f>
        <v>1.58</v>
      </c>
      <c r="N21" s="39">
        <f>E21+$N$19</f>
        <v>0.6</v>
      </c>
      <c r="O21" s="260">
        <f t="shared" ref="O21" si="0">M21*N21</f>
        <v>0.94799999999999995</v>
      </c>
      <c r="P21" s="258">
        <f t="shared" ref="P21" si="1">O21*L21</f>
        <v>0.94799999999999995</v>
      </c>
      <c r="Q21" s="251">
        <f t="shared" ref="Q21" si="2">Q$20*O21</f>
        <v>83710.880000000005</v>
      </c>
      <c r="R21" s="304">
        <f t="shared" ref="R21" si="3">Q21+R$20</f>
        <v>86710.88</v>
      </c>
      <c r="S21" s="290">
        <f>M21*L21</f>
        <v>1.58</v>
      </c>
      <c r="T21" s="46">
        <f>N21*2*L21*2</f>
        <v>2.4</v>
      </c>
      <c r="U21" s="9"/>
      <c r="X21" s="4"/>
    </row>
    <row r="22" spans="1:25" ht="17.399999999999999" x14ac:dyDescent="0.3">
      <c r="B22" s="283"/>
      <c r="C22" s="324"/>
      <c r="D22" s="284"/>
      <c r="E22" s="284"/>
      <c r="F22" s="283"/>
      <c r="G22" s="305"/>
      <c r="H22" s="305"/>
      <c r="I22" s="305"/>
      <c r="J22" s="264"/>
      <c r="K22" s="47"/>
      <c r="L22" s="47"/>
      <c r="M22" s="39"/>
      <c r="N22" s="39"/>
      <c r="O22" s="260"/>
      <c r="P22" s="258"/>
      <c r="Q22" s="251"/>
      <c r="R22" s="304"/>
      <c r="S22" s="290"/>
      <c r="T22" s="46"/>
      <c r="U22" s="9"/>
      <c r="X22" s="4"/>
    </row>
    <row r="23" spans="1:25" ht="18" thickBot="1" x14ac:dyDescent="0.35">
      <c r="B23" s="283"/>
      <c r="C23" s="324"/>
      <c r="D23" s="284"/>
      <c r="E23" s="284"/>
      <c r="F23" s="283"/>
      <c r="G23" s="264"/>
      <c r="H23" s="306"/>
      <c r="I23" s="308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09" t="s">
        <v>28</v>
      </c>
      <c r="H24" s="310">
        <f>SUM(H21:H21)</f>
        <v>67500</v>
      </c>
      <c r="I24" s="307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2.4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12825</v>
      </c>
      <c r="I25" s="307"/>
      <c r="J25" s="264"/>
      <c r="K25" s="47"/>
      <c r="L25" s="47"/>
      <c r="M25" s="39">
        <f>SUM(M21:M24)</f>
        <v>1.58</v>
      </c>
      <c r="N25" s="12"/>
      <c r="O25" s="12"/>
      <c r="P25" s="252">
        <f>SUM(P21:P23)</f>
        <v>0.94799999999999995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80325</v>
      </c>
      <c r="I26" s="307"/>
      <c r="J26" s="264"/>
      <c r="K26" s="47"/>
      <c r="L26" s="47"/>
      <c r="M26" s="39"/>
      <c r="N26" s="12"/>
      <c r="O26" s="12"/>
      <c r="P26" s="252">
        <f>P25</f>
        <v>0.94799999999999995</v>
      </c>
      <c r="Q26" s="14"/>
      <c r="R26" s="12"/>
      <c r="S26" s="239">
        <f>SUM(S21:S25)</f>
        <v>1.58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0.18959999999999999</v>
      </c>
      <c r="Q27" s="39" t="s">
        <v>129</v>
      </c>
      <c r="R27" s="42"/>
      <c r="S27" s="240">
        <f>S26+T24</f>
        <v>3.98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1.1375999999999999</v>
      </c>
      <c r="Q28" s="14"/>
      <c r="R28" s="14"/>
      <c r="S28" s="238">
        <f>S27*20%</f>
        <v>0.79600000000000004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4.7759999999999998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1.1375999999999999</v>
      </c>
      <c r="N30" s="12">
        <v>4000</v>
      </c>
      <c r="O30" s="12">
        <f t="shared" ref="O30:O35" si="4">M30*N30</f>
        <v>4550.3999999999996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0.5</v>
      </c>
      <c r="N31" s="12">
        <v>25000</v>
      </c>
      <c r="O31" s="12">
        <f t="shared" si="4"/>
        <v>12500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/>
      <c r="N32" s="249">
        <v>58860</v>
      </c>
      <c r="O32" s="12">
        <f t="shared" si="4"/>
        <v>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>
        <v>1</v>
      </c>
      <c r="N33" s="249">
        <v>21000</v>
      </c>
      <c r="O33" s="12">
        <f t="shared" si="4"/>
        <v>21000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4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2000</v>
      </c>
      <c r="O35" s="12">
        <f t="shared" si="4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38050.400000000001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83710.880000000005</v>
      </c>
      <c r="P37" s="14" t="s">
        <v>138</v>
      </c>
      <c r="Q37" s="14"/>
      <c r="R37" s="40">
        <f>P28/R36</f>
        <v>0.30672993960310613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33790</v>
      </c>
      <c r="L38" s="249"/>
      <c r="M38" s="14"/>
      <c r="N38" s="12"/>
      <c r="O38" s="12">
        <f>O37/P26</f>
        <v>88302.616033755286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28394.957983193279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46161</v>
      </c>
    </row>
    <row r="6" spans="2:31" ht="16.2" thickBot="1" x14ac:dyDescent="0.35">
      <c r="B6" s="140" t="s">
        <v>2</v>
      </c>
      <c r="C6" s="139" t="str">
        <f>'2229'!C10</f>
        <v>THE ROCK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1643.2349665458944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67500</v>
      </c>
      <c r="E11" s="132">
        <f>D11*0.19</f>
        <v>12825</v>
      </c>
      <c r="F11" s="131">
        <f>E11+D11</f>
        <v>80325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107633.23496654589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46884.490787439616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89633.23496654589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20615.509212560384</v>
      </c>
      <c r="E13" s="221">
        <f>(D11/D12)-1</f>
        <v>0.43970850202948752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80633.23496654589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41633.234966545897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77359.409799275367</v>
      </c>
      <c r="F15" s="216">
        <f>E15-D12</f>
        <v>30474.919011835751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41633.234966545897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81633.23496654589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4550.3999999999996</v>
      </c>
      <c r="E20" s="121">
        <f>D20*0.19</f>
        <v>864.57599999999991</v>
      </c>
      <c r="F20" s="120">
        <f>SUM(D20:E20)</f>
        <v>5414.9759999999997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17050.400000000001</v>
      </c>
      <c r="E21" s="116">
        <f>SUM(E18:E20)</f>
        <v>3239.576</v>
      </c>
      <c r="F21" s="115">
        <f>SUM(F18:F20)</f>
        <v>20289.975999999999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9585.4239999999991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67500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17050.400000000001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20615.509212560384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20615.509212560384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12163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THE ROCK SPA</v>
      </c>
      <c r="D10" s="349"/>
      <c r="E10" s="349"/>
      <c r="F10" s="350" t="s">
        <v>167</v>
      </c>
      <c r="G10" s="351">
        <f>'2229'!G10</f>
        <v>46161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>76.990.134-5</v>
      </c>
      <c r="D11" s="344"/>
      <c r="E11" s="344"/>
      <c r="F11" s="344" t="s">
        <v>168</v>
      </c>
      <c r="G11" s="339">
        <f>WORKDAY(G10,5)</f>
        <v>46168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RODRIGO ODDE</v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+569 4770 0665</v>
      </c>
      <c r="D15" s="346"/>
      <c r="E15" s="344"/>
      <c r="F15" s="344" t="s">
        <v>173</v>
      </c>
      <c r="G15" s="344" t="str">
        <f>'2229'!G12</f>
        <v>SI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CUBIERTA CON RESPALDO Y FRENTE 90°</v>
      </c>
      <c r="D22" s="320">
        <f>'2229'!D21*1000</f>
        <v>1500</v>
      </c>
      <c r="E22" s="320">
        <f>'2229'!E21*1000</f>
        <v>600</v>
      </c>
      <c r="F22" s="321" t="str">
        <f>'2229'!F21</f>
        <v>BLANCO OPACO</v>
      </c>
      <c r="G22" s="313">
        <f>'2229'!G21</f>
        <v>67500</v>
      </c>
      <c r="H22" s="322">
        <f>G22*B22</f>
        <v>67500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67500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12825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80325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0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THE ROCK SPA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46161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12163</v>
      </c>
      <c r="C2" s="1">
        <f>'NOTA DE VENTA'!$G$10</f>
        <v>46161</v>
      </c>
      <c r="D2" s="1">
        <f>'NOTA DE VENTA'!$G$11</f>
        <v>46168</v>
      </c>
      <c r="E2" t="str">
        <f>'NOTA DE VENTA'!$C$10</f>
        <v>THE ROCK SPA</v>
      </c>
      <c r="F2" t="str">
        <f>'NOTA DE VENTA'!$C$22</f>
        <v>CUBIERTA CON RESPALDO Y FRENTE 90°</v>
      </c>
      <c r="G2" t="str">
        <f>'NOTA DE VENTA'!$F$22</f>
        <v>BLANCO OPACO</v>
      </c>
      <c r="H2" s="415">
        <f>'NOTA DE VENTA'!$H$25</f>
        <v>67500</v>
      </c>
      <c r="I2" s="415">
        <f>H2*0.19</f>
        <v>12825</v>
      </c>
      <c r="J2" s="415">
        <f>I2+H2</f>
        <v>80325</v>
      </c>
      <c r="L2" s="61">
        <f>J2-K2</f>
        <v>80325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2026-05-14T16:01:00Z</cp:lastPrinted>
  <dcterms:created xsi:type="dcterms:W3CDTF">2013-03-18T13:35:42Z</dcterms:created>
  <dcterms:modified xsi:type="dcterms:W3CDTF">2026-05-19T20:22:49Z</dcterms:modified>
</cp:coreProperties>
</file>