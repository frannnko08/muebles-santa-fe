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731F3376-9527-4CB9-9C4E-F0A22321A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L21" i="1"/>
  <c r="M21" i="1"/>
  <c r="N21" i="1"/>
  <c r="T21" i="1" l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H21" i="1"/>
  <c r="H23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<sst xmlns="http://schemas.openxmlformats.org/spreadsheetml/2006/main" count="487" uniqueCount="296">
  <si>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</si>
  <si>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</si>
  <si>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</si>
  <si>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</si>
  <si>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</si>
  <si>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</si>
  <si>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</si>
  <si>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</si>
  <si>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</si>
  <si>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</si>
  <si>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</si>
  <si>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</si>
  <si>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</si>
  <si>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</si>
  <si>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</si>
  <si>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</si>
  <si>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</si>
  <si>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</si>
  <si>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</si>
  <si>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</si>
  <si>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</si>
  <si>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</si>
  <si>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</si>
  <si>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</si>
  <si>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</si>
  <si>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</si>
  <si>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</si>
  <si>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</si>
  <si>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</si>
  <si>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</si>
  <si>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</si>
  <si>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</si>
  <si>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</si>
  <si>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</si>
  <si>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</si>
  <si>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</si>
  <si>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</si>
  <si>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</si>
  <si>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</si>
  <si>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</si>
  <si>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</si>
  <si>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</si>
  <si>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</si>
  <si>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</si>
  <si>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</si>
  <si>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</si>
  <si>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</si>
  <si>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</si>
  <si>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</si>
  <si>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</si>
  <si>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</si>
  <si>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</si>
  <si>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</si>
  <si>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</si>
  <si>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</si>
  <si>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</si>
  <si>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</si>
  <si>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</si>
  <si>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</si>
  <si>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</si>
  <si>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</si>
  <si>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</si>
  <si>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</si>
  <si>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</si>
  <si>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</si>
  <si>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</si>
  <si>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</si>
  <si>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</si>
  <si>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</si>
  <si>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</si>
  <si>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</si>
  <si>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</si>
  <si>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</si>
  <si>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</si>
  <si>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</si>
  <si>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</si>
  <si>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</si>
  <si>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</si>
  <si>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</si>
  <si>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</si>
  <si>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</si>
  <si>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</si>
  <si>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</si>
  <si>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</si>
  <si>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</si>
  <si>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</si>
  <si>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</si>
  <si>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</si>
  <si>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</si>
  <si>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</si>
  <si>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</si>
  <si>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</si>
  <si>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</si>
  <si>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</si>
  <si>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</si>
  <si>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</si>
  <si>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</si>
  <si>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</si>
  <si>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</si>
  <si>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</si>
  <si>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</si>
  <si>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</si>
  <si>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</si>
  <si>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</si>
  <si>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</si>
  <si>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</si>
  <si>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</si>
  <si>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</si>
  <si>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</si>
  <si>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</si>
  <si>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</si>
  <si>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</si>
  <si>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</si>
  <si>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</si>
  <si>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</si>
  <si>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</si>
  <si>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</si>
  <si>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</si>
  <si>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</si>
  <si>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</si>
  <si>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</si>
  <si>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</si>
  <si>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</si>
  <si>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</si>
  <si>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</si>
  <si>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</si>
  <si>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</si>
  <si>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</si>
  <si>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</si>
  <si>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</si>
  <si>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</si>
  <si>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</si>
  <si>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</si>
  <si>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</si>
  <si>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</si>
  <si>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</si>
  <si>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</si>
  <si>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</si>
  <si>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</si>
  <si>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</si>
  <si>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</si>
  <si>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</si>
  <si>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</si>
  <si>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</si>
  <si>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</si>
  <si>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</si>
  <si>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</si>
  <si>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</si>
  <si>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</si>
  <si>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</si>
  <si>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</si>
  <si>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</si>
  <si>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</si>
  <si>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</si>
  <si>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</si>
  <si>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</si>
  <si>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</si>
  <si>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</si>
  <si>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</si>
  <si>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</si>
  <si>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</si>
  <si>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</si>
  <si>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</si>
  <si>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</si>
  <si>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</si>
  <si>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</si>
  <si>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</si>
  <si>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</si>
  <si>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</si>
  <si>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</si>
  <si>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</si>
  <si>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</si>
  <si>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</si>
  <si>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</si>
  <si>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</si>
  <si>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</si>
  <si>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</si>
  <si>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</si>
  <si>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</si>
  <si>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</si>
  <si>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</si>
  <si>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</si>
  <si>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</si>
  <si>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</si>
  <si>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</si>
  <si>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</si>
  <si>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</si>
  <si>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</si>
  <si>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</si>
  <si>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</si>
  <si>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</si>
  <si>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</si>
  <si>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</si>
  <si>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</si>
  <si>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</si>
  <si>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</si>
  <si>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</si>
  <si>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</si>
  <si>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</si>
  <si>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</si>
  <si>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</si>
  <si>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</si>
  <si>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</si>
  <si>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</si>
  <si>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</si>
  <si>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</si>
  <si>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</si>
  <si>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</si>
  <si>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</si>
  <si>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</si>
  <si>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</si>
  <si>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</si>
  <si>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</si>
  <si>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</si>
  <si>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</si>
  <si>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</si>
  <si>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</si>
  <si>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</si>
  <si>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</si>
  <si>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</si>
  <si>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</si>
  <si>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</si>
  <si>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</si>
  <si>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</si>
  <si>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</si>
  <si>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</si>
  <si>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</si>
  <si>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</si>
  <si>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</si>
  <si>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</si>
  <si>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</si>
  <si>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</si>
  <si>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</si>
  <si>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</si>
  <si>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</si>
  <si>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</si>
  <si>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</si>
  <si>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</si>
  <si>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</si>
  <si>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</si>
  <si>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</si>
  <si>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</si>
  <si>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</si>
  <si>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</si>
  <si>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</si>
  <si>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</si>
  <si>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</si>
  <si>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</si>
  <si>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</si>
  <si>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</si>
  <si>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</si>
  <si>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</si>
  <si>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</si>
  <si>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</si>
  <si>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</si>
  <si>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</si>
  <si>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</si>
  <si>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</si>
  <si>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</si>
  <si>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</si>
  <si>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</si>
  <si>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</si>
  <si>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</si>
  <si>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</si>
  <si>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</si>
  <si>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</si>
  <si>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</si>
  <si>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</si>
  <si>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</si>
  <si>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</si>
  <si>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</si>
  <si>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</si>
  <si>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</si>
  <si>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</si>
  <si>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</si>
  <si>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</si>
  <si>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</si>
  <si>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</si>
  <si>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</si>
  <si>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</si>
  <si>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</si>
  <si>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</si>
  <si>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</si>
  <si>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</si>
  <si>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</si>
  <si>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</si>
  <si>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</si>
  <si>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</si>
  <si>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</si>
  <si>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5 DIAS HABILES</t>
  </si>
  <si>
    <t>N° 12116</t>
  </si>
  <si>
    <t>SUR-SERVI SPA</t>
  </si>
  <si>
    <t>EDUARDO COLLAO</t>
  </si>
  <si>
    <t>9 8807 8074</t>
  </si>
  <si>
    <t>CUB C/R FRENTE 90° R6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</si>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</sst>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0" fontId="50" fillId="0" borderId="0" xfId="0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10 CMS DESDE LA BASE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291</v>
      </c>
      <c r="D10" s="243"/>
      <c r="E10" s="243"/>
      <c r="F10" s="418" t="s">
        <v>275</v>
      </c>
      <c r="G10" s="275">
        <v>46147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t="s">
        <v>292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6" t="s">
        <v>293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94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98781.80722891567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0">
        <v>2</v>
      </c>
      <c r="C21" s="434" t="s">
        <v>294</v>
      </c>
      <c r="D21" s="435">
        <v>1.58</v>
      </c>
      <c r="E21" s="435">
        <v>0.6</v>
      </c>
      <c r="F21" s="431" t="s">
        <v>295</v>
      </c>
      <c r="G21" s="432">
        <v>98387</v>
      </c>
      <c r="H21" s="433">
        <f>G21*B21</f>
        <v>196774</v>
      </c>
      <c r="I21" s="306"/>
      <c r="J21" s="264"/>
      <c r="K21" s="47"/>
      <c r="L21" s="47">
        <f t="shared" ref="L21" si="0">B21</f>
        <v>2</v>
      </c>
      <c r="M21" s="39">
        <f t="shared" ref="M21" si="1">D21+M$19</f>
        <v>1.6600000000000001</v>
      </c>
      <c r="N21" s="39">
        <f t="shared" ref="N21" si="2">E21+$N$19</f>
        <v>0.6</v>
      </c>
      <c r="O21" s="260">
        <f t="shared" ref="O21" si="3">M21*N21</f>
        <v>0.996</v>
      </c>
      <c r="P21" s="258">
        <f t="shared" ref="P21" si="4">O21*L21</f>
        <v>1.992</v>
      </c>
      <c r="Q21" s="251">
        <f t="shared" ref="Q21" si="5">Q$20*O21</f>
        <v>98386.680000000008</v>
      </c>
      <c r="R21" s="305">
        <f t="shared" ref="R21" si="6">Q21+R$20</f>
        <v>101386.68000000001</v>
      </c>
      <c r="S21" s="290">
        <f>M21*L21</f>
        <v>3.3200000000000003</v>
      </c>
      <c r="T21" s="46">
        <f>N21*L21*2</f>
        <v>2.4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196774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37387.06</v>
      </c>
      <c r="I24" s="308"/>
      <c r="J24" s="264"/>
      <c r="K24" s="47"/>
      <c r="L24" s="429">
        <f>M24*10</f>
        <v>16.600000000000001</v>
      </c>
      <c r="M24" s="39">
        <f>SUM(M21:M23)</f>
        <v>1.6600000000000001</v>
      </c>
      <c r="N24" s="12"/>
      <c r="O24" s="12"/>
      <c r="P24" s="252">
        <f>SUM(P21:P21)</f>
        <v>1.992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234161.06</v>
      </c>
      <c r="I25" s="308"/>
      <c r="J25" s="264"/>
      <c r="K25" s="47"/>
      <c r="L25" s="47"/>
      <c r="M25" s="39"/>
      <c r="N25" s="12"/>
      <c r="O25" s="12"/>
      <c r="P25" s="252">
        <f>P24</f>
        <v>1.992</v>
      </c>
      <c r="Q25" s="14"/>
      <c r="R25" s="12"/>
      <c r="S25" s="239">
        <f>SUM(S21:S24)</f>
        <v>3.3200000000000003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0.39840000000000003</v>
      </c>
      <c r="Q26" s="39" t="s">
        <v>128</v>
      </c>
      <c r="R26" s="42"/>
      <c r="S26" s="240">
        <f>S25+T23</f>
        <v>5.7200000000000006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2.3904000000000001</v>
      </c>
      <c r="Q27" s="14"/>
      <c r="R27" s="14"/>
      <c r="S27" s="238">
        <f>S26*20%</f>
        <v>1.1440000000000001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6.8640000000000008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2.3904000000000001</v>
      </c>
      <c r="N29" s="12">
        <v>4000</v>
      </c>
      <c r="O29" s="12">
        <f t="shared" ref="O29:O34" si="7">M29*N29</f>
        <v>9561.6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</v>
      </c>
      <c r="N30" s="12">
        <v>25000</v>
      </c>
      <c r="O30" s="12">
        <f t="shared" si="7"/>
        <v>17500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2</v>
      </c>
      <c r="N32" s="249">
        <v>30000</v>
      </c>
      <c r="O32" s="12">
        <f t="shared" si="7"/>
        <v>60000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3.32</v>
      </c>
      <c r="N34" s="12">
        <v>2000</v>
      </c>
      <c r="O34" s="12">
        <f t="shared" si="7"/>
        <v>6640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93701.6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O35*2.1</f>
        <v>196773.36000000002</v>
      </c>
      <c r="P36" s="14" t="s">
        <v>137</v>
      </c>
      <c r="Q36" s="14"/>
      <c r="R36" s="40">
        <f>P27/R35</f>
        <v>0.6445211389128559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98781.80722891567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46147</v>
      </c>
    </row>
    <row r="6" spans="2:31" ht="16.2" thickBot="1" x14ac:dyDescent="0.35">
      <c r="B6" s="140" t="s">
        <v>2</v>
      </c>
      <c r="C6" s="139" t="str">
        <f>'2229'!C10</f>
        <v>SUR-SERVI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97</v>
      </c>
      <c r="I7" s="442"/>
      <c r="J7" s="442"/>
      <c r="K7" s="443"/>
      <c r="N7" s="75"/>
      <c r="O7" s="4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12116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-17149.351700120773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196774</v>
      </c>
      <c r="E11" s="132">
        <f>D11*0.19</f>
        <v>37387.06</v>
      </c>
      <c r="F11" s="131">
        <f>E11+D11</f>
        <v>234161.06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88840.64829987922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56895.690787439613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70840.64829987922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139878.30921256039</v>
      </c>
      <c r="E13" s="221">
        <f>(D11/D12)-1</f>
        <v>2.4585044539689491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61840.648299879227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22840.648299879227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93877.889799275363</v>
      </c>
      <c r="F15" s="216">
        <f>E15-D12</f>
        <v>36982.19901183575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22840.648299879227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62840.648299879227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9561.6</v>
      </c>
      <c r="E20" s="121">
        <f>D20*0.19</f>
        <v>1816.7040000000002</v>
      </c>
      <c r="F20" s="120">
        <f>SUM(D20:E20)</f>
        <v>11378.304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27061.599999999999</v>
      </c>
      <c r="E21" s="116">
        <f>SUM(E18:E20)</f>
        <v>5141.7039999999997</v>
      </c>
      <c r="F21" s="115">
        <f>SUM(F18:F20)</f>
        <v>32203.304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32245.356</v>
      </c>
    </row>
    <row r="41" spans="2:16" ht="15" thickBot="1" x14ac:dyDescent="0.35">
      <c r="H41" s="444" t="s">
        <v>59</v>
      </c>
      <c r="I41" s="445"/>
      <c r="J41" s="445"/>
      <c r="K41" s="445"/>
      <c r="L41" s="445"/>
      <c r="M41" s="4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196774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27061.599999999999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139878.30921256039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139878.30921256039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12116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SUR-SERVI SPA</v>
      </c>
      <c r="D10" s="350"/>
      <c r="E10" s="350"/>
      <c r="F10" s="351" t="s">
        <v>165</v>
      </c>
      <c r="G10" s="352">
        <f>'2229'!G10</f>
        <v>46147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46154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EDUARDO COLLAO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9 8807 8074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173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174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180</v>
      </c>
      <c r="C2" s="452"/>
      <c r="D2" s="452"/>
      <c r="E2" s="361"/>
      <c r="G2" s="452" t="s">
        <v>181</v>
      </c>
      <c r="H2" s="452"/>
      <c r="I2" s="452"/>
      <c r="P2" s="453" t="s">
        <v>182</v>
      </c>
      <c r="Q2" s="453"/>
      <c r="R2" s="453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3" t="s">
        <v>182</v>
      </c>
      <c r="M8" s="453"/>
      <c r="N8" s="453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263</v>
      </c>
      <c r="L3" s="458"/>
      <c r="M3" s="458" t="s">
        <v>264</v>
      </c>
      <c r="N3" s="458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SUR-SERVI SPA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46147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46154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263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264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270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94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12116</v>
      </c>
      <c r="C2" s="1">
        <f>'NOTA DE VENTA'!$G$10</f>
        <v>46147</v>
      </c>
      <c r="D2" s="1">
        <f>'NOTA DE VENTA'!$G$11</f>
        <v>46154</v>
      </c>
      <c r="E2" t="str">
        <f>'NOTA DE VENTA'!$C$10</f>
        <v>SUR-SERVI SPA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2026-05-05T14:48:04Z</cp:lastPrinted>
  <dcterms:created xsi:type="dcterms:W3CDTF">2013-03-18T13:35:42Z</dcterms:created>
  <dcterms:modified xsi:type="dcterms:W3CDTF">2026-05-05T14:56:33Z</dcterms:modified>
</cp:coreProperties>
</file>