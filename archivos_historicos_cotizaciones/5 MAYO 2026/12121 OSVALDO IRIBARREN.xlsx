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68C6533B-CCBF-4CCD-85B3-C38722FF9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S21" i="1" l="1"/>
  <c r="T21" i="1"/>
  <c r="T23" i="1"/>
  <c r="O21" i="1"/>
  <c r="P21" i="1" s="1"/>
  <c r="P24" i="1" s="1"/>
  <c r="N5" i="6"/>
  <c r="A2" i="7"/>
  <c r="S25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S26" i="1" l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O38" i="1"/>
  <c r="E15" i="3"/>
  <c r="R21" i="1" l="1"/>
  <c r="G21" i="1" s="1"/>
  <c r="H21" i="1" s="1"/>
  <c r="F15" i="3"/>
  <c r="H23" i="1" l="1"/>
  <c r="H24" i="1" s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<sst xmlns="http://schemas.openxmlformats.org/spreadsheetml/2006/main" count="486" uniqueCount="297">
  <si>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</si>
  <si>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</si>
  <si>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</si>
  <si>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</si>
  <si>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</si>
  <si>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</si>
  <si>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</si>
  <si>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</si>
  <si>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</si>
  <si>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</si>
  <si>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</si>
  <si>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</si>
  <si>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</si>
  <si>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</si>
  <si>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</si>
  <si>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</si>
  <si>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</si>
  <si>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</si>
  <si>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</si>
  <si>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</si>
  <si>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</si>
  <si>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</si>
  <si>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</si>
  <si>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</si>
  <si>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</si>
  <si>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</si>
  <si>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</si>
  <si>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</si>
  <si>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</si>
  <si>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</si>
  <si>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</si>
  <si>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</si>
  <si>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</si>
  <si>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</si>
  <si>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</si>
  <si>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</si>
  <si>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</si>
  <si>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</si>
  <si>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</si>
  <si>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</si>
  <si>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</si>
  <si>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</si>
  <si>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</si>
  <si>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</si>
  <si>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</si>
  <si>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</si>
  <si>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</si>
  <si>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</si>
  <si>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</si>
  <si>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</si>
  <si>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</si>
  <si>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</si>
  <si>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</si>
  <si>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</si>
  <si>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</si>
  <si>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</si>
  <si>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</si>
  <si>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</si>
  <si>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</si>
  <si>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</si>
  <si>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</si>
  <si>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</si>
  <si>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</si>
  <si>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</si>
  <si>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</si>
  <si>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</si>
  <si>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</si>
  <si>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</si>
  <si>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</si>
  <si>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</si>
  <si>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</si>
  <si>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</si>
  <si>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</si>
  <si>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</si>
  <si>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</si>
  <si>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</si>
  <si>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</si>
  <si>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</si>
  <si>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</si>
  <si>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</si>
  <si>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</si>
  <si>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</si>
  <si>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</si>
  <si>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</si>
  <si>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</si>
  <si>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</si>
  <si>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</si>
  <si>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</si>
  <si>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</si>
  <si>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</si>
  <si>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</si>
  <si>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</si>
  <si>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</si>
  <si>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</si>
  <si>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</si>
  <si>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</si>
  <si>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</si>
  <si>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</si>
  <si>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</si>
  <si>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</si>
  <si>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</si>
  <si>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</si>
  <si>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</si>
  <si>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</si>
  <si>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</si>
  <si>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</si>
  <si>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</si>
  <si>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</si>
  <si>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</si>
  <si>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</si>
  <si>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</si>
  <si>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</si>
  <si>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</si>
  <si>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</si>
  <si>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</si>
  <si>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</si>
  <si>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</si>
  <si>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</si>
  <si>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</si>
  <si>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</si>
  <si>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</si>
  <si>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</si>
  <si>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</si>
  <si>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</si>
  <si>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</si>
  <si>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</si>
  <si>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</si>
  <si>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</si>
  <si>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</si>
  <si>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</si>
  <si>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</si>
  <si>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</si>
  <si>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</si>
  <si>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</si>
  <si>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</si>
  <si>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</si>
  <si>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</si>
  <si>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</si>
  <si>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</si>
  <si>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</si>
  <si>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</si>
  <si>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</si>
  <si>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</si>
  <si>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</si>
  <si>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</si>
  <si>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</si>
  <si>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</si>
  <si>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</si>
  <si>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</si>
  <si>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</si>
  <si>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</si>
  <si>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</si>
  <si>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</si>
  <si>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</si>
  <si>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</si>
  <si>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</si>
  <si>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</si>
  <si>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</si>
  <si>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</si>
  <si>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</si>
  <si>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</si>
  <si>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</si>
  <si>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</si>
  <si>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</si>
  <si>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</si>
  <si>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</si>
  <si>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</si>
  <si>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</si>
  <si>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</si>
  <si>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</si>
  <si>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</si>
  <si>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</si>
  <si>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</si>
  <si>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</si>
  <si>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</si>
  <si>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</si>
  <si>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</si>
  <si>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</si>
  <si>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</si>
  <si>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</si>
  <si>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</si>
  <si>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</si>
  <si>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</si>
  <si>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</si>
  <si>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</si>
  <si>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</si>
  <si>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</si>
  <si>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</si>
  <si>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</si>
  <si>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</si>
  <si>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</si>
  <si>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</si>
  <si>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</si>
  <si>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</si>
  <si>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</si>
  <si>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</si>
  <si>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</si>
  <si>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</si>
  <si>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</si>
  <si>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</si>
  <si>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</si>
  <si>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</si>
  <si>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</si>
  <si>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</si>
  <si>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</si>
  <si>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</si>
  <si>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</si>
  <si>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</si>
  <si>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</si>
  <si>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</si>
  <si>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</si>
  <si>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</si>
  <si>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</si>
  <si>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</si>
  <si>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</si>
  <si>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</si>
  <si>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</si>
  <si>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</si>
  <si>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</si>
  <si>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</si>
  <si>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</si>
  <si>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</si>
  <si>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</si>
  <si>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</si>
  <si>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</si>
  <si>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</si>
  <si>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</si>
  <si>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</si>
  <si>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</si>
  <si>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</si>
  <si>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</si>
  <si>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</si>
  <si>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</si>
  <si>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</si>
  <si>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</si>
  <si>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</si>
  <si>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</si>
  <si>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</si>
  <si>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</si>
  <si>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</si>
  <si>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</si>
  <si>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</si>
  <si>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</si>
  <si>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</si>
  <si>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</si>
  <si>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</si>
  <si>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</si>
  <si>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</si>
  <si>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</si>
  <si>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</si>
  <si>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</si>
  <si>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</si>
  <si>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</si>
  <si>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</si>
  <si>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</si>
  <si>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</si>
  <si>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</si>
  <si>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</si>
  <si>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</si>
  <si>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</si>
  <si>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</si>
  <si>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</si>
  <si>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</si>
  <si>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</si>
  <si>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</si>
  <si>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</si>
  <si>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</si>
  <si>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</si>
  <si>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</si>
  <si>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</si>
  <si>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</si>
  <si>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</si>
  <si>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</si>
  <si>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</si>
  <si>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</si>
  <si>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</si>
  <si>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</si>
  <si>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</si>
  <si>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</si>
  <si>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</si>
  <si>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</si>
  <si>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</si>
  <si>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</si>
  <si>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</si>
  <si>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</si>
  <si>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</si>
  <si>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</si>
  <si>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</si>
  <si>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</si>
  <si>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SI</t>
  </si>
  <si>
    <t>TAPACANTO PVC 2MM</t>
  </si>
  <si>
    <t>1 DÍA HÁBIL</t>
  </si>
  <si>
    <t>+569 8418 5532</t>
  </si>
  <si>
    <t>CUB C/R FRENTE 90° R8</t>
  </si>
  <si>
    <t>OSVALDO IRIBARREN</t>
  </si>
  <si>
    <t>BLANCO 2114 MT</t>
  </si>
  <si>
    <t>N° 12121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</si>
</sst>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0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CORTADA A LA MEDIDA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1" zoomScaleNormal="91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294</v>
      </c>
      <c r="D10" s="243"/>
      <c r="E10" s="243"/>
      <c r="F10" s="418" t="s">
        <v>275</v>
      </c>
      <c r="G10" s="275">
        <v>46150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291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289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289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2" t="s">
        <v>292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3" t="s">
        <v>94</v>
      </c>
      <c r="C19" s="434"/>
      <c r="D19" s="434"/>
      <c r="E19" s="434"/>
      <c r="F19" s="434"/>
      <c r="G19" s="434"/>
      <c r="H19" s="43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63035.882352941182</v>
      </c>
      <c r="R20" s="257">
        <v>3000</v>
      </c>
      <c r="S20" s="38"/>
      <c r="T20" s="14" t="s">
        <v>126</v>
      </c>
      <c r="U20" s="9"/>
      <c r="X20" s="4"/>
    </row>
    <row r="21" spans="1:25" ht="17.399999999999999" x14ac:dyDescent="0.3">
      <c r="B21" s="312">
        <v>1</v>
      </c>
      <c r="C21" s="313" t="s">
        <v>293</v>
      </c>
      <c r="D21" s="430">
        <v>2.2999999999999998</v>
      </c>
      <c r="E21" s="430">
        <v>0.6</v>
      </c>
      <c r="F21" s="313" t="s">
        <v>295</v>
      </c>
      <c r="G21" s="314">
        <f>R21</f>
        <v>93015.24</v>
      </c>
      <c r="H21" s="431">
        <f>G21*B21</f>
        <v>93015.24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2.38</v>
      </c>
      <c r="N21" s="39">
        <f t="shared" ref="N21" si="2">E21+$N$19</f>
        <v>0.6</v>
      </c>
      <c r="O21" s="260">
        <f t="shared" ref="O21" si="3">M21*N21</f>
        <v>1.4279999999999999</v>
      </c>
      <c r="P21" s="258">
        <f t="shared" ref="P21" si="4">O21*L21</f>
        <v>1.4279999999999999</v>
      </c>
      <c r="Q21" s="251">
        <f t="shared" ref="Q21" si="5">Q$20*O21</f>
        <v>90015.24</v>
      </c>
      <c r="R21" s="305">
        <f t="shared" ref="R21" si="6">Q21+R$20</f>
        <v>93015.24</v>
      </c>
      <c r="S21" s="290">
        <f>M21*L21*2</f>
        <v>4.76</v>
      </c>
      <c r="T21" s="46">
        <f>N21*L21*2</f>
        <v>1.2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93015.24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SUM(T21:T22)</f>
        <v>1.2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17672.8956</v>
      </c>
      <c r="I24" s="308"/>
      <c r="J24" s="264"/>
      <c r="K24" s="47"/>
      <c r="L24" s="429">
        <f>M24*10</f>
        <v>23.799999999999997</v>
      </c>
      <c r="M24" s="39">
        <f>SUM(M21:M23)</f>
        <v>2.38</v>
      </c>
      <c r="N24" s="12"/>
      <c r="O24" s="12"/>
      <c r="P24" s="252">
        <f>SUM(P21:P21)</f>
        <v>1.4279999999999999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110688.13560000001</v>
      </c>
      <c r="I25" s="308"/>
      <c r="J25" s="264"/>
      <c r="K25" s="47"/>
      <c r="L25" s="47"/>
      <c r="M25" s="39"/>
      <c r="N25" s="12"/>
      <c r="O25" s="12"/>
      <c r="P25" s="252">
        <f>P24</f>
        <v>1.4279999999999999</v>
      </c>
      <c r="Q25" s="14"/>
      <c r="R25" s="12"/>
      <c r="S25" s="239">
        <f>SUM(S21:S24)</f>
        <v>4.76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0.28560000000000002</v>
      </c>
      <c r="Q26" s="39" t="s">
        <v>128</v>
      </c>
      <c r="R26" s="42"/>
      <c r="S26" s="240">
        <f>S25+T23</f>
        <v>5.96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1.7136</v>
      </c>
      <c r="Q27" s="14"/>
      <c r="R27" s="14"/>
      <c r="S27" s="238">
        <f>S26*20%</f>
        <v>1.1919999999999999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7.1520000000000001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1.7136</v>
      </c>
      <c r="N29" s="12">
        <v>4000</v>
      </c>
      <c r="O29" s="12">
        <f t="shared" ref="O29:O34" si="7">M29*N29</f>
        <v>6854.4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0.45</v>
      </c>
      <c r="N30" s="12">
        <v>25000</v>
      </c>
      <c r="O30" s="12">
        <f t="shared" si="7"/>
        <v>11250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7"/>
        <v>20000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90000</v>
      </c>
      <c r="O33" s="12">
        <f t="shared" si="7"/>
        <v>0</v>
      </c>
      <c r="P33" s="14" t="s">
        <v>290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2.38</v>
      </c>
      <c r="N34" s="12">
        <v>2000</v>
      </c>
      <c r="O34" s="12">
        <f t="shared" si="7"/>
        <v>4760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42864.4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O35*2.1</f>
        <v>90015.24</v>
      </c>
      <c r="P36" s="14" t="s">
        <v>137</v>
      </c>
      <c r="Q36" s="14"/>
      <c r="R36" s="40">
        <f>P27/R35</f>
        <v>0.46203623813632438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63035.882352941182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46150</v>
      </c>
    </row>
    <row r="6" spans="2:31" ht="16.2" thickBot="1" x14ac:dyDescent="0.35">
      <c r="B6" s="140" t="s">
        <v>2</v>
      </c>
      <c r="C6" s="139" t="str">
        <f>'2229'!C10</f>
        <v>OSVALDO IRIBARREN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7" t="s">
        <v>97</v>
      </c>
      <c r="I7" s="438"/>
      <c r="J7" s="438"/>
      <c r="K7" s="439"/>
      <c r="N7" s="75"/>
      <c r="O7" s="436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12121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6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-2319.4550334541077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93015.24</v>
      </c>
      <c r="E11" s="132">
        <f>D11*0.19</f>
        <v>17672.8956</v>
      </c>
      <c r="F11" s="131">
        <f>E11+D11</f>
        <v>110688.13560000001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103670.54496654589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47938.490787439616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85670.544966545887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45076.749212560389</v>
      </c>
      <c r="E13" s="221">
        <f>(D11/D12)-1</f>
        <v>0.94030388675421062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76670.544966545887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37670.544966545895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79098.509799275358</v>
      </c>
      <c r="F15" s="216">
        <f>E15-D12</f>
        <v>31160.019011835742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37670.544966545895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77670.544966545887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11250</v>
      </c>
      <c r="E19" s="123">
        <f>D19*0.19</f>
        <v>2137.5</v>
      </c>
      <c r="F19" s="120">
        <f>SUM(D19:E19)</f>
        <v>13387.5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6854.4</v>
      </c>
      <c r="E20" s="121">
        <f>D20*0.19</f>
        <v>1302.336</v>
      </c>
      <c r="F20" s="120">
        <f>SUM(D20:E20)</f>
        <v>8156.7359999999999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18104.400000000001</v>
      </c>
      <c r="E21" s="116">
        <f>SUM(E18:E20)</f>
        <v>3439.8360000000002</v>
      </c>
      <c r="F21" s="115">
        <f>SUM(F18:F20)</f>
        <v>21544.236000000001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14233.059600000001</v>
      </c>
    </row>
    <row r="41" spans="2:16" ht="15" thickBot="1" x14ac:dyDescent="0.35">
      <c r="H41" s="440" t="s">
        <v>59</v>
      </c>
      <c r="I41" s="441"/>
      <c r="J41" s="441"/>
      <c r="K41" s="441"/>
      <c r="L41" s="441"/>
      <c r="M41" s="442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93015.24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18104.400000000001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45076.749212560389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45076.749212560389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12121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OSVALDO IRIBARREN</v>
      </c>
      <c r="D10" s="350"/>
      <c r="E10" s="350"/>
      <c r="F10" s="351" t="s">
        <v>165</v>
      </c>
      <c r="G10" s="352">
        <f>'2229'!G10</f>
        <v>46150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46157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+569 8418 5532</v>
      </c>
      <c r="D15" s="347"/>
      <c r="E15" s="345"/>
      <c r="F15" s="345" t="s">
        <v>171</v>
      </c>
      <c r="G15" s="345" t="str">
        <f>'2229'!G12</f>
        <v>SI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3" t="s">
        <v>173</v>
      </c>
      <c r="G17" s="443"/>
      <c r="H17" s="44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5" t="s">
        <v>174</v>
      </c>
      <c r="C20" s="446"/>
      <c r="D20" s="446"/>
      <c r="E20" s="446"/>
      <c r="F20" s="446"/>
      <c r="G20" s="446"/>
      <c r="H20" s="447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180</v>
      </c>
      <c r="C2" s="448"/>
      <c r="D2" s="448"/>
      <c r="E2" s="361"/>
      <c r="G2" s="448" t="s">
        <v>181</v>
      </c>
      <c r="H2" s="448"/>
      <c r="I2" s="448"/>
      <c r="P2" s="449" t="s">
        <v>182</v>
      </c>
      <c r="Q2" s="449"/>
      <c r="R2" s="449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49" t="s">
        <v>182</v>
      </c>
      <c r="M8" s="449"/>
      <c r="N8" s="449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4" t="s">
        <v>263</v>
      </c>
      <c r="L3" s="454"/>
      <c r="M3" s="454" t="s">
        <v>264</v>
      </c>
      <c r="N3" s="454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OSVALDO IRIBARREN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46150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46157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5" t="s">
        <v>263</v>
      </c>
      <c r="B10" s="455"/>
      <c r="C10" s="455"/>
      <c r="D10" s="455"/>
      <c r="E10" s="455"/>
      <c r="F10" s="455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5" t="s">
        <v>264</v>
      </c>
      <c r="B17" s="455"/>
      <c r="C17" s="455"/>
      <c r="D17" s="455"/>
      <c r="E17" s="455"/>
      <c r="F17" s="455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5" t="s">
        <v>270</v>
      </c>
      <c r="B45" s="455"/>
      <c r="C45" s="455"/>
      <c r="D45" s="455"/>
      <c r="E45" s="455"/>
      <c r="F45" s="45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0" t="s">
        <v>94</v>
      </c>
      <c r="C47" s="451"/>
      <c r="D47" s="452"/>
      <c r="E47" s="452"/>
      <c r="F47" s="453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12121</v>
      </c>
      <c r="C2" s="1">
        <f>'NOTA DE VENTA'!$G$10</f>
        <v>46150</v>
      </c>
      <c r="D2" s="1">
        <f>'NOTA DE VENTA'!$G$11</f>
        <v>46157</v>
      </c>
      <c r="E2" t="str">
        <f>'NOTA DE VENTA'!$C$10</f>
        <v>OSVALDO IRIBARREN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2026-05-07T19:57:33Z</cp:lastPrinted>
  <dcterms:created xsi:type="dcterms:W3CDTF">2013-03-18T13:35:42Z</dcterms:created>
  <dcterms:modified xsi:type="dcterms:W3CDTF">2026-05-08T18:59:33Z</dcterms:modified>
</cp:coreProperties>
</file>