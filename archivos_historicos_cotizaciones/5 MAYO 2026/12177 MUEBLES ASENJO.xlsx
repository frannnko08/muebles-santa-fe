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ECE19F7C-1746-4081-9884-6687FA9F23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J34" i="1"/>
  <c r="M21" i="1" l="1"/>
  <c r="L21" i="1"/>
  <c r="S21" i="1" l="1"/>
  <c r="N21" i="1" l="1"/>
  <c r="O21" i="1" l="1"/>
  <c r="P21" i="1" s="1"/>
  <c r="P25" i="1" s="1"/>
  <c r="S26" i="1"/>
  <c r="M25" i="1"/>
  <c r="T24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O39" i="1"/>
  <c r="E15" i="3"/>
  <c r="R21" i="1" l="1"/>
  <c r="H21" i="1" s="1"/>
  <c r="F15" i="3"/>
  <c r="H24" i="1" l="1"/>
  <c r="J29" i="1" s="1"/>
  <c r="H25" i="1" l="1"/>
  <c r="H26" i="1" s="1"/>
  <c r="J26" i="1"/>
  <c r="D11" i="3"/>
  <c r="X9" i="3" s="1"/>
  <c r="X15" i="3" s="1"/>
  <c r="X12" i="3" l="1"/>
  <c r="D13" i="3"/>
  <c r="M42" i="3"/>
  <c r="M46" i="3" s="1"/>
  <c r="M49" i="3" s="1"/>
  <c r="X14" i="3"/>
  <c r="X11" i="3"/>
  <c r="X13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<sst xmlns="http://schemas.openxmlformats.org/spreadsheetml/2006/main" count="230" uniqueCount="175">
  <si>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</si>
  <si>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</si>
  <si>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</si>
  <si>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</si>
  <si>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</si>
  <si>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</si>
  <si>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</si>
  <si>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</si>
  <si>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</si>
  <si>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</si>
  <si>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</si>
  <si>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</si>
  <si>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</si>
  <si>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</si>
  <si>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</si>
  <si>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</si>
  <si>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</si>
  <si>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</si>
  <si>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</si>
  <si>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</si>
  <si>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</si>
  <si>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</si>
  <si>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</si>
  <si>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</si>
  <si>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</si>
  <si>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</si>
  <si>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</si>
  <si>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</si>
  <si>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</si>
  <si>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</si>
  <si>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</si>
  <si>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</si>
  <si>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</si>
  <si>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</si>
  <si>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</si>
  <si>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</si>
  <si>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</si>
  <si>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</si>
  <si>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</si>
  <si>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</si>
  <si>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</si>
  <si>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</si>
  <si>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</si>
  <si>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</si>
  <si>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</si>
  <si>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</si>
  <si>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</si>
  <si>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</si>
  <si>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</si>
  <si>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</si>
  <si>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</si>
  <si>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</si>
  <si>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</si>
  <si>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</si>
  <si>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</si>
  <si>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</si>
  <si>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</si>
  <si>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</si>
  <si>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</si>
  <si>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</si>
  <si>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</si>
  <si>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</si>
  <si>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</si>
  <si>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</si>
  <si>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</si>
  <si>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</si>
  <si>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</si>
  <si>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</si>
  <si>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</si>
  <si>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</si>
  <si>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</si>
  <si>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</si>
  <si>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</si>
  <si>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</si>
  <si>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</si>
  <si>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</si>
  <si>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</si>
  <si>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</si>
  <si>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</si>
  <si>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</si>
  <si>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</si>
  <si>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</si>
  <si>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</si>
  <si>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</si>
  <si>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</si>
  <si>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</si>
  <si>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</si>
  <si>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</si>
  <si>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</si>
  <si>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</si>
  <si>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</si>
  <si>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</si>
  <si>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</si>
  <si>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</si>
  <si>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</si>
  <si>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</si>
  <si>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</si>
  <si>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</si>
  <si>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</si>
  <si>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</si>
  <si>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</si>
  <si>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</si>
  <si>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</si>
  <si>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</si>
  <si>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</si>
  <si>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</si>
  <si>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</si>
  <si>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</si>
  <si>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</si>
  <si>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</si>
  <si>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</si>
  <si>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</si>
  <si>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</si>
  <si>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</si>
  <si>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</si>
  <si>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</si>
  <si>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</si>
  <si>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</si>
  <si>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</si>
  <si>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</si>
  <si>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</si>
  <si>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</si>
  <si>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</si>
  <si>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</si>
  <si>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</si>
  <si>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</si>
  <si>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</si>
  <si>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</si>
  <si>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</si>
  <si>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</si>
  <si>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</si>
  <si>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</si>
  <si>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</si>
  <si>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</si>
  <si>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</si>
  <si>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</si>
  <si>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</si>
  <si>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</si>
  <si>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</si>
  <si>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</si>
  <si>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</si>
  <si>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</si>
  <si>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</si>
  <si>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</si>
  <si>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</si>
  <si>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</si>
  <si>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</si>
  <si>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</si>
  <si>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</si>
  <si>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</si>
  <si>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</si>
  <si>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</si>
  <si>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</si>
  <si>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</si>
  <si>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</si>
  <si>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</si>
  <si>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</si>
  <si>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</si>
  <si>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</si>
  <si>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</si>
  <si>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</si>
  <si>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</si>
  <si>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</si>
  <si>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</si>
  <si>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</si>
  <si>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</si>
  <si>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</si>
  <si>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</si>
  <si>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</si>
  <si>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</si>
  <si>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</si>
  <si>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3 DIAS HABILES</t>
  </si>
  <si>
    <t>GLACIAL WHITE 22191 SF</t>
  </si>
  <si>
    <t>N° 12177</t>
  </si>
  <si>
    <t>CUB C/R FTE 90°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</si>
</sst>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42" fontId="21" fillId="0" borderId="0" xfId="0" applyNumberFormat="1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25913</xdr:rowOff>
    </xdr:from>
    <xdr:to>
      <xdr:col>5</xdr:col>
      <xdr:colOff>1728839</xdr:colOff>
      <xdr:row>26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4" zoomScale="80" zoomScaleNormal="80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46170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>
        <v>0.14000000000000001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58309.04296875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174</v>
      </c>
      <c r="D21" s="332">
        <v>1.2</v>
      </c>
      <c r="E21" s="332">
        <v>0.5</v>
      </c>
      <c r="F21" s="330" t="s">
        <v>172</v>
      </c>
      <c r="G21" s="331">
        <v>47767</v>
      </c>
      <c r="H21" s="331">
        <f t="shared" ref="H21" si="1">G21*B21</f>
        <v>47767</v>
      </c>
      <c r="I21" s="320"/>
      <c r="J21" s="265"/>
      <c r="K21" s="47"/>
      <c r="L21" s="47">
        <f>B21</f>
        <v>1</v>
      </c>
      <c r="M21" s="39">
        <f>D21+M$19</f>
        <v>1.28</v>
      </c>
      <c r="N21" s="39">
        <f t="shared" ref="N21" si="2">E21+$N$19</f>
        <v>0.64</v>
      </c>
      <c r="O21" s="261">
        <f t="shared" ref="O21" si="3">M21*N21</f>
        <v>0.81920000000000004</v>
      </c>
      <c r="P21" s="259">
        <f t="shared" ref="P21" si="4">O21*L21</f>
        <v>0.81920000000000004</v>
      </c>
      <c r="Q21" s="252">
        <f t="shared" ref="Q21" si="5">Q$20*O21</f>
        <v>47766.768000000004</v>
      </c>
      <c r="R21" s="319">
        <f t="shared" ref="R21" si="6">Q21+R$20</f>
        <v>50766.768000000004</v>
      </c>
      <c r="S21" s="297">
        <f t="shared" ref="S21" si="7">L21*M21</f>
        <v>1.28</v>
      </c>
      <c r="T21" s="46"/>
      <c r="U21" s="9"/>
      <c r="X21" s="4"/>
    </row>
    <row r="22" spans="1:25" ht="16.2" customHeight="1" x14ac:dyDescent="0.3">
      <c r="B22" s="285">
        <f>SUM(B21:B21)</f>
        <v>1</v>
      </c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6.2" customHeight="1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47767</v>
      </c>
      <c r="I24" s="322"/>
      <c r="J24" s="265">
        <v>1971198</v>
      </c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9075.73</v>
      </c>
      <c r="I25" s="322"/>
      <c r="J25" s="265"/>
      <c r="K25" s="47"/>
      <c r="L25" s="47"/>
      <c r="M25" s="39">
        <f>SUM(M21:M24)</f>
        <v>1.28</v>
      </c>
      <c r="N25" s="12"/>
      <c r="O25" s="12"/>
      <c r="P25" s="253">
        <f>SUM(P21:P23)</f>
        <v>0.81920000000000004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56842.729999999996</v>
      </c>
      <c r="I26" s="322"/>
      <c r="J26" s="333">
        <f>H24+J34</f>
        <v>527767</v>
      </c>
      <c r="K26" s="47"/>
      <c r="L26" s="47"/>
      <c r="M26" s="39"/>
      <c r="N26" s="12"/>
      <c r="O26" s="12"/>
      <c r="P26" s="253">
        <f>P25</f>
        <v>0.81920000000000004</v>
      </c>
      <c r="Q26" s="14"/>
      <c r="R26" s="12"/>
      <c r="S26" s="239">
        <f>SUM(S21:S25)</f>
        <v>1.28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0.16384000000000001</v>
      </c>
      <c r="Q27" s="39" t="s">
        <v>130</v>
      </c>
      <c r="R27" s="42"/>
      <c r="S27" s="240">
        <f>S26+T24</f>
        <v>1.28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0.98304000000000002</v>
      </c>
      <c r="Q28" s="14"/>
      <c r="R28" s="14"/>
      <c r="S28" s="238">
        <f>S27*20%</f>
        <v>0.25600000000000001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333">
        <f>H24+J34</f>
        <v>527767</v>
      </c>
      <c r="K29" s="47"/>
      <c r="L29" s="47"/>
      <c r="M29" s="14"/>
      <c r="N29" s="14"/>
      <c r="O29" s="14"/>
      <c r="P29" s="14"/>
      <c r="Q29" s="14"/>
      <c r="R29" s="14"/>
      <c r="S29" s="240">
        <f>S27+S28</f>
        <v>1.536</v>
      </c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0.98304000000000002</v>
      </c>
      <c r="N30" s="12">
        <v>2000</v>
      </c>
      <c r="O30" s="12">
        <f t="shared" ref="O30:O35" si="8">M30*N30</f>
        <v>1966.0800000000002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0.3</v>
      </c>
      <c r="N31" s="12">
        <v>25000</v>
      </c>
      <c r="O31" s="12">
        <f t="shared" si="8"/>
        <v>7500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38770</v>
      </c>
      <c r="O32" s="12">
        <f t="shared" si="8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143</v>
      </c>
      <c r="C33"/>
      <c r="D33"/>
      <c r="E33"/>
      <c r="F33"/>
      <c r="J33" s="262">
        <v>20</v>
      </c>
      <c r="K33" s="232"/>
      <c r="L33" s="250"/>
      <c r="M33" s="14">
        <v>0.5</v>
      </c>
      <c r="N33" s="250">
        <v>24000</v>
      </c>
      <c r="O33" s="12">
        <f t="shared" si="8"/>
        <v>12000</v>
      </c>
      <c r="P33" s="14" t="s">
        <v>170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>
        <f>J33*N33</f>
        <v>480000</v>
      </c>
      <c r="K34" s="260"/>
      <c r="L34" s="250"/>
      <c r="M34" s="249"/>
      <c r="N34" s="250">
        <v>15700</v>
      </c>
      <c r="O34" s="12">
        <f t="shared" si="8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1.28</v>
      </c>
      <c r="N35" s="12">
        <v>1000</v>
      </c>
      <c r="O35" s="12">
        <f t="shared" si="8"/>
        <v>1280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22746.080000000002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47766.768000000004</v>
      </c>
      <c r="P37" s="14" t="s">
        <v>140</v>
      </c>
      <c r="Q37" s="14"/>
      <c r="R37" s="40">
        <f>P28/R36</f>
        <v>0.26505608283002591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L38" s="250"/>
      <c r="M38" s="14"/>
      <c r="N38" s="12"/>
      <c r="O38" s="12">
        <f>O37/P26</f>
        <v>58309.04296875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J40" s="260"/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46170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12177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2846.3802998792271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47767</v>
      </c>
      <c r="E11" s="132">
        <f>D11*0.19</f>
        <v>9075.73</v>
      </c>
      <c r="F11" s="131">
        <f>E11+D11</f>
        <v>56842.729999999996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108836.38029987922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39300.170787439616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90836.380299879223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8466.8292125603839</v>
      </c>
      <c r="E13" s="221">
        <f>(D11/D12)-1</f>
        <v>0.21544001063899687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81836.380299879223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42836.380299879223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64845.281799275363</v>
      </c>
      <c r="F15" s="216">
        <f>E15-D12</f>
        <v>25545.111011835746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42836.380299879223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82836.380299879223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1966.0800000000002</v>
      </c>
      <c r="E20" s="121">
        <f>D20*0.19</f>
        <v>373.55520000000001</v>
      </c>
      <c r="F20" s="120">
        <f>SUM(D20:E20)</f>
        <v>2339.6352000000002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9466.08</v>
      </c>
      <c r="E21" s="116">
        <f>SUM(E18:E20)</f>
        <v>1798.5552</v>
      </c>
      <c r="F21" s="115">
        <f>SUM(F18:F20)</f>
        <v>11264.635200000001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7277.1747999999998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47767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9466.08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8466.8292125603839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8466.8292125603839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2026-05-07T16:40:36Z</cp:lastPrinted>
  <dcterms:created xsi:type="dcterms:W3CDTF">2013-03-18T13:35:42Z</dcterms:created>
  <dcterms:modified xsi:type="dcterms:W3CDTF">2026-05-28T22:03:34Z</dcterms:modified>
</cp:coreProperties>
</file>