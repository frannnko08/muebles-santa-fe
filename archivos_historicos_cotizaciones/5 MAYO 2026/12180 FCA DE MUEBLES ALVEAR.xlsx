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F099EBAF-52E2-4235-88B6-C85AECF23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P28" i="1"/>
  <c r="L22" i="1"/>
  <c r="M22" i="1"/>
  <c r="N22" i="1"/>
  <c r="O22" i="1"/>
  <c r="S22" i="1"/>
  <c r="L21" i="1"/>
  <c r="P22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2" i="1" s="1"/>
  <c r="R22" i="1" s="1"/>
  <c r="D21" i="3"/>
  <c r="M43" i="3" s="1"/>
  <c r="D12" i="3" s="1"/>
  <c r="F20" i="3"/>
  <c r="F21" i="3" s="1"/>
  <c r="O42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<sst xmlns="http://schemas.openxmlformats.org/spreadsheetml/2006/main" count="492" uniqueCount="298">
  <si>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</si>
  <si>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</si>
  <si>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</si>
  <si>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</si>
  <si>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</si>
  <si>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</si>
  <si>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</si>
  <si>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</si>
  <si>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</si>
  <si>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</si>
  <si>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</si>
  <si>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</si>
  <si>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</si>
  <si>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</si>
  <si>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</si>
  <si>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</si>
  <si>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</si>
  <si>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</si>
  <si>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</si>
  <si>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</si>
  <si>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</si>
  <si>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</si>
  <si>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</si>
  <si>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</si>
  <si>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</si>
  <si>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</si>
  <si>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</si>
  <si>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</si>
  <si>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</si>
  <si>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</si>
  <si>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</si>
  <si>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</si>
  <si>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</si>
  <si>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</si>
  <si>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</si>
  <si>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</si>
  <si>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</si>
  <si>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</si>
  <si>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</si>
  <si>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</si>
  <si>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</si>
  <si>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</si>
  <si>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</si>
  <si>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</si>
  <si>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</si>
  <si>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</si>
  <si>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</si>
  <si>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</si>
  <si>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</si>
  <si>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</si>
  <si>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</si>
  <si>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</si>
  <si>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</si>
  <si>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</si>
  <si>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</si>
  <si>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</si>
  <si>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</si>
  <si>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</si>
  <si>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</si>
  <si>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</si>
  <si>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</si>
  <si>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</si>
  <si>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</si>
  <si>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</si>
  <si>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</si>
  <si>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</si>
  <si>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</si>
  <si>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</si>
  <si>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</si>
  <si>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</si>
  <si>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</si>
  <si>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</si>
  <si>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</si>
  <si>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</si>
  <si>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</si>
  <si>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</si>
  <si>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</si>
  <si>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</si>
  <si>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</si>
  <si>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</si>
  <si>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</si>
  <si>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</si>
  <si>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</si>
  <si>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</si>
  <si>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</si>
  <si>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</si>
  <si>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</si>
  <si>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</si>
  <si>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</si>
  <si>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</si>
  <si>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</si>
  <si>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</si>
  <si>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</si>
  <si>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</si>
  <si>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</si>
  <si>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</si>
  <si>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</si>
  <si>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</si>
  <si>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</si>
  <si>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</si>
  <si>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</si>
  <si>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</si>
  <si>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</si>
  <si>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</si>
  <si>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</si>
  <si>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</si>
  <si>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</si>
  <si>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</si>
  <si>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</si>
  <si>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</si>
  <si>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</si>
  <si>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</si>
  <si>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</si>
  <si>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</si>
  <si>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</si>
  <si>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</si>
  <si>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</si>
  <si>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</si>
  <si>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</si>
  <si>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</si>
  <si>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</si>
  <si>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</si>
  <si>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</si>
  <si>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</si>
  <si>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</si>
  <si>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</si>
  <si>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</si>
  <si>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</si>
  <si>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</si>
  <si>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</si>
  <si>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</si>
  <si>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</si>
  <si>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</si>
  <si>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</si>
  <si>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</si>
  <si>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</si>
  <si>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</si>
  <si>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</si>
  <si>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</si>
  <si>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</si>
  <si>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</si>
  <si>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</si>
  <si>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</si>
  <si>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</si>
  <si>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</si>
  <si>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</si>
  <si>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</si>
  <si>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</si>
  <si>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</si>
  <si>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</si>
  <si>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</si>
  <si>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</si>
  <si>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</si>
  <si>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</si>
  <si>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</si>
  <si>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</si>
  <si>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</si>
  <si>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</si>
  <si>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</si>
  <si>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</si>
  <si>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</si>
  <si>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</si>
  <si>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</si>
  <si>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</si>
  <si>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</si>
  <si>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</si>
  <si>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</si>
  <si>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</si>
  <si>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</si>
  <si>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</si>
  <si>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</si>
  <si>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</si>
  <si>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</si>
  <si>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</si>
  <si>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</si>
  <si>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</si>
  <si>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</si>
  <si>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</si>
  <si>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</si>
  <si>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</si>
  <si>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</si>
  <si>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</si>
  <si>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</si>
  <si>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</si>
  <si>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</si>
  <si>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</si>
  <si>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</si>
  <si>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</si>
  <si>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</si>
  <si>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</si>
  <si>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</si>
  <si>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</si>
  <si>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</si>
  <si>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</si>
  <si>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</si>
  <si>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</si>
  <si>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</si>
  <si>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</si>
  <si>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</si>
  <si>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</si>
  <si>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</si>
  <si>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</si>
  <si>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</si>
  <si>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</si>
  <si>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</si>
  <si>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</si>
  <si>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</si>
  <si>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</si>
  <si>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</si>
  <si>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</si>
  <si>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</si>
  <si>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</si>
  <si>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</si>
  <si>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</si>
  <si>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</si>
  <si>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</si>
  <si>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</si>
  <si>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</si>
  <si>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</si>
  <si>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</si>
  <si>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</si>
  <si>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</si>
  <si>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</si>
  <si>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</si>
  <si>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</si>
  <si>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</si>
  <si>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</si>
  <si>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</si>
  <si>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</si>
  <si>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</si>
  <si>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</si>
  <si>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</si>
  <si>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</si>
  <si>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</si>
  <si>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</si>
  <si>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</si>
  <si>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</si>
  <si>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</si>
  <si>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</si>
  <si>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</si>
  <si>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</si>
  <si>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</si>
  <si>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</si>
  <si>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</si>
  <si>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</si>
  <si>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</si>
  <si>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</si>
  <si>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</si>
  <si>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</si>
  <si>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</si>
  <si>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</si>
  <si>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</si>
  <si>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</si>
  <si>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</si>
  <si>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</si>
  <si>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</si>
  <si>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</si>
  <si>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</si>
  <si>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</si>
  <si>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</si>
  <si>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</si>
  <si>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</si>
  <si>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</si>
  <si>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</si>
  <si>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</si>
  <si>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</si>
  <si>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</si>
  <si>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</si>
  <si>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</si>
  <si>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</si>
  <si>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</si>
  <si>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</si>
  <si>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</si>
  <si>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</si>
  <si>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</si>
  <si>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</si>
  <si>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</si>
  <si>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</si>
  <si>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</si>
  <si>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</si>
  <si>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</si>
  <si>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</si>
  <si>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</si>
  <si>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</si>
  <si>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</si>
  <si>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</si>
  <si>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</si>
  <si>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</si>
  <si>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</si>
  <si>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</si>
  <si>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</si>
  <si>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</si>
  <si>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</si>
  <si>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</si>
  <si>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</si>
  <si>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5 DIAS HABILES</t>
  </si>
  <si>
    <t>N° 12180</t>
  </si>
  <si>
    <t>NIEBLA 2191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</si>
</sst>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3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288</v>
      </c>
      <c r="D10" s="243"/>
      <c r="E10" s="243"/>
      <c r="F10" s="417" t="s">
        <v>277</v>
      </c>
      <c r="G10" s="275">
        <v>46171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289</v>
      </c>
      <c r="F11" s="29" t="s">
        <v>286</v>
      </c>
      <c r="G11" s="420" t="s">
        <v>295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291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>
        <v>56973069852</v>
      </c>
      <c r="D15" s="424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79020.295566502449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294</v>
      </c>
      <c r="D21" s="430">
        <v>1.95</v>
      </c>
      <c r="E21" s="430">
        <v>0.7</v>
      </c>
      <c r="F21" s="429" t="s">
        <v>297</v>
      </c>
      <c r="G21" s="431">
        <v>115288</v>
      </c>
      <c r="H21" s="431">
        <f>G21*B21</f>
        <v>115288</v>
      </c>
      <c r="I21" s="306"/>
      <c r="J21" s="264"/>
      <c r="K21" s="47"/>
      <c r="L21" s="47">
        <f>B21</f>
        <v>1</v>
      </c>
      <c r="M21" s="39">
        <f>D21+M$19</f>
        <v>2.0299999999999998</v>
      </c>
      <c r="N21" s="39">
        <f>E21+$N$19</f>
        <v>0.7</v>
      </c>
      <c r="O21" s="260">
        <f t="shared" ref="O21" si="0">M21*N21</f>
        <v>1.4209999999999998</v>
      </c>
      <c r="P21" s="258">
        <f t="shared" ref="P21" si="1">O21*L21</f>
        <v>1.4209999999999998</v>
      </c>
      <c r="Q21" s="251">
        <f t="shared" ref="Q21" si="2">Q$20*O21</f>
        <v>112287.83999999997</v>
      </c>
      <c r="R21" s="305">
        <f t="shared" ref="R21" si="3">Q21+R$20</f>
        <v>115287.83999999997</v>
      </c>
      <c r="S21" s="290">
        <f>M21*L21</f>
        <v>2.0299999999999998</v>
      </c>
      <c r="T21" s="46">
        <f>N21*2*L21*2</f>
        <v>2.8</v>
      </c>
      <c r="U21" s="9"/>
      <c r="X21" s="4"/>
    </row>
    <row r="22" spans="2:25" ht="17.399999999999999" x14ac:dyDescent="0.3">
      <c r="B22" s="429">
        <v>1</v>
      </c>
      <c r="C22" s="433" t="s">
        <v>32</v>
      </c>
      <c r="D22" s="430">
        <v>1.95</v>
      </c>
      <c r="E22" s="430">
        <v>0.1</v>
      </c>
      <c r="F22" s="429" t="s">
        <v>297</v>
      </c>
      <c r="G22" s="431">
        <v>19041</v>
      </c>
      <c r="H22" s="431">
        <f>G22*B22</f>
        <v>19041</v>
      </c>
      <c r="I22" s="306"/>
      <c r="J22" s="264"/>
      <c r="K22" s="47"/>
      <c r="L22" s="47">
        <f>B22</f>
        <v>1</v>
      </c>
      <c r="M22" s="39">
        <f>D22+M$19</f>
        <v>2.0299999999999998</v>
      </c>
      <c r="N22" s="39">
        <f>E22+$N$19</f>
        <v>0.1</v>
      </c>
      <c r="O22" s="260">
        <f t="shared" ref="O22" si="4">M22*N22</f>
        <v>0.20299999999999999</v>
      </c>
      <c r="P22" s="258">
        <f t="shared" ref="P22" si="5">O22*L22</f>
        <v>0.20299999999999999</v>
      </c>
      <c r="Q22" s="251">
        <f t="shared" ref="Q22" si="6">Q$20*O22</f>
        <v>16041.119999999995</v>
      </c>
      <c r="R22" s="305">
        <f t="shared" ref="R22" si="7">Q22+R$20</f>
        <v>19041.119999999995</v>
      </c>
      <c r="S22" s="290">
        <f>M22*L22</f>
        <v>2.0299999999999998</v>
      </c>
      <c r="T22" s="46"/>
      <c r="U22" s="9"/>
      <c r="X22" s="4"/>
    </row>
    <row r="23" spans="2:25" ht="18" thickBot="1" x14ac:dyDescent="0.35">
      <c r="B23" s="283"/>
      <c r="C23" s="324"/>
      <c r="D23" s="284"/>
      <c r="E23" s="284"/>
      <c r="F23" s="457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4"/>
      <c r="D24" s="284"/>
      <c r="E24" s="284"/>
      <c r="F24" s="283"/>
      <c r="G24" s="309" t="s">
        <v>28</v>
      </c>
      <c r="H24" s="310">
        <f>SUM(H21:H23)</f>
        <v>134329</v>
      </c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7.399999999999999" x14ac:dyDescent="0.3">
      <c r="B25" s="283"/>
      <c r="C25" s="324"/>
      <c r="D25" s="284"/>
      <c r="E25" s="284"/>
      <c r="F25" s="283"/>
      <c r="G25" s="289" t="s">
        <v>51</v>
      </c>
      <c r="H25" s="287">
        <f>H24*19%</f>
        <v>25522.510000000002</v>
      </c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8" thickBot="1" x14ac:dyDescent="0.35">
      <c r="B26" s="283"/>
      <c r="C26" s="324"/>
      <c r="D26" s="284"/>
      <c r="E26" s="284"/>
      <c r="F26" s="283"/>
      <c r="G26" s="278" t="s">
        <v>6</v>
      </c>
      <c r="H26" s="288">
        <f>H24+H25</f>
        <v>159851.51</v>
      </c>
      <c r="I26" s="308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I27" s="307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2.8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I28" s="307"/>
      <c r="J28" s="264"/>
      <c r="K28" s="47"/>
      <c r="L28" s="47"/>
      <c r="M28" s="39">
        <f>SUM(M21:M27)</f>
        <v>4.0599999999999996</v>
      </c>
      <c r="N28" s="12"/>
      <c r="O28" s="12"/>
      <c r="P28" s="252">
        <f>SUM(P21:P22)</f>
        <v>1.6239999999999999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4"/>
      <c r="C29" s="279"/>
      <c r="D29" s="271"/>
      <c r="E29" s="271"/>
      <c r="F29" s="272"/>
      <c r="I29" s="307"/>
      <c r="J29" s="264"/>
      <c r="K29" s="47"/>
      <c r="L29" s="47"/>
      <c r="M29" s="39"/>
      <c r="N29" s="12"/>
      <c r="O29" s="12"/>
      <c r="P29" s="252">
        <f>P28</f>
        <v>1.6239999999999999</v>
      </c>
      <c r="Q29" s="14"/>
      <c r="R29" s="12"/>
      <c r="S29" s="239">
        <f>SUM(S21:S28)</f>
        <v>4.0599999999999996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0.32479999999999998</v>
      </c>
      <c r="Q30" s="39" t="s">
        <v>129</v>
      </c>
      <c r="R30" s="42"/>
      <c r="S30" s="240">
        <f>S29+T27</f>
        <v>6.8599999999999994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1.9487999999999999</v>
      </c>
      <c r="Q31" s="14"/>
      <c r="R31" s="14"/>
      <c r="S31" s="238">
        <f>S30*20%</f>
        <v>1.3719999999999999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8.2319999999999993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1.9487999999999999</v>
      </c>
      <c r="N33" s="12">
        <v>4000</v>
      </c>
      <c r="O33" s="12">
        <f t="shared" ref="O33:O38" si="8">M33*N33</f>
        <v>7795.2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0.6</v>
      </c>
      <c r="N34" s="12">
        <v>25000</v>
      </c>
      <c r="O34" s="12">
        <f t="shared" si="8"/>
        <v>15000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8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33000</v>
      </c>
      <c r="O36" s="12">
        <f t="shared" si="8"/>
        <v>33000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8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8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55795.199999999997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O39*2.3</f>
        <v>128328.95999999998</v>
      </c>
      <c r="P40" s="14" t="s">
        <v>138</v>
      </c>
      <c r="Q40" s="14"/>
      <c r="R40" s="40">
        <f>P31/R39</f>
        <v>0.52545297670405522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79020.295566502449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46171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-7915.1117001207722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134329</v>
      </c>
      <c r="E11" s="132">
        <f>D11*0.19</f>
        <v>25522.510000000002</v>
      </c>
      <c r="F11" s="131">
        <f>E11+D11</f>
        <v>159851.51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98074.888299879225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52629.290787439619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80074.888299879225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81699.709212560381</v>
      </c>
      <c r="E13" s="221">
        <f>(D11/D12)-1</f>
        <v>1.5523619640350281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71074.888299879225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32074.888299879229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86838.329799275365</v>
      </c>
      <c r="F15" s="216">
        <f>E15-D12</f>
        <v>34209.039011835746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32074.888299879229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72074.888299879225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7795.2</v>
      </c>
      <c r="E20" s="121">
        <f>D20*0.19</f>
        <v>1481.088</v>
      </c>
      <c r="F20" s="120">
        <f>SUM(D20:E20)</f>
        <v>9276.2880000000005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22795.200000000001</v>
      </c>
      <c r="E21" s="116">
        <f>SUM(E18:E20)</f>
        <v>4331.0879999999997</v>
      </c>
      <c r="F21" s="115">
        <f>SUM(F18:F20)</f>
        <v>27126.288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21191.422000000002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134329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22795.200000000001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81699.709212560381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81699.709212560381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12180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FCA. DE MUEBLES ALVEAR Y ALVEAR LTDA</v>
      </c>
      <c r="D10" s="349"/>
      <c r="E10" s="349"/>
      <c r="F10" s="350" t="s">
        <v>167</v>
      </c>
      <c r="G10" s="351">
        <f>'2229'!G10</f>
        <v>46171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>76.143.978-2</v>
      </c>
      <c r="D11" s="344"/>
      <c r="E11" s="344"/>
      <c r="F11" s="344" t="s">
        <v>168</v>
      </c>
      <c r="G11" s="339">
        <f>WORKDAY(G10,5)</f>
        <v>46178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>FCA DE MUEBLES</v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>LINEALTA1</v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>
        <f>IF('2229'!C15="","",'2229'!C15)</f>
        <v>56973069852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>ROSA ESTER 03281 LA PINTANA</v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S/R 180°</v>
      </c>
      <c r="D22" s="320">
        <f>'2229'!D21*1000</f>
        <v>1950</v>
      </c>
      <c r="E22" s="320">
        <f>'2229'!E21*1000</f>
        <v>700</v>
      </c>
      <c r="F22" s="321" t="str">
        <f>'2229'!F21</f>
        <v>NIEBLA 2191 MT</v>
      </c>
      <c r="G22" s="313">
        <f>'2229'!G21</f>
        <v>115288</v>
      </c>
      <c r="H22" s="322">
        <f>G22*B22</f>
        <v>115288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115288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21904.720000000001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137192.72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FCA. DE MUEBLES ALVEAR Y ALVEAR LTDA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12180</v>
      </c>
      <c r="C2" s="1">
        <f>'NOTA DE VENTA'!$G$10</f>
        <v>46171</v>
      </c>
      <c r="D2" s="1">
        <f>'NOTA DE VENTA'!$G$11</f>
        <v>46178</v>
      </c>
      <c r="E2" t="str">
        <f>'NOTA DE VENTA'!$C$10</f>
        <v>FCA. DE MUEBLES ALVEAR Y ALVEAR LTDA</v>
      </c>
      <c r="F2" t="str">
        <f>'NOTA DE VENTA'!$C$22</f>
        <v>CUB S/R 180°</v>
      </c>
      <c r="G2" t="str">
        <f>'NOTA DE VENTA'!$F$22</f>
        <v>NIEBLA 2191 MT</v>
      </c>
      <c r="H2" s="415">
        <f>'NOTA DE VENTA'!$H$25</f>
        <v>115288</v>
      </c>
      <c r="I2" s="415">
        <f>H2*0.19</f>
        <v>21904.720000000001</v>
      </c>
      <c r="J2" s="415">
        <f>I2+H2</f>
        <v>137192.72</v>
      </c>
      <c r="L2" s="61">
        <f>J2-K2</f>
        <v>137192.72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2026-05-29T18:53:13Z</dcterms:modified>
</cp:coreProperties>
</file>