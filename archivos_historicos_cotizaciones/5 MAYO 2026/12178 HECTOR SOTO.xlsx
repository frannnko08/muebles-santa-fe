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D1499810-4691-45AB-AF05-0BB90CCEAA6F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B2" i="8"/>
  <c r="A2" i="8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14" i="6" s="1"/>
  <c r="C27" i="6"/>
  <c r="F21" i="6" s="1"/>
  <c r="B27" i="6"/>
  <c r="I21" i="6" s="1"/>
  <c r="K21" i="6"/>
  <c r="J21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s="1"/>
  <c r="H25" i="1" l="1"/>
  <c r="D2" i="8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<sst xmlns="http://schemas.openxmlformats.org/spreadsheetml/2006/main" count="490" uniqueCount="296">
  <si>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</si>
  <si>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</si>
  <si>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</si>
  <si>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</si>
  <si>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</si>
  <si>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</si>
  <si>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</si>
  <si>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</si>
  <si>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</si>
  <si>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</si>
  <si>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</si>
  <si>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</si>
  <si>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</si>
  <si>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</si>
  <si>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</si>
  <si>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</si>
  <si>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</si>
  <si>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</si>
  <si>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</si>
  <si>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</si>
  <si>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</si>
  <si>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</si>
  <si>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</si>
  <si>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</si>
  <si>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</si>
  <si>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</si>
  <si>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</si>
  <si>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</si>
  <si>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</si>
  <si>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</si>
  <si>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</si>
  <si>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</si>
  <si>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</si>
  <si>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</si>
  <si>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</si>
  <si>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</si>
  <si>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</si>
  <si>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</si>
  <si>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</si>
  <si>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</si>
  <si>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</si>
  <si>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</si>
  <si>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</si>
  <si>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</si>
  <si>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</si>
  <si>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</si>
  <si>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</si>
  <si>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</si>
  <si>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</si>
  <si>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</si>
  <si>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</si>
  <si>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</si>
  <si>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</si>
  <si>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</si>
  <si>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</si>
  <si>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</si>
  <si>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</si>
  <si>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</si>
  <si>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</si>
  <si>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</si>
  <si>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</si>
  <si>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</si>
  <si>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</si>
  <si>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</si>
  <si>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</si>
  <si>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</si>
  <si>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</si>
  <si>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</si>
  <si>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</si>
  <si>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</si>
  <si>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</si>
  <si>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</si>
  <si>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</si>
  <si>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</si>
  <si>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</si>
  <si>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</si>
  <si>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</si>
  <si>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</si>
  <si>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</si>
  <si>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</si>
  <si>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</si>
  <si>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</si>
  <si>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</si>
  <si>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</si>
  <si>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</si>
  <si>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</si>
  <si>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</si>
  <si>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</si>
  <si>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</si>
  <si>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</si>
  <si>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</si>
  <si>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</si>
  <si>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</si>
  <si>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</si>
  <si>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</si>
  <si>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</si>
  <si>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</si>
  <si>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</si>
  <si>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</si>
  <si>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</si>
  <si>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</si>
  <si>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</si>
  <si>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</si>
  <si>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</si>
  <si>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</si>
  <si>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</si>
  <si>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</si>
  <si>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</si>
  <si>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</si>
  <si>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</si>
  <si>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</si>
  <si>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</si>
  <si>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</si>
  <si>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</si>
  <si>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</si>
  <si>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</si>
  <si>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</si>
  <si>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</si>
  <si>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</si>
  <si>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</si>
  <si>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</si>
  <si>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</si>
  <si>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</si>
  <si>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</si>
  <si>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</si>
  <si>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</si>
  <si>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</si>
  <si>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</si>
  <si>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</si>
  <si>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</si>
  <si>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</si>
  <si>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</si>
  <si>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</si>
  <si>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</si>
  <si>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</si>
  <si>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</si>
  <si>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</si>
  <si>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</si>
  <si>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</si>
  <si>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</si>
  <si>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</si>
  <si>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</si>
  <si>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</si>
  <si>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</si>
  <si>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</si>
  <si>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</si>
  <si>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</si>
  <si>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</si>
  <si>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</si>
  <si>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</si>
  <si>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</si>
  <si>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</si>
  <si>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</si>
  <si>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</si>
  <si>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</si>
  <si>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</si>
  <si>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</si>
  <si>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</si>
  <si>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</si>
  <si>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</si>
  <si>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</si>
  <si>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</si>
  <si>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</si>
  <si>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</si>
  <si>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</si>
  <si>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</si>
  <si>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</si>
  <si>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</si>
  <si>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</si>
  <si>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</si>
  <si>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</si>
  <si>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</si>
  <si>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</si>
  <si>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</si>
  <si>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</si>
  <si>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</si>
  <si>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</si>
  <si>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</si>
  <si>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</si>
  <si>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</si>
  <si>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</si>
  <si>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</si>
  <si>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</si>
  <si>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</si>
  <si>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</si>
  <si>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</si>
  <si>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</si>
  <si>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</si>
  <si>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</si>
  <si>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</si>
  <si>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</si>
  <si>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</si>
  <si>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</si>
  <si>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</si>
  <si>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</si>
  <si>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</si>
  <si>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</si>
  <si>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</si>
  <si>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</si>
  <si>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</si>
  <si>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</si>
  <si>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</si>
  <si>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</si>
  <si>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</si>
  <si>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</si>
  <si>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</si>
  <si>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</si>
  <si>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</si>
  <si>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</si>
  <si>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</si>
  <si>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</si>
  <si>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</si>
  <si>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</si>
  <si>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</si>
  <si>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</si>
  <si>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</si>
  <si>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</si>
  <si>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</si>
  <si>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</si>
  <si>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</si>
  <si>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</si>
  <si>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</si>
  <si>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</si>
  <si>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</si>
  <si>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</si>
  <si>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</si>
  <si>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</si>
  <si>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</si>
  <si>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</si>
  <si>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</si>
  <si>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</si>
  <si>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</si>
  <si>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</si>
  <si>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</si>
  <si>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</si>
  <si>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</si>
  <si>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</si>
  <si>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</si>
  <si>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</si>
  <si>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</si>
  <si>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</si>
  <si>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</si>
  <si>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</si>
  <si>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</si>
  <si>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</si>
  <si>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</si>
  <si>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</si>
  <si>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</si>
  <si>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</si>
  <si>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</si>
  <si>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</si>
  <si>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</si>
  <si>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</si>
  <si>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</si>
  <si>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</si>
  <si>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</si>
  <si>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</si>
  <si>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</si>
  <si>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</si>
  <si>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</si>
  <si>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</si>
  <si>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</si>
  <si>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</si>
  <si>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</si>
  <si>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</si>
  <si>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</si>
  <si>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</si>
  <si>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</si>
  <si>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</si>
  <si>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</si>
  <si>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</si>
  <si>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</si>
  <si>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</si>
  <si>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</si>
  <si>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</si>
  <si>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</si>
  <si>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</si>
  <si>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</si>
  <si>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</si>
  <si>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</si>
  <si>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</si>
  <si>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</si>
  <si>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</si>
  <si>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</si>
  <si>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</si>
  <si>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</si>
  <si>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</si>
  <si>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</si>
  <si>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COTIZACION</t>
  </si>
  <si>
    <t>CLIENTE</t>
  </si>
  <si>
    <t>CUB CON RESPALDO FRENTE 90°</t>
  </si>
  <si>
    <t>HECTOR SOTO</t>
  </si>
  <si>
    <t>N° 12178</t>
  </si>
  <si>
    <t>+569 9365 9377</t>
  </si>
  <si>
    <t>GRANITINO NEGRO BR</t>
  </si>
  <si>
    <t>3 A 5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</si>
</sst>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215081</xdr:rowOff>
    </xdr:from>
    <xdr:to>
      <xdr:col>5</xdr:col>
      <xdr:colOff>1732649</xdr:colOff>
      <xdr:row>24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813710"/>
          <a:ext cx="6146924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VAN</a:t>
          </a:r>
          <a:r>
            <a:rPr lang="es-CL" sz="1200" b="1" baseline="0"/>
            <a:t> SOBREMEDIDAS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35539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7" zoomScale="93" zoomScaleNormal="93" workbookViewId="0">
      <selection activeCell="I22" sqref="I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332031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7" t="s">
        <v>277</v>
      </c>
      <c r="G10" s="275">
        <v>46171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295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293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65143.68724631489</v>
      </c>
      <c r="R20" s="257">
        <v>15000</v>
      </c>
      <c r="S20" s="38"/>
      <c r="T20" s="14" t="s">
        <v>127</v>
      </c>
      <c r="U20" s="9"/>
      <c r="X20" s="4"/>
    </row>
    <row r="21" spans="1:25" ht="18" thickBot="1" x14ac:dyDescent="0.35">
      <c r="B21" s="454">
        <v>1</v>
      </c>
      <c r="C21" s="455" t="s">
        <v>290</v>
      </c>
      <c r="D21" s="456">
        <v>3</v>
      </c>
      <c r="E21" s="456">
        <v>0.6</v>
      </c>
      <c r="F21" s="457" t="s">
        <v>294</v>
      </c>
      <c r="G21" s="458">
        <f>Q21</f>
        <v>121975.04000000001</v>
      </c>
      <c r="H21" s="459">
        <f>G21*B21</f>
        <v>121975.04000000001</v>
      </c>
      <c r="I21" s="305"/>
      <c r="J21" s="264"/>
      <c r="K21" s="47"/>
      <c r="L21" s="47">
        <f>B21</f>
        <v>1</v>
      </c>
      <c r="M21" s="39">
        <f>D21+M$19</f>
        <v>3.02</v>
      </c>
      <c r="N21" s="39">
        <f>E21+$N$19</f>
        <v>0.62</v>
      </c>
      <c r="O21" s="260">
        <f t="shared" ref="O21" si="0">M21*N21</f>
        <v>1.8724000000000001</v>
      </c>
      <c r="P21" s="258">
        <f>O21*L21</f>
        <v>1.8724000000000001</v>
      </c>
      <c r="Q21" s="251">
        <f t="shared" ref="Q21" si="1">Q$20*O21</f>
        <v>121975.04000000001</v>
      </c>
      <c r="R21" s="304">
        <f t="shared" ref="R21" si="2">Q21+R$20</f>
        <v>136975.04000000001</v>
      </c>
      <c r="S21" s="290">
        <f>M21*L21</f>
        <v>3.02</v>
      </c>
      <c r="T21" s="46">
        <f>N21*2*L21*2</f>
        <v>2.48</v>
      </c>
      <c r="U21" s="9"/>
      <c r="X21" s="4"/>
    </row>
    <row r="22" spans="1:25" ht="18" thickBot="1" x14ac:dyDescent="0.35">
      <c r="B22" s="283"/>
      <c r="C22" s="324"/>
      <c r="D22" s="284"/>
      <c r="E22" s="284"/>
      <c r="F22" s="283"/>
      <c r="G22" s="264"/>
      <c r="H22" s="306"/>
      <c r="I22" s="308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9" t="s">
        <v>28</v>
      </c>
      <c r="H23" s="310">
        <f>SUM(H21:H22)</f>
        <v>121975.04000000001</v>
      </c>
      <c r="I23" s="307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2.48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H23*0.19</f>
        <v>23175.257600000001</v>
      </c>
      <c r="I24" s="307"/>
      <c r="J24" s="264"/>
      <c r="K24" s="47"/>
      <c r="L24" s="47"/>
      <c r="M24" s="39">
        <f>SUM(M21:M23)</f>
        <v>3.02</v>
      </c>
      <c r="N24" s="12"/>
      <c r="O24" s="12"/>
      <c r="P24" s="252">
        <f>SUM(P21:P22)</f>
        <v>1.8724000000000001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145150.29760000002</v>
      </c>
      <c r="I25" s="307"/>
      <c r="J25" s="264"/>
      <c r="K25" s="47"/>
      <c r="L25" s="47"/>
      <c r="M25" s="39"/>
      <c r="N25" s="12"/>
      <c r="O25" s="12"/>
      <c r="P25" s="252">
        <f>P24</f>
        <v>1.8724000000000001</v>
      </c>
      <c r="Q25" s="14"/>
      <c r="R25" s="12"/>
      <c r="S25" s="239">
        <f>SUM(S21:S24)</f>
        <v>3.02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0.37448000000000004</v>
      </c>
      <c r="Q26" s="39" t="s">
        <v>129</v>
      </c>
      <c r="R26" s="42"/>
      <c r="S26" s="240">
        <f>S25+T23</f>
        <v>5.5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2.24688</v>
      </c>
      <c r="Q27" s="14"/>
      <c r="R27" s="14"/>
      <c r="S27" s="238">
        <f>S26*20%</f>
        <v>1.1000000000000001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6.6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2.24688</v>
      </c>
      <c r="N29" s="12">
        <v>4000</v>
      </c>
      <c r="O29" s="12">
        <f t="shared" ref="O29:O34" si="3">M29*N29</f>
        <v>8987.52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0.6</v>
      </c>
      <c r="N30" s="12">
        <v>25000</v>
      </c>
      <c r="O30" s="12">
        <f t="shared" si="3"/>
        <v>15000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3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37000</v>
      </c>
      <c r="O32" s="12">
        <f t="shared" si="3"/>
        <v>37000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3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2000</v>
      </c>
      <c r="O34" s="12">
        <f t="shared" si="3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60987.520000000004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</f>
        <v>121975.04000000001</v>
      </c>
      <c r="P36" s="14" t="s">
        <v>138</v>
      </c>
      <c r="Q36" s="14"/>
      <c r="R36" s="40">
        <f>P27/R35</f>
        <v>0.60582398619499567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32090</v>
      </c>
      <c r="L37" s="249"/>
      <c r="M37" s="14"/>
      <c r="N37" s="12"/>
      <c r="O37" s="12">
        <f>O36/P25</f>
        <v>65143.68724631489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26966.386554621851</v>
      </c>
      <c r="L38" s="249"/>
      <c r="M38" s="13"/>
      <c r="N38" s="14"/>
      <c r="O38" s="17">
        <f>O36/O35</f>
        <v>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5951-3DFB-43E1-AEF5-568E99DB16A0}">
  <dimension ref="A1:D2"/>
  <sheetViews>
    <sheetView workbookViewId="0">
      <selection activeCell="A3" sqref="A3"/>
    </sheetView>
  </sheetViews>
  <sheetFormatPr baseColWidth="10" defaultRowHeight="14.4" x14ac:dyDescent="0.3"/>
  <cols>
    <col min="1" max="1" width="14.109375" bestFit="1" customWidth="1"/>
    <col min="2" max="2" width="16" bestFit="1" customWidth="1"/>
  </cols>
  <sheetData>
    <row r="1" spans="1:4" x14ac:dyDescent="0.3">
      <c r="A1" t="s">
        <v>288</v>
      </c>
      <c r="B1" t="s">
        <v>289</v>
      </c>
      <c r="C1" t="s">
        <v>277</v>
      </c>
      <c r="D1" t="s">
        <v>6</v>
      </c>
    </row>
    <row r="2" spans="1:4" x14ac:dyDescent="0.3">
      <c r="A2" t="str">
        <f>'2229'!D8</f>
        <v>N° 12178</v>
      </c>
      <c r="B2" t="str">
        <f>'2229'!C10</f>
        <v>HECTOR SOTO</v>
      </c>
      <c r="C2" s="1">
        <f>'2229'!G10</f>
        <v>46171</v>
      </c>
      <c r="D2" s="61">
        <f>'2229'!H25</f>
        <v>145150.29760000002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46171</v>
      </c>
    </row>
    <row r="6" spans="2:31" ht="16.2" thickBot="1" x14ac:dyDescent="0.35">
      <c r="B6" s="140" t="s">
        <v>2</v>
      </c>
      <c r="C6" s="139" t="str">
        <f>'2229'!C10</f>
        <v>HECTOR SOTO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-5528.2303667874412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121975.04000000001</v>
      </c>
      <c r="E11" s="132">
        <f>D11*0.19</f>
        <v>23175.257600000001</v>
      </c>
      <c r="F11" s="131">
        <f>E11+D11</f>
        <v>145150.29760000002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100461.76963321256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53821.610787439611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82461.769633212563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68153.429212560397</v>
      </c>
      <c r="E13" s="221">
        <f>(D11/D12)-1</f>
        <v>1.2662837142077028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73461.769633212563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34461.769633212556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88805.657799275359</v>
      </c>
      <c r="F15" s="216">
        <f>E15-D12</f>
        <v>34984.047011835748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34461.769633212556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74461.769633212563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8987.52</v>
      </c>
      <c r="E20" s="121">
        <f>D20*0.19</f>
        <v>1707.6288000000002</v>
      </c>
      <c r="F20" s="120">
        <f>SUM(D20:E20)</f>
        <v>10695.148800000001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23987.52</v>
      </c>
      <c r="E21" s="116">
        <f>SUM(E18:E20)</f>
        <v>4557.6288000000004</v>
      </c>
      <c r="F21" s="115">
        <f>SUM(F18:F20)</f>
        <v>28545.148800000003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18617.628799999999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121975.04000000001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23987.52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68153.429212560397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68153.429212560397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12178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HECTOR SOTO</v>
      </c>
      <c r="D10" s="349"/>
      <c r="E10" s="349"/>
      <c r="F10" s="350" t="s">
        <v>167</v>
      </c>
      <c r="G10" s="351">
        <f>'2229'!G10</f>
        <v>46171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46178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+569 9365 9377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FRENTE 90°</v>
      </c>
      <c r="D22" s="320">
        <f>'2229'!D21*1000</f>
        <v>3000</v>
      </c>
      <c r="E22" s="320">
        <f>'2229'!E21*1000</f>
        <v>600</v>
      </c>
      <c r="F22" s="321" t="str">
        <f>'2229'!F21</f>
        <v>GRANITINO NEGRO BR</v>
      </c>
      <c r="G22" s="313">
        <f>'2229'!G21</f>
        <v>121975.04000000001</v>
      </c>
      <c r="H22" s="322">
        <f>G22*B22</f>
        <v>121975.04000000001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121975.04000000001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23175.257600000001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145150.29760000002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HECTOR SOTO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46171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12178</v>
      </c>
      <c r="C2" s="1">
        <f>'NOTA DE VENTA'!$G$10</f>
        <v>46171</v>
      </c>
      <c r="D2" s="1">
        <f>'NOTA DE VENTA'!$G$11</f>
        <v>46178</v>
      </c>
      <c r="E2" t="str">
        <f>'NOTA DE VENTA'!$C$10</f>
        <v>HECTOR SOTO</v>
      </c>
      <c r="F2" t="str">
        <f>'NOTA DE VENTA'!$C$22</f>
        <v>CUB CON RESPALDO FRENTE 90°</v>
      </c>
      <c r="G2" t="str">
        <f>'NOTA DE VENTA'!$F$22</f>
        <v>GRANITINO NEGRO BR</v>
      </c>
      <c r="H2" s="415">
        <f>'NOTA DE VENTA'!$H$25</f>
        <v>121975.04000000001</v>
      </c>
      <c r="I2" s="415">
        <f>H2*0.19</f>
        <v>23175.257600000001</v>
      </c>
      <c r="J2" s="415">
        <f>I2+H2</f>
        <v>145150.29760000002</v>
      </c>
      <c r="L2" s="61">
        <f>J2-K2</f>
        <v>145150.29760000002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2026-05-29T16:56:07Z</cp:lastPrinted>
  <dcterms:created xsi:type="dcterms:W3CDTF">2013-03-18T13:35:42Z</dcterms:created>
  <dcterms:modified xsi:type="dcterms:W3CDTF">2026-05-29T18:48:42Z</dcterms:modified>
</cp:coreProperties>
</file>