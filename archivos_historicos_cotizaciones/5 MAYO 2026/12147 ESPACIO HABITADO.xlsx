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ECEEB959-964C-4961-ADDF-6E35F645A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<sst xmlns="http://schemas.openxmlformats.org/spreadsheetml/2006/main" count="486" uniqueCount="294">
  <si>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</si>
  <si>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</si>
  <si>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</si>
  <si>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</si>
  <si>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</si>
  <si>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</si>
  <si>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</si>
  <si>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</si>
  <si>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</si>
  <si>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</si>
  <si>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</si>
  <si>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</si>
  <si>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</si>
  <si>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</si>
  <si>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</si>
  <si>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</si>
  <si>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</si>
  <si>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</si>
  <si>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</si>
  <si>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</si>
  <si>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</si>
  <si>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</si>
  <si>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</si>
  <si>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</si>
  <si>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</si>
  <si>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</si>
  <si>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</si>
  <si>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</si>
  <si>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</si>
  <si>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</si>
  <si>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</si>
  <si>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</si>
  <si>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</si>
  <si>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</si>
  <si>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</si>
  <si>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</si>
  <si>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</si>
  <si>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</si>
  <si>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</si>
  <si>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</si>
  <si>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</si>
  <si>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</si>
  <si>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</si>
  <si>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</si>
  <si>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</si>
  <si>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</si>
  <si>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</si>
  <si>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</si>
  <si>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</si>
  <si>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</si>
  <si>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</si>
  <si>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</si>
  <si>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</si>
  <si>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</si>
  <si>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</si>
  <si>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</si>
  <si>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</si>
  <si>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</si>
  <si>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</si>
  <si>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</si>
  <si>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</si>
  <si>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</si>
  <si>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</si>
  <si>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</si>
  <si>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</si>
  <si>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</si>
  <si>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</si>
  <si>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</si>
  <si>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</si>
  <si>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</si>
  <si>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</si>
  <si>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</si>
  <si>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</si>
  <si>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</si>
  <si>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</si>
  <si>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</si>
  <si>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</si>
  <si>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</si>
  <si>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</si>
  <si>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</si>
  <si>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</si>
  <si>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</si>
  <si>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</si>
  <si>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</si>
  <si>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</si>
  <si>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</si>
  <si>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</si>
  <si>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</si>
  <si>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</si>
  <si>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</si>
  <si>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</si>
  <si>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</si>
  <si>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</si>
  <si>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</si>
  <si>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</si>
  <si>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</si>
  <si>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</si>
  <si>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</si>
  <si>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</si>
  <si>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</si>
  <si>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</si>
  <si>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</si>
  <si>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</si>
  <si>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</si>
  <si>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</si>
  <si>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</si>
  <si>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</si>
  <si>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</si>
  <si>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</si>
  <si>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</si>
  <si>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</si>
  <si>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</si>
  <si>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</si>
  <si>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</si>
  <si>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</si>
  <si>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</si>
  <si>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</si>
  <si>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</si>
  <si>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</si>
  <si>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</si>
  <si>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</si>
  <si>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</si>
  <si>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</si>
  <si>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</si>
  <si>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</si>
  <si>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</si>
  <si>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</si>
  <si>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</si>
  <si>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</si>
  <si>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</si>
  <si>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</si>
  <si>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</si>
  <si>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</si>
  <si>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</si>
  <si>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</si>
  <si>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</si>
  <si>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</si>
  <si>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</si>
  <si>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</si>
  <si>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</si>
  <si>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</si>
  <si>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</si>
  <si>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</si>
  <si>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</si>
  <si>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</si>
  <si>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</si>
  <si>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</si>
  <si>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</si>
  <si>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</si>
  <si>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</si>
  <si>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</si>
  <si>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</si>
  <si>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</si>
  <si>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</si>
  <si>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</si>
  <si>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</si>
  <si>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</si>
  <si>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</si>
  <si>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</si>
  <si>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</si>
  <si>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</si>
  <si>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</si>
  <si>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</si>
  <si>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</si>
  <si>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</si>
  <si>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</si>
  <si>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</si>
  <si>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</si>
  <si>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</si>
  <si>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</si>
  <si>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</si>
  <si>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</si>
  <si>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</si>
  <si>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</si>
  <si>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</si>
  <si>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</si>
  <si>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</si>
  <si>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</si>
  <si>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</si>
  <si>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</si>
  <si>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</si>
  <si>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</si>
  <si>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</si>
  <si>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</si>
  <si>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</si>
  <si>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</si>
  <si>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</si>
  <si>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</si>
  <si>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</si>
  <si>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</si>
  <si>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</si>
  <si>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</si>
  <si>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</si>
  <si>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</si>
  <si>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</si>
  <si>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</si>
  <si>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</si>
  <si>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</si>
  <si>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</si>
  <si>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</si>
  <si>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</si>
  <si>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</si>
  <si>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</si>
  <si>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</si>
  <si>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</si>
  <si>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</si>
  <si>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</si>
  <si>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</si>
  <si>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</si>
  <si>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</si>
  <si>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</si>
  <si>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</si>
  <si>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</si>
  <si>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</si>
  <si>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</si>
  <si>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</si>
  <si>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</si>
  <si>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</si>
  <si>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</si>
  <si>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</si>
  <si>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</si>
  <si>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</si>
  <si>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</si>
  <si>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</si>
  <si>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</si>
  <si>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</si>
  <si>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</si>
  <si>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</si>
  <si>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</si>
  <si>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</si>
  <si>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</si>
  <si>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</si>
  <si>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</si>
  <si>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</si>
  <si>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</si>
  <si>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</si>
  <si>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</si>
  <si>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</si>
  <si>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</si>
  <si>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</si>
  <si>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</si>
  <si>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</si>
  <si>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</si>
  <si>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</si>
  <si>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</si>
  <si>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</si>
  <si>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</si>
  <si>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</si>
  <si>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</si>
  <si>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</si>
  <si>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</si>
  <si>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</si>
  <si>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</si>
  <si>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</si>
  <si>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</si>
  <si>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</si>
  <si>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</si>
  <si>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</si>
  <si>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</si>
  <si>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</si>
  <si>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</si>
  <si>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</si>
  <si>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</si>
  <si>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</si>
  <si>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</si>
  <si>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</si>
  <si>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</si>
  <si>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</si>
  <si>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</si>
  <si>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</si>
  <si>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</si>
  <si>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</si>
  <si>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</si>
  <si>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</si>
  <si>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</si>
  <si>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</si>
  <si>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</si>
  <si>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</si>
  <si>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</si>
  <si>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</si>
  <si>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</si>
  <si>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</si>
  <si>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</si>
  <si>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</si>
  <si>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</si>
  <si>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</si>
  <si>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</si>
  <si>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</si>
  <si>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</si>
  <si>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3 A 5 DÍAS HÁBILES</t>
  </si>
  <si>
    <t>BLANCO MT</t>
  </si>
  <si>
    <t>ESPACIO HABITADO</t>
  </si>
  <si>
    <t>N° 12147</t>
  </si>
  <si>
    <t>+569 8822 6102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</si>
</sst>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51926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E14" sqref="E14"/>
    </sheetView>
  </sheetViews>
  <sheetFormatPr baseColWidth="10" defaultRowHeight="14.4" x14ac:dyDescent="0.3"/>
  <cols>
    <col min="1" max="1" width="6" customWidth="1"/>
    <col min="2" max="2" width="10.5546875" customWidth="1"/>
    <col min="3" max="3" width="30.109375" customWidth="1"/>
    <col min="4" max="4" width="12.77734375" customWidth="1"/>
    <col min="5" max="5" width="10.5546875" customWidth="1"/>
    <col min="6" max="6" width="31.109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7" t="s">
        <v>277</v>
      </c>
      <c r="G10" s="275">
        <v>46160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293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74996.080515119655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57">
        <v>1</v>
      </c>
      <c r="C21" s="458" t="s">
        <v>288</v>
      </c>
      <c r="D21" s="459">
        <v>1.95</v>
      </c>
      <c r="E21" s="459">
        <v>0.53400000000000003</v>
      </c>
      <c r="F21" s="460" t="s">
        <v>290</v>
      </c>
      <c r="G21" s="461">
        <f>Q21</f>
        <v>81297.251200000013</v>
      </c>
      <c r="H21" s="462">
        <f>G21*B21</f>
        <v>81297.251200000013</v>
      </c>
      <c r="I21" s="305"/>
      <c r="J21" s="264"/>
      <c r="K21" s="47"/>
      <c r="L21" s="47">
        <f>B21</f>
        <v>1</v>
      </c>
      <c r="M21" s="39">
        <f>D21+M$19</f>
        <v>2.0299999999999998</v>
      </c>
      <c r="N21" s="39">
        <f>E21+$N$19</f>
        <v>0.53400000000000003</v>
      </c>
      <c r="O21" s="260">
        <f t="shared" ref="O21" si="0">M21*N21</f>
        <v>1.08402</v>
      </c>
      <c r="P21" s="258">
        <f t="shared" ref="P21" si="1">O21*L21</f>
        <v>1.08402</v>
      </c>
      <c r="Q21" s="251">
        <f t="shared" ref="Q21" si="2">Q$20*O21</f>
        <v>81297.251200000013</v>
      </c>
      <c r="R21" s="304">
        <f t="shared" ref="R21" si="3">Q21+R$20</f>
        <v>84297.251200000013</v>
      </c>
      <c r="S21" s="290">
        <f>M21*L21</f>
        <v>2.0299999999999998</v>
      </c>
      <c r="T21" s="46">
        <f>N21*2*L21*2</f>
        <v>2.1360000000000001</v>
      </c>
      <c r="U21" s="9"/>
      <c r="X21" s="4"/>
    </row>
    <row r="22" spans="1:25" ht="17.399999999999999" x14ac:dyDescent="0.3">
      <c r="B22" s="454"/>
      <c r="C22" s="455"/>
      <c r="D22" s="456"/>
      <c r="E22" s="456"/>
      <c r="F22" s="454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SUM(H21:H21)</f>
        <v>81297.251200000013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2.1360000000000001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15446.477728000003</v>
      </c>
      <c r="I25" s="307"/>
      <c r="J25" s="264"/>
      <c r="K25" s="47"/>
      <c r="L25" s="47"/>
      <c r="M25" s="39">
        <f>SUM(M21:M24)</f>
        <v>2.0299999999999998</v>
      </c>
      <c r="N25" s="12"/>
      <c r="O25" s="12"/>
      <c r="P25" s="252">
        <f>SUM(P21:P23)</f>
        <v>1.08402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96743.728928000011</v>
      </c>
      <c r="I26" s="307"/>
      <c r="J26" s="264"/>
      <c r="K26" s="47"/>
      <c r="L26" s="47"/>
      <c r="M26" s="39"/>
      <c r="N26" s="12"/>
      <c r="O26" s="12"/>
      <c r="P26" s="252">
        <f>P25</f>
        <v>1.08402</v>
      </c>
      <c r="Q26" s="14"/>
      <c r="R26" s="12"/>
      <c r="S26" s="239">
        <f>SUM(S21:S25)</f>
        <v>2.0299999999999998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0.216804</v>
      </c>
      <c r="Q27" s="39" t="s">
        <v>129</v>
      </c>
      <c r="R27" s="42"/>
      <c r="S27" s="240">
        <f>S26+T24</f>
        <v>4.1660000000000004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1.300824</v>
      </c>
      <c r="Q28" s="14"/>
      <c r="R28" s="14"/>
      <c r="S28" s="238">
        <f>S27*20%</f>
        <v>0.83320000000000016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4.9992000000000001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1.300824</v>
      </c>
      <c r="N30" s="12">
        <v>4000</v>
      </c>
      <c r="O30" s="12">
        <f t="shared" ref="O30:O35" si="4">M30*N30</f>
        <v>5203.2960000000003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0.35</v>
      </c>
      <c r="N31" s="12">
        <v>25000</v>
      </c>
      <c r="O31" s="12">
        <f t="shared" si="4"/>
        <v>8750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4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</v>
      </c>
      <c r="N35" s="12">
        <v>1500</v>
      </c>
      <c r="O35" s="12">
        <f t="shared" si="4"/>
        <v>3000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36953.296000000002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81297.251200000013</v>
      </c>
      <c r="P37" s="14" t="s">
        <v>138</v>
      </c>
      <c r="Q37" s="14"/>
      <c r="R37" s="40">
        <f>P28/R36</f>
        <v>0.35073986194995682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74996.080515119655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46160</v>
      </c>
    </row>
    <row r="6" spans="2:31" ht="16.2" thickBot="1" x14ac:dyDescent="0.35">
      <c r="B6" s="140" t="s">
        <v>2</v>
      </c>
      <c r="C6" s="139" t="str">
        <f>'2229'!C10</f>
        <v>ESPACIO HABITADO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-1508.0105001207751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81297.251200000013</v>
      </c>
      <c r="E11" s="132">
        <f>D11*0.19</f>
        <v>15446.477728000003</v>
      </c>
      <c r="F11" s="131">
        <f>E11+D11</f>
        <v>96743.728928000011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104481.98949987923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43787.386787439616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86481.98949987923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37509.864412560397</v>
      </c>
      <c r="E13" s="221">
        <f>(D11/D12)-1</f>
        <v>0.85663628648695878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77481.98949987923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38481.989499879222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72249.188199275362</v>
      </c>
      <c r="F15" s="216">
        <f>E15-D12</f>
        <v>28461.801411835746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38481.989499879222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78481.98949987923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5203.2960000000003</v>
      </c>
      <c r="E20" s="121">
        <f>D20*0.19</f>
        <v>988.62624000000005</v>
      </c>
      <c r="F20" s="120">
        <f>SUM(D20:E20)</f>
        <v>6191.9222399999999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13953.296</v>
      </c>
      <c r="E21" s="116">
        <f>SUM(E18:E20)</f>
        <v>2651.1262400000001</v>
      </c>
      <c r="F21" s="115">
        <f>SUM(F18:F20)</f>
        <v>16604.42224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12795.351488000004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81297.251200000013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13953.296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37509.864412560397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37509.864412560397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12147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ESPACIO HABITADO</v>
      </c>
      <c r="D10" s="349"/>
      <c r="E10" s="349"/>
      <c r="F10" s="350" t="s">
        <v>167</v>
      </c>
      <c r="G10" s="351">
        <f>'2229'!G10</f>
        <v>46160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46167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+569 8822 6102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1950</v>
      </c>
      <c r="E22" s="320">
        <f>'2229'!E21*1000</f>
        <v>534</v>
      </c>
      <c r="F22" s="321" t="str">
        <f>'2229'!F21</f>
        <v>BLANCO MT</v>
      </c>
      <c r="G22" s="313">
        <f>'2229'!G21</f>
        <v>81297.251200000013</v>
      </c>
      <c r="H22" s="322">
        <f>G22*B22</f>
        <v>81297.251200000013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81297.251200000013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15446.477728000003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96743.728928000011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ESPACIO HABITADO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46160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12147</v>
      </c>
      <c r="C2" s="1">
        <f>'NOTA DE VENTA'!$G$10</f>
        <v>46160</v>
      </c>
      <c r="D2" s="1">
        <f>'NOTA DE VENTA'!$G$11</f>
        <v>46167</v>
      </c>
      <c r="E2" t="str">
        <f>'NOTA DE VENTA'!$C$10</f>
        <v>ESPACIO HABITADO</v>
      </c>
      <c r="F2" t="str">
        <f>'NOTA DE VENTA'!$C$22</f>
        <v>CUB CON RESPALDO FTE 90°</v>
      </c>
      <c r="G2" t="str">
        <f>'NOTA DE VENTA'!$F$22</f>
        <v>BLANCO MT</v>
      </c>
      <c r="H2" s="415">
        <f>'NOTA DE VENTA'!$H$25</f>
        <v>81297.251200000013</v>
      </c>
      <c r="I2" s="415">
        <f>H2*0.19</f>
        <v>15446.477728000003</v>
      </c>
      <c r="J2" s="415">
        <f>I2+H2</f>
        <v>96743.728928000011</v>
      </c>
      <c r="L2" s="61">
        <f>J2-K2</f>
        <v>96743.728928000011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2026-05-18T13:40:39Z</cp:lastPrinted>
  <dcterms:created xsi:type="dcterms:W3CDTF">2013-03-18T13:35:42Z</dcterms:created>
  <dcterms:modified xsi:type="dcterms:W3CDTF">2026-05-18T14:03:56Z</dcterms:modified>
</cp:coreProperties>
</file>