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F0F99EEF-AA0D-4DD7-86F4-4C057FC1C0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L23" i="1"/>
  <c r="M23" i="1"/>
  <c r="O23" i="1" s="1"/>
  <c r="P23" i="1" s="1"/>
  <c r="N23" i="1"/>
  <c r="S23" i="1"/>
  <c r="B24" i="1"/>
  <c r="J36" i="1"/>
  <c r="L22" i="1"/>
  <c r="M22" i="1"/>
  <c r="N22" i="1"/>
  <c r="O22" i="1" l="1"/>
  <c r="P22" i="1" s="1"/>
  <c r="S22" i="1"/>
  <c r="M21" i="1"/>
  <c r="L21" i="1"/>
  <c r="S21" i="1" l="1"/>
  <c r="N21" i="1" l="1"/>
  <c r="O21" i="1" l="1"/>
  <c r="P21" i="1" s="1"/>
  <c r="P27" i="1" s="1"/>
  <c r="S28" i="1"/>
  <c r="M27" i="1"/>
  <c r="T26" i="1"/>
  <c r="S29" i="1" l="1"/>
  <c r="S30" i="1" s="1"/>
  <c r="S31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Q23" i="1" s="1"/>
  <c r="R23" i="1" s="1"/>
  <c r="D21" i="3"/>
  <c r="M43" i="3" s="1"/>
  <c r="D12" i="3" s="1"/>
  <c r="F20" i="3"/>
  <c r="F21" i="3" s="1"/>
  <c r="Q22" i="1" l="1"/>
  <c r="Q21" i="1"/>
  <c r="O41" i="1"/>
  <c r="E15" i="3"/>
  <c r="R22" i="1" l="1"/>
  <c r="R21" i="1"/>
  <c r="H21" i="1" s="1"/>
  <c r="F15" i="3"/>
  <c r="H26" i="1" l="1"/>
  <c r="J31" i="1" s="1"/>
  <c r="H27" i="1" l="1"/>
  <c r="H28" i="1" s="1"/>
  <c r="J28" i="1"/>
  <c r="D11" i="3"/>
  <c r="X9" i="3" s="1"/>
  <c r="X15" i="3" s="1"/>
  <c r="X12" i="3" l="1"/>
  <c r="D13" i="3"/>
  <c r="M42" i="3"/>
  <c r="M46" i="3" s="1"/>
  <c r="M49" i="3" s="1"/>
  <c r="X14" i="3"/>
  <c r="X11" i="3"/>
  <c r="X13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<sst xmlns="http://schemas.openxmlformats.org/spreadsheetml/2006/main" count="234" uniqueCount="175">
  <si>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</si>
  <si>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</si>
  <si>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</si>
  <si>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</si>
  <si>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</si>
  <si>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</si>
  <si>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</si>
  <si>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</si>
  <si>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</si>
  <si>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</si>
  <si>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</si>
  <si>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</si>
  <si>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</si>
  <si>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</si>
  <si>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</si>
  <si>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</si>
  <si>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</si>
  <si>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</si>
  <si>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</si>
  <si>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</si>
  <si>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</si>
  <si>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</si>
  <si>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</si>
  <si>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</si>
  <si>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</si>
  <si>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</si>
  <si>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</si>
  <si>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</si>
  <si>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</si>
  <si>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</si>
  <si>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</si>
  <si>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</si>
  <si>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</si>
  <si>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</si>
  <si>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</si>
  <si>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</si>
  <si>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</si>
  <si>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</si>
  <si>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</si>
  <si>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</si>
  <si>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</si>
  <si>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</si>
  <si>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</si>
  <si>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</si>
  <si>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</si>
  <si>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</si>
  <si>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</si>
  <si>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</si>
  <si>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</si>
  <si>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</si>
  <si>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</si>
  <si>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</si>
  <si>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</si>
  <si>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</si>
  <si>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</si>
  <si>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</si>
  <si>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</si>
  <si>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</si>
  <si>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</si>
  <si>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</si>
  <si>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</si>
  <si>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</si>
  <si>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</si>
  <si>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</si>
  <si>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</si>
  <si>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</si>
  <si>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</si>
  <si>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</si>
  <si>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</si>
  <si>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</si>
  <si>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</si>
  <si>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</si>
  <si>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</si>
  <si>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</si>
  <si>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</si>
  <si>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</si>
  <si>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</si>
  <si>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</si>
  <si>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</si>
  <si>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</si>
  <si>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</si>
  <si>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</si>
  <si>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</si>
  <si>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</si>
  <si>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</si>
  <si>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</si>
  <si>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</si>
  <si>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</si>
  <si>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</si>
  <si>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</si>
  <si>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</si>
  <si>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</si>
  <si>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</si>
  <si>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</si>
  <si>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</si>
  <si>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</si>
  <si>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</si>
  <si>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</si>
  <si>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</si>
  <si>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</si>
  <si>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</si>
  <si>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</si>
  <si>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</si>
  <si>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</si>
  <si>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</si>
  <si>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</si>
  <si>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</si>
  <si>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</si>
  <si>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</si>
  <si>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</si>
  <si>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</si>
  <si>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</si>
  <si>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</si>
  <si>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</si>
  <si>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</si>
  <si>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</si>
  <si>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</si>
  <si>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</si>
  <si>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</si>
  <si>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</si>
  <si>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</si>
  <si>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</si>
  <si>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</si>
  <si>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</si>
  <si>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</si>
  <si>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</si>
  <si>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</si>
  <si>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</si>
  <si>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</si>
  <si>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</si>
  <si>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</si>
  <si>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</si>
  <si>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</si>
  <si>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</si>
  <si>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</si>
  <si>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</si>
  <si>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</si>
  <si>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</si>
  <si>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</si>
  <si>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</si>
  <si>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</si>
  <si>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</si>
  <si>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</si>
  <si>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</si>
  <si>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</si>
  <si>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</si>
  <si>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</si>
  <si>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</si>
  <si>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</si>
  <si>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</si>
  <si>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</si>
  <si>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</si>
  <si>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</si>
  <si>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</si>
  <si>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</si>
  <si>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</si>
  <si>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</si>
  <si>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</si>
  <si>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</si>
  <si>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</si>
  <si>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</si>
  <si>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</si>
  <si>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</si>
  <si>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</si>
  <si>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</si>
  <si>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</si>
  <si>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</si>
  <si>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</si>
  <si>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</si>
  <si>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</si>
  <si>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</si>
  <si>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N° 12176</t>
  </si>
  <si>
    <t>3 DIAS HABILES</t>
  </si>
  <si>
    <t>CUB C/R 118MM FTE. 90° R8</t>
  </si>
  <si>
    <t>GLACIAL WHITE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</si>
</sst>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42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25913</xdr:rowOff>
    </xdr:from>
    <xdr:to>
      <xdr:col>5</xdr:col>
      <xdr:colOff>1728839</xdr:colOff>
      <xdr:row>28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7" zoomScale="80" zoomScaleNormal="80" workbookViewId="0">
      <selection activeCell="J18" sqref="J1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46170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>
        <v>0.14000000000000001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67237.071605960271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173</v>
      </c>
      <c r="D21" s="332">
        <v>1.65</v>
      </c>
      <c r="E21" s="332">
        <v>0.7</v>
      </c>
      <c r="F21" s="330" t="s">
        <v>174</v>
      </c>
      <c r="G21" s="331">
        <v>97709</v>
      </c>
      <c r="H21" s="331">
        <f t="shared" ref="H21:H23" si="1">G21*B21</f>
        <v>97709</v>
      </c>
      <c r="I21" s="320"/>
      <c r="J21" s="265"/>
      <c r="K21" s="47"/>
      <c r="L21" s="47">
        <f>B21</f>
        <v>1</v>
      </c>
      <c r="M21" s="39">
        <f>D21+M$19</f>
        <v>1.73</v>
      </c>
      <c r="N21" s="39">
        <f t="shared" ref="N21" si="2">E21+$N$19</f>
        <v>0.84</v>
      </c>
      <c r="O21" s="261">
        <f t="shared" ref="O21" si="3">M21*N21</f>
        <v>1.4531999999999998</v>
      </c>
      <c r="P21" s="259">
        <f t="shared" ref="P21" si="4">O21*L21</f>
        <v>1.4531999999999998</v>
      </c>
      <c r="Q21" s="252">
        <f t="shared" ref="Q21" si="5">Q$20*O21</f>
        <v>97708.912457781451</v>
      </c>
      <c r="R21" s="319">
        <f t="shared" ref="R21" si="6">Q21+R$20</f>
        <v>100708.91245778145</v>
      </c>
      <c r="S21" s="297">
        <f t="shared" ref="S21" si="7">L21*M21</f>
        <v>1.73</v>
      </c>
      <c r="T21" s="46"/>
      <c r="U21" s="9"/>
      <c r="X21" s="4"/>
    </row>
    <row r="22" spans="2:25" ht="17.399999999999999" x14ac:dyDescent="0.3">
      <c r="B22" s="330">
        <v>1</v>
      </c>
      <c r="C22" s="330" t="s">
        <v>173</v>
      </c>
      <c r="D22" s="332">
        <v>1.8</v>
      </c>
      <c r="E22" s="332">
        <v>0.6</v>
      </c>
      <c r="F22" s="330" t="s">
        <v>174</v>
      </c>
      <c r="G22" s="331">
        <v>93540</v>
      </c>
      <c r="H22" s="331">
        <f t="shared" si="1"/>
        <v>93540</v>
      </c>
      <c r="I22" s="320"/>
      <c r="J22" s="265"/>
      <c r="K22" s="47"/>
      <c r="L22" s="47">
        <f t="shared" ref="L22" si="8">B22</f>
        <v>1</v>
      </c>
      <c r="M22" s="39">
        <f t="shared" ref="M22" si="9">D22+M$19</f>
        <v>1.8800000000000001</v>
      </c>
      <c r="N22" s="39">
        <f t="shared" ref="N22" si="10">E22+$N$19</f>
        <v>0.74</v>
      </c>
      <c r="O22" s="261">
        <f t="shared" ref="O22" si="11">M22*N22</f>
        <v>1.3912</v>
      </c>
      <c r="P22" s="259">
        <f t="shared" ref="P22" si="12">O22*L22</f>
        <v>1.3912</v>
      </c>
      <c r="Q22" s="252">
        <f t="shared" ref="Q22" si="13">Q$20*O22</f>
        <v>93540.214018211933</v>
      </c>
      <c r="R22" s="319">
        <f t="shared" ref="R22" si="14">Q22+R$20</f>
        <v>96540.214018211933</v>
      </c>
      <c r="S22" s="297">
        <f t="shared" ref="S22" si="15">L22*M22</f>
        <v>1.8800000000000001</v>
      </c>
      <c r="T22" s="46"/>
      <c r="U22" s="9"/>
      <c r="X22" s="4"/>
    </row>
    <row r="23" spans="2:25" ht="17.399999999999999" x14ac:dyDescent="0.3">
      <c r="B23" s="330">
        <v>1</v>
      </c>
      <c r="C23" s="330" t="s">
        <v>173</v>
      </c>
      <c r="D23" s="332">
        <v>1.3</v>
      </c>
      <c r="E23" s="332">
        <v>0.6</v>
      </c>
      <c r="F23" s="330" t="s">
        <v>174</v>
      </c>
      <c r="G23" s="331">
        <v>68662</v>
      </c>
      <c r="H23" s="331">
        <f t="shared" si="1"/>
        <v>68662</v>
      </c>
      <c r="I23" s="320"/>
      <c r="J23" s="265"/>
      <c r="K23" s="47"/>
      <c r="L23" s="47">
        <f t="shared" ref="L23" si="16">B23</f>
        <v>1</v>
      </c>
      <c r="M23" s="39">
        <f t="shared" ref="M23" si="17">D23+M$19</f>
        <v>1.3800000000000001</v>
      </c>
      <c r="N23" s="39">
        <f t="shared" ref="N23" si="18">E23+$N$19</f>
        <v>0.74</v>
      </c>
      <c r="O23" s="261">
        <f t="shared" ref="O23" si="19">M23*N23</f>
        <v>1.0212000000000001</v>
      </c>
      <c r="P23" s="259">
        <f t="shared" ref="P23" si="20">O23*L23</f>
        <v>1.0212000000000001</v>
      </c>
      <c r="Q23" s="252">
        <f t="shared" ref="Q23" si="21">Q$20*O23</f>
        <v>68662.497524006641</v>
      </c>
      <c r="R23" s="319">
        <f t="shared" ref="R23" si="22">Q23+R$20</f>
        <v>71662.497524006641</v>
      </c>
      <c r="S23" s="297">
        <f t="shared" ref="S23" si="23">L23*M23</f>
        <v>1.3800000000000001</v>
      </c>
      <c r="T23" s="46"/>
      <c r="U23" s="9"/>
      <c r="X23" s="4"/>
    </row>
    <row r="24" spans="2:25" ht="16.2" customHeight="1" x14ac:dyDescent="0.3">
      <c r="B24" s="285">
        <f>SUM(B21:B23)</f>
        <v>3</v>
      </c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6.2" customHeight="1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259911</v>
      </c>
      <c r="I26" s="322"/>
      <c r="J26" s="265">
        <v>1971198</v>
      </c>
      <c r="K26" s="47"/>
      <c r="L26" s="47"/>
      <c r="M26" s="39"/>
      <c r="N26" s="39"/>
      <c r="O26" s="261"/>
      <c r="P26" s="259"/>
      <c r="Q26" s="252"/>
      <c r="R26" s="258"/>
      <c r="S26" s="297"/>
      <c r="T26" s="46">
        <f>SUM(T21:T25)</f>
        <v>0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49383.090000000004</v>
      </c>
      <c r="I27" s="322"/>
      <c r="J27" s="265"/>
      <c r="K27" s="47"/>
      <c r="L27" s="47"/>
      <c r="M27" s="39">
        <f>SUM(M21:M26)</f>
        <v>4.99</v>
      </c>
      <c r="N27" s="12"/>
      <c r="O27" s="12"/>
      <c r="P27" s="253">
        <f>SUM(P21:P25)</f>
        <v>3.8655999999999997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309294.09000000003</v>
      </c>
      <c r="I28" s="322"/>
      <c r="J28" s="333">
        <f>H26+J36</f>
        <v>739911</v>
      </c>
      <c r="K28" s="47"/>
      <c r="L28" s="47"/>
      <c r="M28" s="39"/>
      <c r="N28" s="12"/>
      <c r="O28" s="12"/>
      <c r="P28" s="253">
        <f>P27</f>
        <v>3.8655999999999997</v>
      </c>
      <c r="Q28" s="14"/>
      <c r="R28" s="12"/>
      <c r="S28" s="239">
        <f>SUM(S21:S27)</f>
        <v>4.99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0.77312000000000003</v>
      </c>
      <c r="Q29" s="39" t="s">
        <v>130</v>
      </c>
      <c r="R29" s="42"/>
      <c r="S29" s="240">
        <f>S28+T26</f>
        <v>4.99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4.6387199999999993</v>
      </c>
      <c r="Q30" s="14"/>
      <c r="R30" s="14"/>
      <c r="S30" s="238">
        <f>S29*20%</f>
        <v>0.99800000000000011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333">
        <f>H26+J36</f>
        <v>739911</v>
      </c>
      <c r="K31" s="47"/>
      <c r="L31" s="47"/>
      <c r="M31" s="14"/>
      <c r="N31" s="14"/>
      <c r="O31" s="14"/>
      <c r="P31" s="14"/>
      <c r="Q31" s="14"/>
      <c r="R31" s="14"/>
      <c r="S31" s="240">
        <f>S29+S30</f>
        <v>5.9880000000000004</v>
      </c>
      <c r="T31" s="14"/>
      <c r="U31" s="302" t="s">
        <v>21</v>
      </c>
      <c r="V31" s="299" t="s">
        <v>151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4.6387199999999993</v>
      </c>
      <c r="N32" s="12">
        <v>2000</v>
      </c>
      <c r="O32" s="12">
        <f t="shared" ref="O32:O37" si="24">M32*N32</f>
        <v>9277.4399999999987</v>
      </c>
      <c r="P32" s="14" t="s">
        <v>21</v>
      </c>
      <c r="Q32" s="14"/>
      <c r="R32" s="14"/>
      <c r="S32" s="241"/>
      <c r="T32" s="14"/>
      <c r="U32" s="302" t="s">
        <v>152</v>
      </c>
      <c r="V32" s="299">
        <v>3625</v>
      </c>
      <c r="W32" s="59" t="s">
        <v>153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1.5</v>
      </c>
      <c r="N33" s="12">
        <v>25000</v>
      </c>
      <c r="O33" s="12">
        <f t="shared" si="24"/>
        <v>37500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154</v>
      </c>
      <c r="X33" s="304"/>
    </row>
    <row r="34" spans="1:24" s="230" customFormat="1" ht="17.399999999999999" x14ac:dyDescent="0.35">
      <c r="B34" s="24" t="s">
        <v>150</v>
      </c>
      <c r="J34" s="262"/>
      <c r="K34" s="232"/>
      <c r="L34" s="250"/>
      <c r="M34" s="14"/>
      <c r="N34" s="250">
        <v>38770</v>
      </c>
      <c r="O34" s="12">
        <f t="shared" si="24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155</v>
      </c>
      <c r="X34" s="59"/>
    </row>
    <row r="35" spans="1:24" s="230" customFormat="1" ht="17.399999999999999" x14ac:dyDescent="0.35">
      <c r="B35" s="24" t="s">
        <v>143</v>
      </c>
      <c r="C35"/>
      <c r="D35"/>
      <c r="E35"/>
      <c r="F35"/>
      <c r="J35" s="262">
        <v>20</v>
      </c>
      <c r="K35" s="232"/>
      <c r="L35" s="250"/>
      <c r="M35" s="14">
        <v>3</v>
      </c>
      <c r="N35" s="250">
        <v>24000</v>
      </c>
      <c r="O35" s="12">
        <f t="shared" si="24"/>
        <v>72000</v>
      </c>
      <c r="P35" s="14" t="s">
        <v>170</v>
      </c>
      <c r="Q35" s="17"/>
      <c r="S35" s="238"/>
      <c r="T35" s="256"/>
      <c r="U35" s="59"/>
      <c r="V35" s="59">
        <f>V33+V34</f>
        <v>1087.5</v>
      </c>
      <c r="W35" s="304" t="s">
        <v>156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>
        <f>J35*N35</f>
        <v>480000</v>
      </c>
      <c r="K36" s="260"/>
      <c r="L36" s="250"/>
      <c r="M36" s="249"/>
      <c r="N36" s="250">
        <v>15700</v>
      </c>
      <c r="O36" s="12">
        <f t="shared" si="2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4.99</v>
      </c>
      <c r="N37" s="12">
        <v>1000</v>
      </c>
      <c r="O37" s="12">
        <f t="shared" si="24"/>
        <v>4990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123767.44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O38*2.1</f>
        <v>259911.62400000001</v>
      </c>
      <c r="P39" s="14" t="s">
        <v>140</v>
      </c>
      <c r="Q39" s="14"/>
      <c r="R39" s="40">
        <f>P30/R38</f>
        <v>1.2507333908541844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L40" s="250"/>
      <c r="M40" s="14"/>
      <c r="N40" s="12"/>
      <c r="O40" s="12">
        <f>O39/P28</f>
        <v>67237.071605960271</v>
      </c>
      <c r="P40" s="45" t="s">
        <v>24</v>
      </c>
      <c r="Q40" s="14"/>
      <c r="R40" s="14"/>
      <c r="S40"/>
      <c r="T40" s="238"/>
      <c r="U40" s="59" t="s">
        <v>157</v>
      </c>
      <c r="V40" s="299">
        <v>43650</v>
      </c>
    </row>
    <row r="41" spans="1:24" s="230" customFormat="1" ht="17.399999999999999" x14ac:dyDescent="0.35">
      <c r="G41"/>
      <c r="L41" s="250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159</v>
      </c>
      <c r="V41" s="300" t="s">
        <v>158</v>
      </c>
      <c r="W41" s="59">
        <v>2.4</v>
      </c>
    </row>
    <row r="42" spans="1:24" s="230" customFormat="1" ht="17.399999999999999" x14ac:dyDescent="0.35">
      <c r="G42" s="23"/>
      <c r="J42" s="260"/>
      <c r="L42" s="12"/>
      <c r="T42" s="238"/>
      <c r="U42" s="59" t="s">
        <v>160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155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147</v>
      </c>
    </row>
    <row r="76" spans="3:15" x14ac:dyDescent="0.3">
      <c r="C76" t="s">
        <v>146</v>
      </c>
    </row>
    <row r="79" spans="3:15" x14ac:dyDescent="0.3">
      <c r="C79" t="s">
        <v>146</v>
      </c>
    </row>
    <row r="156" spans="3:3" x14ac:dyDescent="0.3">
      <c r="C156" t="s">
        <v>146</v>
      </c>
    </row>
    <row r="157" spans="3:3" x14ac:dyDescent="0.3">
      <c r="C157" t="s">
        <v>148</v>
      </c>
    </row>
    <row r="158" spans="3:3" x14ac:dyDescent="0.3">
      <c r="C158" t="s">
        <v>149</v>
      </c>
    </row>
    <row r="583" spans="3:3" x14ac:dyDescent="0.3">
      <c r="C583" t="s">
        <v>146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46170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12176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-22250.329033454109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259911</v>
      </c>
      <c r="E11" s="132">
        <f>D11*0.19</f>
        <v>49383.090000000004</v>
      </c>
      <c r="F11" s="131">
        <f>E11+D11</f>
        <v>309294.09000000003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83739.670966545891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76611.530787439609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65739.670966545891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183299.46921256039</v>
      </c>
      <c r="E13" s="221">
        <f>(D11/D12)-1</f>
        <v>2.3925833008235906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56739.670966545891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17739.670966545891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126409.02579927535</v>
      </c>
      <c r="F15" s="216">
        <f>E15-D12</f>
        <v>49797.495011835737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17739.670966545891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57739.670966545891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9277.4399999999987</v>
      </c>
      <c r="E20" s="121">
        <f>D20*0.19</f>
        <v>1762.7135999999998</v>
      </c>
      <c r="F20" s="120">
        <f>SUM(D20:E20)</f>
        <v>11040.153599999998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46777.440000000002</v>
      </c>
      <c r="E21" s="116">
        <f>SUM(E18:E20)</f>
        <v>8887.7135999999991</v>
      </c>
      <c r="F21" s="115">
        <f>SUM(F18:F20)</f>
        <v>55665.153599999998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40495.376400000008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259911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46777.440000000002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183299.46921256039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183299.46921256039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2026-05-07T16:40:36Z</cp:lastPrinted>
  <dcterms:created xsi:type="dcterms:W3CDTF">2013-03-18T13:35:42Z</dcterms:created>
  <dcterms:modified xsi:type="dcterms:W3CDTF">2026-05-28T21:58:24Z</dcterms:modified>
</cp:coreProperties>
</file>