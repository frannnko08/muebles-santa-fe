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EEB88E17-FFDF-41BF-9008-DD21C3866B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1" i="1"/>
  <c r="M21" i="1"/>
  <c r="N21" i="1"/>
  <c r="S21" i="1" l="1"/>
  <c r="T21" i="1"/>
  <c r="T24" i="1" s="1"/>
  <c r="O21" i="1"/>
  <c r="P21" i="1" s="1"/>
  <c r="P25" i="1" s="1"/>
  <c r="N5" i="6"/>
  <c r="A2" i="7"/>
  <c r="S26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/>
  <c r="L25" i="1" s="1"/>
  <c r="S27" i="1" l="1"/>
  <c r="K39" i="1"/>
  <c r="S28" i="1" l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G21" i="1" s="1"/>
  <c r="H21" i="1" s="1"/>
  <c r="H24" i="1" s="1"/>
  <c r="F15" i="3"/>
  <c r="H26" i="1" l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<sst xmlns="http://schemas.openxmlformats.org/spreadsheetml/2006/main" count="488" uniqueCount="297">
  <si>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</si>
  <si>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</si>
  <si>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</si>
  <si>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</si>
  <si>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</si>
  <si>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</si>
  <si>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</si>
  <si>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</si>
  <si>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</si>
  <si>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</si>
  <si>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</si>
  <si>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</si>
  <si>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</si>
  <si>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</si>
  <si>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</si>
  <si>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</si>
  <si>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</si>
  <si>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</si>
  <si>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</si>
  <si>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</si>
  <si>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</si>
  <si>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</si>
  <si>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</si>
  <si>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</si>
  <si>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</si>
  <si>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</si>
  <si>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</si>
  <si>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</si>
  <si>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</si>
  <si>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</si>
  <si>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</si>
  <si>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</si>
  <si>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</si>
  <si>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</si>
  <si>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</si>
  <si>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</si>
  <si>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</si>
  <si>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</si>
  <si>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</si>
  <si>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</si>
  <si>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</si>
  <si>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</si>
  <si>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</si>
  <si>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</si>
  <si>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</si>
  <si>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</si>
  <si>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</si>
  <si>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</si>
  <si>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</si>
  <si>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</si>
  <si>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</si>
  <si>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</si>
  <si>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</si>
  <si>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</si>
  <si>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</si>
  <si>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</si>
  <si>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</si>
  <si>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</si>
  <si>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</si>
  <si>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</si>
  <si>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</si>
  <si>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</si>
  <si>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</si>
  <si>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</si>
  <si>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</si>
  <si>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</si>
  <si>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</si>
  <si>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</si>
  <si>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</si>
  <si>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</si>
  <si>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</si>
  <si>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</si>
  <si>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</si>
  <si>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</si>
  <si>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</si>
  <si>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</si>
  <si>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</si>
  <si>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</si>
  <si>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</si>
  <si>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</si>
  <si>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</si>
  <si>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</si>
  <si>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</si>
  <si>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</si>
  <si>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</si>
  <si>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</si>
  <si>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</si>
  <si>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</si>
  <si>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</si>
  <si>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</si>
  <si>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</si>
  <si>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</si>
  <si>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</si>
  <si>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</si>
  <si>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</si>
  <si>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</si>
  <si>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</si>
  <si>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</si>
  <si>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</si>
  <si>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</si>
  <si>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</si>
  <si>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</si>
  <si>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</si>
  <si>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</si>
  <si>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</si>
  <si>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</si>
  <si>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</si>
  <si>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</si>
  <si>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</si>
  <si>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</si>
  <si>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</si>
  <si>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</si>
  <si>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</si>
  <si>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</si>
  <si>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</si>
  <si>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</si>
  <si>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</si>
  <si>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</si>
  <si>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</si>
  <si>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</si>
  <si>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</si>
  <si>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</si>
  <si>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</si>
  <si>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</si>
  <si>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</si>
  <si>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</si>
  <si>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</si>
  <si>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</si>
  <si>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</si>
  <si>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</si>
  <si>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</si>
  <si>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</si>
  <si>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</si>
  <si>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</si>
  <si>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</si>
  <si>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</si>
  <si>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</si>
  <si>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</si>
  <si>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</si>
  <si>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</si>
  <si>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</si>
  <si>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</si>
  <si>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</si>
  <si>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</si>
  <si>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</si>
  <si>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</si>
  <si>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</si>
  <si>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</si>
  <si>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</si>
  <si>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</si>
  <si>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</si>
  <si>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</si>
  <si>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</si>
  <si>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</si>
  <si>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</si>
  <si>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</si>
  <si>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</si>
  <si>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</si>
  <si>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</si>
  <si>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</si>
  <si>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</si>
  <si>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</si>
  <si>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</si>
  <si>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</si>
  <si>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</si>
  <si>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</si>
  <si>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</si>
  <si>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</si>
  <si>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</si>
  <si>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</si>
  <si>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</si>
  <si>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</si>
  <si>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</si>
  <si>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</si>
  <si>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</si>
  <si>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</si>
  <si>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</si>
  <si>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</si>
  <si>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</si>
  <si>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</si>
  <si>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</si>
  <si>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</si>
  <si>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</si>
  <si>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</si>
  <si>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</si>
  <si>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</si>
  <si>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</si>
  <si>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</si>
  <si>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</si>
  <si>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</si>
  <si>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</si>
  <si>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</si>
  <si>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</si>
  <si>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</si>
  <si>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</si>
  <si>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</si>
  <si>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</si>
  <si>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</si>
  <si>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</si>
  <si>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</si>
  <si>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</si>
  <si>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</si>
  <si>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</si>
  <si>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</si>
  <si>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</si>
  <si>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</si>
  <si>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</si>
  <si>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</si>
  <si>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</si>
  <si>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</si>
  <si>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</si>
  <si>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</si>
  <si>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</si>
  <si>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</si>
  <si>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</si>
  <si>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</si>
  <si>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</si>
  <si>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</si>
  <si>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</si>
  <si>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</si>
  <si>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</si>
  <si>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</si>
  <si>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</si>
  <si>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</si>
  <si>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</si>
  <si>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</si>
  <si>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</si>
  <si>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</si>
  <si>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</si>
  <si>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</si>
  <si>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</si>
  <si>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</si>
  <si>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</si>
  <si>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</si>
  <si>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</si>
  <si>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</si>
  <si>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</si>
  <si>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</si>
  <si>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</si>
  <si>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</si>
  <si>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</si>
  <si>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</si>
  <si>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</si>
  <si>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</si>
  <si>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</si>
  <si>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</si>
  <si>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</si>
  <si>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</si>
  <si>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</si>
  <si>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</si>
  <si>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</si>
  <si>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</si>
  <si>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</si>
  <si>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</si>
  <si>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</si>
  <si>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</si>
  <si>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</si>
  <si>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</si>
  <si>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</si>
  <si>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</si>
  <si>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</si>
  <si>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</si>
  <si>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</si>
  <si>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</si>
  <si>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</si>
  <si>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</si>
  <si>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</si>
  <si>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</si>
  <si>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</si>
  <si>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</si>
  <si>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</si>
  <si>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</si>
  <si>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</si>
  <si>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</si>
  <si>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</si>
  <si>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</si>
  <si>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</si>
  <si>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</si>
  <si>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</si>
  <si>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</si>
  <si>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</si>
  <si>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</si>
  <si>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</si>
  <si>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</si>
  <si>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</si>
  <si>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</si>
  <si>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</si>
  <si>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</si>
  <si>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</si>
  <si>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</si>
  <si>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FRESNO</t>
  </si>
  <si>
    <t>CORNISA 90° R8 32MM DE FRENTE</t>
  </si>
  <si>
    <t>5 DÍA HÁBIL</t>
  </si>
  <si>
    <t>N° 12123</t>
  </si>
  <si>
    <t>GUILLERMO MUÑOZ</t>
  </si>
  <si>
    <t>56 9 9239 8597</t>
  </si>
  <si>
    <t>PAYADOR TAGUADA 1762 DEPTO. 42 LAS 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</si>
</sst>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45" fillId="8" borderId="46" xfId="0" applyFont="1" applyFill="1" applyBorder="1"/>
    <xf numFmtId="165" fontId="0" fillId="0" borderId="0" xfId="0" applyNumberFormat="1"/>
    <xf numFmtId="0" fontId="50" fillId="0" borderId="0" xfId="0" quotePrefix="1" applyFont="1" applyAlignment="1">
      <alignment horizontal="left"/>
    </xf>
    <xf numFmtId="0" fontId="9" fillId="8" borderId="0" xfId="3" applyFill="1" applyAlignment="1">
      <alignment horizontal="left"/>
    </xf>
    <xf numFmtId="0" fontId="30" fillId="0" borderId="4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1" zoomScaleNormal="91" workbookViewId="0">
      <selection activeCell="A23" sqref="A23:XFD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7" t="s">
        <v>294</v>
      </c>
      <c r="D10" s="243"/>
      <c r="E10" s="243"/>
      <c r="F10" s="418" t="s">
        <v>275</v>
      </c>
      <c r="G10" s="275">
        <v>46153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30" t="s">
        <v>295</v>
      </c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9"/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 t="s">
        <v>296</v>
      </c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9" t="s">
        <v>94</v>
      </c>
      <c r="C19" s="440"/>
      <c r="D19" s="440"/>
      <c r="E19" s="440"/>
      <c r="F19" s="440"/>
      <c r="G19" s="440"/>
      <c r="H19" s="441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O38</f>
        <v>83943.636363636353</v>
      </c>
      <c r="R20" s="257">
        <v>3000</v>
      </c>
      <c r="S20" s="38"/>
      <c r="T20" s="14" t="s">
        <v>126</v>
      </c>
      <c r="U20" s="9"/>
      <c r="X20" s="4"/>
    </row>
    <row r="21" spans="1:25" ht="17.399999999999999" x14ac:dyDescent="0.3">
      <c r="B21" s="431">
        <v>3</v>
      </c>
      <c r="C21" s="432" t="s">
        <v>291</v>
      </c>
      <c r="D21" s="433">
        <v>3</v>
      </c>
      <c r="E21" s="433">
        <v>0.1</v>
      </c>
      <c r="F21" s="432" t="s">
        <v>290</v>
      </c>
      <c r="G21" s="434">
        <f>R21</f>
        <v>28854.639999999999</v>
      </c>
      <c r="H21" s="435">
        <f>G21*B21</f>
        <v>86563.92</v>
      </c>
      <c r="I21" s="306"/>
      <c r="J21" s="264"/>
      <c r="K21" s="47"/>
      <c r="L21" s="47">
        <f t="shared" ref="L21" si="0">B21</f>
        <v>3</v>
      </c>
      <c r="M21" s="39">
        <f t="shared" ref="M21" si="1">D21+M$19</f>
        <v>3.08</v>
      </c>
      <c r="N21" s="39">
        <f t="shared" ref="N21" si="2">E21+$N$19</f>
        <v>0.1</v>
      </c>
      <c r="O21" s="260">
        <f t="shared" ref="O21" si="3">M21*N21</f>
        <v>0.30800000000000005</v>
      </c>
      <c r="P21" s="258">
        <f t="shared" ref="P21" si="4">O21*L21</f>
        <v>0.92400000000000015</v>
      </c>
      <c r="Q21" s="251">
        <f t="shared" ref="Q21" si="5">Q$20*O21</f>
        <v>25854.639999999999</v>
      </c>
      <c r="R21" s="305">
        <f t="shared" ref="R21" si="6">Q21+R$20</f>
        <v>28854.639999999999</v>
      </c>
      <c r="S21" s="290">
        <f>M21*L21*2</f>
        <v>18.48</v>
      </c>
      <c r="T21" s="46">
        <f>N21*L21*2</f>
        <v>0.60000000000000009</v>
      </c>
      <c r="U21" s="9"/>
      <c r="X21" s="4"/>
    </row>
    <row r="22" spans="1:25" ht="17.399999999999999" x14ac:dyDescent="0.3">
      <c r="B22" s="436">
        <v>16</v>
      </c>
      <c r="C22" s="436" t="s">
        <v>35</v>
      </c>
      <c r="D22" s="437"/>
      <c r="E22" s="437"/>
      <c r="F22" s="436"/>
      <c r="G22" s="438">
        <v>5000</v>
      </c>
      <c r="H22" s="438">
        <f>G22*B22</f>
        <v>80000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166563.91999999998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SUM(T21:T23)</f>
        <v>0.60000000000000009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50</v>
      </c>
      <c r="H25" s="287"/>
      <c r="I25" s="308"/>
      <c r="J25" s="264"/>
      <c r="K25" s="47"/>
      <c r="L25" s="428">
        <f>M25*10</f>
        <v>30.8</v>
      </c>
      <c r="M25" s="39">
        <f>SUM(M21:M24)</f>
        <v>3.08</v>
      </c>
      <c r="N25" s="12"/>
      <c r="O25" s="12"/>
      <c r="P25" s="252">
        <f>SUM(P21:P21)</f>
        <v>0.92400000000000015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166563.91999999998</v>
      </c>
      <c r="I26" s="308"/>
      <c r="J26" s="264"/>
      <c r="K26" s="47"/>
      <c r="L26" s="47"/>
      <c r="M26" s="39"/>
      <c r="N26" s="12"/>
      <c r="O26" s="12"/>
      <c r="P26" s="252">
        <f>P25</f>
        <v>0.92400000000000015</v>
      </c>
      <c r="Q26" s="14"/>
      <c r="R26" s="12"/>
      <c r="S26" s="239">
        <f>SUM(S21:S25)</f>
        <v>18.48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0.18480000000000005</v>
      </c>
      <c r="Q27" s="39" t="s">
        <v>128</v>
      </c>
      <c r="R27" s="42"/>
      <c r="S27" s="240">
        <f>S26+T24</f>
        <v>19.080000000000002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1.1088000000000002</v>
      </c>
      <c r="Q28" s="14"/>
      <c r="R28" s="14"/>
      <c r="S28" s="238">
        <f>S27*20%</f>
        <v>3.8160000000000007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22.896000000000001</v>
      </c>
      <c r="T29" s="14"/>
      <c r="U29" s="294" t="s">
        <v>21</v>
      </c>
      <c r="V29" s="291" t="s">
        <v>147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1.1088000000000002</v>
      </c>
      <c r="N30" s="12">
        <v>4000</v>
      </c>
      <c r="O30" s="12">
        <f t="shared" ref="O30:O35" si="7">M30*N30</f>
        <v>4435.2000000000007</v>
      </c>
      <c r="P30" s="14" t="s">
        <v>21</v>
      </c>
      <c r="Q30" s="14"/>
      <c r="R30" s="14"/>
      <c r="S30" s="241"/>
      <c r="T30" s="14"/>
      <c r="U30" s="294" t="s">
        <v>148</v>
      </c>
      <c r="V30" s="291">
        <v>3625</v>
      </c>
      <c r="W30" s="59" t="s">
        <v>149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25000</v>
      </c>
      <c r="O31" s="12">
        <f t="shared" si="7"/>
        <v>12500</v>
      </c>
      <c r="P31" s="39" t="s">
        <v>286</v>
      </c>
      <c r="Q31" s="42"/>
      <c r="R31" s="14"/>
      <c r="S31" s="240"/>
      <c r="T31" s="14"/>
      <c r="U31" s="294"/>
      <c r="V31" s="59">
        <v>906.25</v>
      </c>
      <c r="W31" s="59" t="s">
        <v>150</v>
      </c>
      <c r="X31" s="296"/>
    </row>
    <row r="32" spans="1:25" s="230" customFormat="1" ht="17.399999999999999" x14ac:dyDescent="0.35">
      <c r="B32" s="24" t="s">
        <v>146</v>
      </c>
      <c r="J32" s="261"/>
      <c r="K32" s="232"/>
      <c r="L32" s="249"/>
      <c r="M32" s="14"/>
      <c r="N32" s="249">
        <v>33975</v>
      </c>
      <c r="O32" s="12">
        <f t="shared" si="7"/>
        <v>0</v>
      </c>
      <c r="P32" s="39" t="s">
        <v>287</v>
      </c>
      <c r="Q32" s="42"/>
      <c r="S32" s="240"/>
      <c r="T32" s="255"/>
      <c r="U32" s="59"/>
      <c r="V32" s="59">
        <f>V31*20%</f>
        <v>181.25</v>
      </c>
      <c r="W32" s="296" t="s">
        <v>151</v>
      </c>
      <c r="X32" s="59"/>
    </row>
    <row r="33" spans="1:24" s="230" customFormat="1" ht="17.399999999999999" x14ac:dyDescent="0.35">
      <c r="B33" s="24" t="s">
        <v>160</v>
      </c>
      <c r="C33"/>
      <c r="D33"/>
      <c r="E33"/>
      <c r="F33"/>
      <c r="J33" s="261"/>
      <c r="K33" s="232"/>
      <c r="L33" s="249"/>
      <c r="M33" s="14">
        <v>0.5</v>
      </c>
      <c r="N33" s="249">
        <v>40000</v>
      </c>
      <c r="O33" s="12">
        <f t="shared" si="7"/>
        <v>20000</v>
      </c>
      <c r="P33" s="14" t="s">
        <v>288</v>
      </c>
      <c r="Q33" s="17"/>
      <c r="S33" s="238"/>
      <c r="T33" s="255"/>
      <c r="U33" s="59"/>
      <c r="V33" s="59">
        <f>V31+V32</f>
        <v>1087.5</v>
      </c>
      <c r="W33" s="296" t="s">
        <v>152</v>
      </c>
      <c r="X33" s="59"/>
    </row>
    <row r="34" spans="1:24" s="230" customFormat="1" ht="17.399999999999999" x14ac:dyDescent="0.35">
      <c r="A34" s="230" t="s">
        <v>281</v>
      </c>
      <c r="B34" s="29" t="s">
        <v>123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90000</v>
      </c>
      <c r="O34" s="12">
        <f t="shared" si="7"/>
        <v>0</v>
      </c>
      <c r="P34" s="14" t="s">
        <v>289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2000</v>
      </c>
      <c r="O35" s="12">
        <f t="shared" si="7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36935.199999999997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32</v>
      </c>
      <c r="N37" s="12"/>
      <c r="O37" s="254">
        <f>O36*2.1</f>
        <v>77563.92</v>
      </c>
      <c r="P37" s="14" t="s">
        <v>137</v>
      </c>
      <c r="Q37" s="14"/>
      <c r="R37" s="40">
        <f>P28/R36</f>
        <v>0.29896462467644525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83943.636363636353</v>
      </c>
      <c r="P38" s="45" t="s">
        <v>24</v>
      </c>
      <c r="Q38" s="14"/>
      <c r="R38" s="14"/>
      <c r="S38"/>
      <c r="T38" s="238"/>
      <c r="U38" s="59" t="s">
        <v>153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155</v>
      </c>
      <c r="V39" s="292" t="s">
        <v>154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156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151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143</v>
      </c>
    </row>
    <row r="74" spans="3:15" x14ac:dyDescent="0.3">
      <c r="C74" t="s">
        <v>142</v>
      </c>
    </row>
    <row r="77" spans="3:15" x14ac:dyDescent="0.3">
      <c r="C77" t="s">
        <v>142</v>
      </c>
    </row>
    <row r="154" spans="3:3" x14ac:dyDescent="0.3">
      <c r="C154" t="s">
        <v>142</v>
      </c>
    </row>
    <row r="155" spans="3:3" x14ac:dyDescent="0.3">
      <c r="C155" t="s">
        <v>144</v>
      </c>
    </row>
    <row r="156" spans="3:3" x14ac:dyDescent="0.3">
      <c r="C156" t="s">
        <v>145</v>
      </c>
    </row>
    <row r="581" spans="3:3" x14ac:dyDescent="0.3">
      <c r="C581" t="s">
        <v>142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46153</v>
      </c>
    </row>
    <row r="6" spans="2:31" ht="16.2" thickBot="1" x14ac:dyDescent="0.35">
      <c r="B6" s="140" t="s">
        <v>2</v>
      </c>
      <c r="C6" s="139" t="str">
        <f>'2229'!C10</f>
        <v>GUILLERMO MUÑOZ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3" t="s">
        <v>97</v>
      </c>
      <c r="I7" s="444"/>
      <c r="J7" s="444"/>
      <c r="K7" s="445"/>
      <c r="N7" s="75"/>
      <c r="O7" s="4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12123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-14899.098366787437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166563.91999999998</v>
      </c>
      <c r="E11" s="132">
        <f>D11*0.19</f>
        <v>31647.144799999998</v>
      </c>
      <c r="F11" s="131">
        <f>E11+D11</f>
        <v>198211.06479999999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91090.901633212561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46769.290787439619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73090.901633212561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119794.62921256036</v>
      </c>
      <c r="E13" s="221">
        <f>(D11/D12)-1</f>
        <v>2.5613950349816395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64090.901633212561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25090.901633212561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77169.329799275365</v>
      </c>
      <c r="F15" s="216">
        <f>E15-D12</f>
        <v>30400.039011835746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25090.901633212561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65090.901633212561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4435.2000000000007</v>
      </c>
      <c r="E20" s="121">
        <f>D20*0.19</f>
        <v>842.6880000000001</v>
      </c>
      <c r="F20" s="120">
        <f>SUM(D20:E20)</f>
        <v>5277.8880000000008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16935.2</v>
      </c>
      <c r="E21" s="116">
        <f>SUM(E18:E20)</f>
        <v>3217.6880000000001</v>
      </c>
      <c r="F21" s="115">
        <f>SUM(F18:F20)</f>
        <v>20152.887999999999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28429.4568</v>
      </c>
    </row>
    <row r="41" spans="2:16" ht="15" thickBot="1" x14ac:dyDescent="0.35">
      <c r="H41" s="446" t="s">
        <v>59</v>
      </c>
      <c r="I41" s="447"/>
      <c r="J41" s="447"/>
      <c r="K41" s="447"/>
      <c r="L41" s="447"/>
      <c r="M41" s="4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166563.91999999998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16935.2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119794.62921256036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119794.62921256036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12123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GUILLERMO MUÑOZ</v>
      </c>
      <c r="D10" s="350"/>
      <c r="E10" s="350"/>
      <c r="F10" s="351" t="s">
        <v>165</v>
      </c>
      <c r="G10" s="352">
        <f>'2229'!G10</f>
        <v>46153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46160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>56 9 9239 8597</v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PAYADOR TAGUADA 1762 DEPTO. 42 LAS CONDES</v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9" t="s">
        <v>173</v>
      </c>
      <c r="G17" s="449"/>
      <c r="H17" s="45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1" t="s">
        <v>174</v>
      </c>
      <c r="C20" s="452"/>
      <c r="D20" s="452"/>
      <c r="E20" s="452"/>
      <c r="F20" s="452"/>
      <c r="G20" s="452"/>
      <c r="H20" s="45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4" t="s">
        <v>180</v>
      </c>
      <c r="C2" s="454"/>
      <c r="D2" s="454"/>
      <c r="E2" s="361"/>
      <c r="G2" s="454" t="s">
        <v>181</v>
      </c>
      <c r="H2" s="454"/>
      <c r="I2" s="454"/>
      <c r="P2" s="455" t="s">
        <v>182</v>
      </c>
      <c r="Q2" s="455"/>
      <c r="R2" s="455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5" t="s">
        <v>182</v>
      </c>
      <c r="M8" s="455"/>
      <c r="N8" s="455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0" t="s">
        <v>263</v>
      </c>
      <c r="L3" s="460"/>
      <c r="M3" s="460" t="s">
        <v>264</v>
      </c>
      <c r="N3" s="460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GUILLERMO MUÑOZ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46153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1" t="s">
        <v>263</v>
      </c>
      <c r="B10" s="461"/>
      <c r="C10" s="461"/>
      <c r="D10" s="461"/>
      <c r="E10" s="461"/>
      <c r="F10" s="46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1" t="s">
        <v>264</v>
      </c>
      <c r="B17" s="461"/>
      <c r="C17" s="461"/>
      <c r="D17" s="461"/>
      <c r="E17" s="461"/>
      <c r="F17" s="46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1" t="s">
        <v>270</v>
      </c>
      <c r="B45" s="461"/>
      <c r="C45" s="461"/>
      <c r="D45" s="461"/>
      <c r="E45" s="461"/>
      <c r="F45" s="46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6" t="s">
        <v>94</v>
      </c>
      <c r="C47" s="457"/>
      <c r="D47" s="458"/>
      <c r="E47" s="458"/>
      <c r="F47" s="459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12123</v>
      </c>
      <c r="C2" s="1">
        <f>'NOTA DE VENTA'!$G$10</f>
        <v>46153</v>
      </c>
      <c r="D2" s="1">
        <f>'NOTA DE VENTA'!$G$11</f>
        <v>46160</v>
      </c>
      <c r="E2" t="str">
        <f>'NOTA DE VENTA'!$C$10</f>
        <v>GUILLERMO MUÑOZ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2026-05-07T19:57:33Z</cp:lastPrinted>
  <dcterms:created xsi:type="dcterms:W3CDTF">2013-03-18T13:35:42Z</dcterms:created>
  <dcterms:modified xsi:type="dcterms:W3CDTF">2026-05-12T14:12:25Z</dcterms:modified>
</cp:coreProperties>
</file>