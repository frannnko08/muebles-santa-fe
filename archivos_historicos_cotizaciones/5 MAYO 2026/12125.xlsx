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8_{6A634E8C-0AF0-411B-B217-14AD52A79EB8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L21" i="1"/>
  <c r="M21" i="1"/>
  <c r="N21" i="1"/>
  <c r="S21" i="1" l="1"/>
  <c r="T21" i="1"/>
  <c r="T23" i="1"/>
  <c r="O21" i="1"/>
  <c r="P21" i="1" s="1"/>
  <c r="P24" i="1" s="1"/>
  <c r="N5" i="6"/>
  <c r="A2" i="7"/>
  <c r="S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S26" i="1" l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O38" i="1"/>
  <c r="E15" i="3"/>
  <c r="R21" i="1" l="1"/>
  <c r="G21" i="1" s="1"/>
  <c r="H21" i="1" s="1"/>
  <c r="F15" i="3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<sst xmlns="http://schemas.openxmlformats.org/spreadsheetml/2006/main" count="485" uniqueCount="295">
  <si>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</si>
  <si>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</si>
  <si>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</si>
  <si>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</si>
  <si>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</si>
  <si>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</si>
  <si>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</si>
  <si>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</si>
  <si>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</si>
  <si>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</si>
  <si>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</si>
  <si>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</si>
  <si>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</si>
  <si>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</si>
  <si>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</si>
  <si>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</si>
  <si>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</si>
  <si>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</si>
  <si>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</si>
  <si>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</si>
  <si>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</si>
  <si>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</si>
  <si>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</si>
  <si>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</si>
  <si>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</si>
  <si>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</si>
  <si>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</si>
  <si>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</si>
  <si>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</si>
  <si>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</si>
  <si>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</si>
  <si>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</si>
  <si>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</si>
  <si>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</si>
  <si>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</si>
  <si>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</si>
  <si>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</si>
  <si>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</si>
  <si>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</si>
  <si>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</si>
  <si>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</si>
  <si>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</si>
  <si>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</si>
  <si>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</si>
  <si>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</si>
  <si>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</si>
  <si>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</si>
  <si>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</si>
  <si>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</si>
  <si>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</si>
  <si>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</si>
  <si>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</si>
  <si>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</si>
  <si>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</si>
  <si>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</si>
  <si>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</si>
  <si>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</si>
  <si>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</si>
  <si>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</si>
  <si>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</si>
  <si>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</si>
  <si>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</si>
  <si>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</si>
  <si>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</si>
  <si>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</si>
  <si>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</si>
  <si>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</si>
  <si>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</si>
  <si>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</si>
  <si>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</si>
  <si>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</si>
  <si>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</si>
  <si>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</si>
  <si>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</si>
  <si>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</si>
  <si>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</si>
  <si>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</si>
  <si>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</si>
  <si>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</si>
  <si>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</si>
  <si>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</si>
  <si>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</si>
  <si>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</si>
  <si>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</si>
  <si>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</si>
  <si>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</si>
  <si>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</si>
  <si>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</si>
  <si>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</si>
  <si>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</si>
  <si>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</si>
  <si>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</si>
  <si>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</si>
  <si>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</si>
  <si>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</si>
  <si>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</si>
  <si>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</si>
  <si>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</si>
  <si>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</si>
  <si>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</si>
  <si>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</si>
  <si>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</si>
  <si>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</si>
  <si>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</si>
  <si>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</si>
  <si>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</si>
  <si>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</si>
  <si>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</si>
  <si>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</si>
  <si>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</si>
  <si>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</si>
  <si>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</si>
  <si>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</si>
  <si>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</si>
  <si>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</si>
  <si>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</si>
  <si>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</si>
  <si>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</si>
  <si>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</si>
  <si>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</si>
  <si>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</si>
  <si>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</si>
  <si>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</si>
  <si>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</si>
  <si>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</si>
  <si>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</si>
  <si>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</si>
  <si>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</si>
  <si>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</si>
  <si>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</si>
  <si>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</si>
  <si>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</si>
  <si>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</si>
  <si>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</si>
  <si>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</si>
  <si>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</si>
  <si>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</si>
  <si>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</si>
  <si>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</si>
  <si>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</si>
  <si>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</si>
  <si>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</si>
  <si>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</si>
  <si>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</si>
  <si>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</si>
  <si>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</si>
  <si>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</si>
  <si>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</si>
  <si>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</si>
  <si>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</si>
  <si>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</si>
  <si>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</si>
  <si>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</si>
  <si>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</si>
  <si>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</si>
  <si>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</si>
  <si>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</si>
  <si>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</si>
  <si>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</si>
  <si>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</si>
  <si>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</si>
  <si>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</si>
  <si>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</si>
  <si>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</si>
  <si>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</si>
  <si>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</si>
  <si>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</si>
  <si>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</si>
  <si>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</si>
  <si>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</si>
  <si>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</si>
  <si>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</si>
  <si>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</si>
  <si>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</si>
  <si>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</si>
  <si>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</si>
  <si>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</si>
  <si>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</si>
  <si>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</si>
  <si>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</si>
  <si>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</si>
  <si>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</si>
  <si>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</si>
  <si>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</si>
  <si>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</si>
  <si>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</si>
  <si>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</si>
  <si>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</si>
  <si>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</si>
  <si>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</si>
  <si>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</si>
  <si>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</si>
  <si>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</si>
  <si>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</si>
  <si>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</si>
  <si>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</si>
  <si>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</si>
  <si>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</si>
  <si>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</si>
  <si>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</si>
  <si>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</si>
  <si>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</si>
  <si>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</si>
  <si>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</si>
  <si>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</si>
  <si>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</si>
  <si>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</si>
  <si>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</si>
  <si>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</si>
  <si>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</si>
  <si>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</si>
  <si>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</si>
  <si>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</si>
  <si>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</si>
  <si>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</si>
  <si>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</si>
  <si>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</si>
  <si>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</si>
  <si>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</si>
  <si>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</si>
  <si>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</si>
  <si>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</si>
  <si>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</si>
  <si>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</si>
  <si>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</si>
  <si>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</si>
  <si>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</si>
  <si>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</si>
  <si>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</si>
  <si>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</si>
  <si>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</si>
  <si>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</si>
  <si>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</si>
  <si>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</si>
  <si>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</si>
  <si>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</si>
  <si>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</si>
  <si>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</si>
  <si>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</si>
  <si>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</si>
  <si>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</si>
  <si>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</si>
  <si>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</si>
  <si>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</si>
  <si>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</si>
  <si>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</si>
  <si>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</si>
  <si>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</si>
  <si>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</si>
  <si>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</si>
  <si>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</si>
  <si>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</si>
  <si>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</si>
  <si>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</si>
  <si>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</si>
  <si>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</si>
  <si>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</si>
  <si>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</si>
  <si>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</si>
  <si>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</si>
  <si>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</si>
  <si>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</si>
  <si>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</si>
  <si>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</si>
  <si>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</si>
  <si>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</si>
  <si>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</si>
  <si>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</si>
  <si>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</si>
  <si>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</si>
  <si>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</si>
  <si>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</si>
  <si>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</si>
  <si>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</si>
  <si>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</si>
  <si>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</si>
  <si>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</si>
  <si>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</si>
  <si>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</si>
  <si>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</si>
  <si>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</si>
  <si>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</si>
  <si>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</si>
  <si>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</si>
  <si>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</si>
  <si>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</si>
  <si>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</si>
  <si>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</si>
  <si>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</si>
  <si>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</si>
  <si>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CUB C/R FRENTE 90° R8</t>
  </si>
  <si>
    <t>+569 7926 4992</t>
  </si>
  <si>
    <t>3 DÍAS HÁBILES</t>
  </si>
  <si>
    <t>WHITE MARBLE GL</t>
  </si>
  <si>
    <t>N° 12125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</si>
</sst>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0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</a:t>
          </a:r>
          <a:r>
            <a:rPr lang="es-CL" sz="1200" b="1" baseline="0"/>
            <a:t>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C6" zoomScale="91" zoomScaleNormal="91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/>
      <c r="D10" s="243"/>
      <c r="E10" s="243"/>
      <c r="F10" s="418" t="s">
        <v>275</v>
      </c>
      <c r="G10" s="275">
        <v>46153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292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2" t="s">
        <v>291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94</v>
      </c>
      <c r="C19" s="434"/>
      <c r="D19" s="434"/>
      <c r="E19" s="434"/>
      <c r="F19" s="434"/>
      <c r="G19" s="434"/>
      <c r="H19" s="43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58436.857749469222</v>
      </c>
      <c r="R20" s="257">
        <v>3000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1</v>
      </c>
      <c r="C21" s="313" t="s">
        <v>290</v>
      </c>
      <c r="D21" s="430">
        <v>3.06</v>
      </c>
      <c r="E21" s="430">
        <v>0.6</v>
      </c>
      <c r="F21" s="313" t="s">
        <v>293</v>
      </c>
      <c r="G21" s="314">
        <f>R21</f>
        <v>113095.04000000001</v>
      </c>
      <c r="H21" s="431">
        <f>G21*B21</f>
        <v>113095.04000000001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3.14</v>
      </c>
      <c r="N21" s="39">
        <f t="shared" ref="N21" si="2">E21+$N$19</f>
        <v>0.6</v>
      </c>
      <c r="O21" s="260">
        <f t="shared" ref="O21" si="3">M21*N21</f>
        <v>1.8839999999999999</v>
      </c>
      <c r="P21" s="258">
        <f t="shared" ref="P21" si="4">O21*L21</f>
        <v>1.8839999999999999</v>
      </c>
      <c r="Q21" s="251">
        <f t="shared" ref="Q21" si="5">Q$20*O21</f>
        <v>110095.04000000001</v>
      </c>
      <c r="R21" s="305">
        <f t="shared" ref="R21" si="6">Q21+R$20</f>
        <v>113095.04000000001</v>
      </c>
      <c r="S21" s="290">
        <f>M21*L21*2</f>
        <v>6.28</v>
      </c>
      <c r="T21" s="46">
        <f>N21*L21*2</f>
        <v>1.2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113095.04000000001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1.2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21488.0576</v>
      </c>
      <c r="I24" s="308"/>
      <c r="J24" s="264"/>
      <c r="K24" s="47"/>
      <c r="L24" s="429">
        <f>M24*10</f>
        <v>31.400000000000002</v>
      </c>
      <c r="M24" s="39">
        <f>SUM(M21:M23)</f>
        <v>3.14</v>
      </c>
      <c r="N24" s="12"/>
      <c r="O24" s="12"/>
      <c r="P24" s="252">
        <f>SUM(P21:P21)</f>
        <v>1.8839999999999999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134583.09760000001</v>
      </c>
      <c r="I25" s="308"/>
      <c r="J25" s="264"/>
      <c r="K25" s="47"/>
      <c r="L25" s="47"/>
      <c r="M25" s="39"/>
      <c r="N25" s="12"/>
      <c r="O25" s="12"/>
      <c r="P25" s="252">
        <f>P24</f>
        <v>1.8839999999999999</v>
      </c>
      <c r="Q25" s="14"/>
      <c r="R25" s="12"/>
      <c r="S25" s="239">
        <f>SUM(S21:S24)</f>
        <v>6.28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0.37680000000000002</v>
      </c>
      <c r="Q26" s="39" t="s">
        <v>128</v>
      </c>
      <c r="R26" s="42"/>
      <c r="S26" s="240">
        <f>S25+T23</f>
        <v>7.48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2.2607999999999997</v>
      </c>
      <c r="Q27" s="14"/>
      <c r="R27" s="14"/>
      <c r="S27" s="238">
        <f>S26*20%</f>
        <v>1.4960000000000002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8.9760000000000009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2.2607999999999997</v>
      </c>
      <c r="N29" s="12">
        <v>4000</v>
      </c>
      <c r="O29" s="12">
        <f t="shared" ref="O29:O34" si="7">M29*N29</f>
        <v>9043.1999999999989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0.6</v>
      </c>
      <c r="N30" s="12">
        <v>25000</v>
      </c>
      <c r="O30" s="12">
        <f t="shared" si="7"/>
        <v>15000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7"/>
        <v>20000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90000</v>
      </c>
      <c r="O33" s="12">
        <f t="shared" si="7"/>
        <v>0</v>
      </c>
      <c r="P33" s="14" t="s">
        <v>289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3</v>
      </c>
      <c r="N34" s="12">
        <v>2000</v>
      </c>
      <c r="O34" s="12">
        <f t="shared" si="7"/>
        <v>6000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50043.199999999997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110095.04000000001</v>
      </c>
      <c r="P36" s="14" t="s">
        <v>137</v>
      </c>
      <c r="Q36" s="14"/>
      <c r="R36" s="40">
        <f>P27/R35</f>
        <v>0.60957722174288165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58436.857749469222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46153</v>
      </c>
    </row>
    <row r="6" spans="2:31" ht="16.2" thickBot="1" x14ac:dyDescent="0.35">
      <c r="B6" s="140" t="s">
        <v>2</v>
      </c>
      <c r="C6" s="139">
        <f>'2229'!C10</f>
        <v>0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97</v>
      </c>
      <c r="I7" s="438"/>
      <c r="J7" s="438"/>
      <c r="K7" s="439"/>
      <c r="N7" s="75"/>
      <c r="O7" s="43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12125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-4032.9183667874436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113095.04000000001</v>
      </c>
      <c r="E11" s="132">
        <f>D11*0.19</f>
        <v>21488.0576</v>
      </c>
      <c r="F11" s="131">
        <f>E11+D11</f>
        <v>134583.09760000001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101957.08163321255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53877.290787439611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83957.081633212554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59217.749212560397</v>
      </c>
      <c r="E13" s="221">
        <f>(D11/D12)-1</f>
        <v>1.0991226237820739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74957.081633212554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35957.081633212554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88897.529799275348</v>
      </c>
      <c r="F15" s="216">
        <f>E15-D12</f>
        <v>35020.239011835736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35957.081633212554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75957.081633212554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9043.1999999999989</v>
      </c>
      <c r="E20" s="121">
        <f>D20*0.19</f>
        <v>1718.2079999999999</v>
      </c>
      <c r="F20" s="120">
        <f>SUM(D20:E20)</f>
        <v>10761.407999999999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24043.199999999997</v>
      </c>
      <c r="E21" s="116">
        <f>SUM(E18:E20)</f>
        <v>4568.2079999999996</v>
      </c>
      <c r="F21" s="115">
        <f>SUM(F18:F20)</f>
        <v>28611.407999999999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16919.849600000001</v>
      </c>
    </row>
    <row r="41" spans="2:16" ht="15" thickBot="1" x14ac:dyDescent="0.35">
      <c r="H41" s="440" t="s">
        <v>59</v>
      </c>
      <c r="I41" s="441"/>
      <c r="J41" s="441"/>
      <c r="K41" s="441"/>
      <c r="L41" s="441"/>
      <c r="M41" s="44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113095.04000000001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24043.199999999997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59217.749212560397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59217.749212560397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12125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/>
      </c>
      <c r="D10" s="350"/>
      <c r="E10" s="350"/>
      <c r="F10" s="351" t="s">
        <v>165</v>
      </c>
      <c r="G10" s="352">
        <f>'2229'!G10</f>
        <v>46153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46160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+569 7926 4992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3" t="s">
        <v>173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174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180</v>
      </c>
      <c r="C2" s="448"/>
      <c r="D2" s="448"/>
      <c r="E2" s="361"/>
      <c r="G2" s="448" t="s">
        <v>181</v>
      </c>
      <c r="H2" s="448"/>
      <c r="I2" s="448"/>
      <c r="P2" s="449" t="s">
        <v>182</v>
      </c>
      <c r="Q2" s="449"/>
      <c r="R2" s="449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49" t="s">
        <v>182</v>
      </c>
      <c r="M8" s="449"/>
      <c r="N8" s="449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263</v>
      </c>
      <c r="L3" s="454"/>
      <c r="M3" s="454" t="s">
        <v>264</v>
      </c>
      <c r="N3" s="454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/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46153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263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264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270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94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12125</v>
      </c>
      <c r="C2" s="1">
        <f>'NOTA DE VENTA'!$G$10</f>
        <v>46153</v>
      </c>
      <c r="D2" s="1">
        <f>'NOTA DE VENTA'!$G$11</f>
        <v>46160</v>
      </c>
      <c r="E2" t="str">
        <f>'NOTA DE VENTA'!$C$10</f>
        <v/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2026-05-11T13:17:45Z</cp:lastPrinted>
  <dcterms:created xsi:type="dcterms:W3CDTF">2013-03-18T13:35:42Z</dcterms:created>
  <dcterms:modified xsi:type="dcterms:W3CDTF">2026-05-11T13:17:55Z</dcterms:modified>
</cp:coreProperties>
</file>