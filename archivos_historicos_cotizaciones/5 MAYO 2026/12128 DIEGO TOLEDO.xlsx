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3292154B-4F40-477F-A1AB-59B03FC1AD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3" i="1"/>
  <c r="G23" i="1"/>
  <c r="L22" i="1"/>
  <c r="M22" i="1"/>
  <c r="N22" i="1"/>
  <c r="S22" i="1"/>
  <c r="O32" i="1"/>
  <c r="L21" i="1"/>
  <c r="M21" i="1"/>
  <c r="N21" i="1"/>
  <c r="O22" i="1" l="1"/>
  <c r="P22" i="1"/>
  <c r="S21" i="1"/>
  <c r="T21" i="1"/>
  <c r="T25" i="1" s="1"/>
  <c r="O21" i="1"/>
  <c r="P21" i="1" s="1"/>
  <c r="P26" i="1" s="1"/>
  <c r="N5" i="6"/>
  <c r="A2" i="7"/>
  <c r="S27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6" i="1"/>
  <c r="L26" i="1" s="1"/>
  <c r="S28" i="1" l="1"/>
  <c r="K40" i="1"/>
  <c r="S29" i="1" l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D21" i="3"/>
  <c r="M43" i="3" s="1"/>
  <c r="D12" i="3" s="1"/>
  <c r="F20" i="3"/>
  <c r="F21" i="3" s="1"/>
  <c r="R22" i="1" l="1"/>
  <c r="G22" i="1"/>
  <c r="H22" i="1" s="1"/>
  <c r="Q21" i="1"/>
  <c r="G21" i="1" s="1"/>
  <c r="O40" i="1"/>
  <c r="E15" i="3"/>
  <c r="R21" i="1" l="1"/>
  <c r="H21" i="1" s="1"/>
  <c r="F15" i="3"/>
  <c r="H26" i="1" l="1"/>
  <c r="H27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<sst xmlns="http://schemas.openxmlformats.org/spreadsheetml/2006/main" count="490" uniqueCount="298">
  <si>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</si>
  <si>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</si>
  <si>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</si>
  <si>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</si>
  <si>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</si>
  <si>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</si>
  <si>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</si>
  <si>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</si>
  <si>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</si>
  <si>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</si>
  <si>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</si>
  <si>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</si>
  <si>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</si>
  <si>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</si>
  <si>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</si>
  <si>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</si>
  <si>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</si>
  <si>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</si>
  <si>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</si>
  <si>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</si>
  <si>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</si>
  <si>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</si>
  <si>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</si>
  <si>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</si>
  <si>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</si>
  <si>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</si>
  <si>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</si>
  <si>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</si>
  <si>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</si>
  <si>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</si>
  <si>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</si>
  <si>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</si>
  <si>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</si>
  <si>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</si>
  <si>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</si>
  <si>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</si>
  <si>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</si>
  <si>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</si>
  <si>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</si>
  <si>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</si>
  <si>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</si>
  <si>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</si>
  <si>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</si>
  <si>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</si>
  <si>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</si>
  <si>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</si>
  <si>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</si>
  <si>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</si>
  <si>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</si>
  <si>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</si>
  <si>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</si>
  <si>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</si>
  <si>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</si>
  <si>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</si>
  <si>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</si>
  <si>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</si>
  <si>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</si>
  <si>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</si>
  <si>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</si>
  <si>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</si>
  <si>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</si>
  <si>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</si>
  <si>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</si>
  <si>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</si>
  <si>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</si>
  <si>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</si>
  <si>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</si>
  <si>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</si>
  <si>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</si>
  <si>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</si>
  <si>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</si>
  <si>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</si>
  <si>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</si>
  <si>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</si>
  <si>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</si>
  <si>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</si>
  <si>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</si>
  <si>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</si>
  <si>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</si>
  <si>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</si>
  <si>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</si>
  <si>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</si>
  <si>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</si>
  <si>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</si>
  <si>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</si>
  <si>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</si>
  <si>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</si>
  <si>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</si>
  <si>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</si>
  <si>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</si>
  <si>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</si>
  <si>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</si>
  <si>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</si>
  <si>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</si>
  <si>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</si>
  <si>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</si>
  <si>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</si>
  <si>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</si>
  <si>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</si>
  <si>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</si>
  <si>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</si>
  <si>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</si>
  <si>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</si>
  <si>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</si>
  <si>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</si>
  <si>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</si>
  <si>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</si>
  <si>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</si>
  <si>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</si>
  <si>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</si>
  <si>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</si>
  <si>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</si>
  <si>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</si>
  <si>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</si>
  <si>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</si>
  <si>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</si>
  <si>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</si>
  <si>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</si>
  <si>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</si>
  <si>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</si>
  <si>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</si>
  <si>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</si>
  <si>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</si>
  <si>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</si>
  <si>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</si>
  <si>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</si>
  <si>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</si>
  <si>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</si>
  <si>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</si>
  <si>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</si>
  <si>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</si>
  <si>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</si>
  <si>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</si>
  <si>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</si>
  <si>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</si>
  <si>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</si>
  <si>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</si>
  <si>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</si>
  <si>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</si>
  <si>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</si>
  <si>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</si>
  <si>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</si>
  <si>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</si>
  <si>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</si>
  <si>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</si>
  <si>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</si>
  <si>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</si>
  <si>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</si>
  <si>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</si>
  <si>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</si>
  <si>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</si>
  <si>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</si>
  <si>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</si>
  <si>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</si>
  <si>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</si>
  <si>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</si>
  <si>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</si>
  <si>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</si>
  <si>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</si>
  <si>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</si>
  <si>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</si>
  <si>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</si>
  <si>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</si>
  <si>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</si>
  <si>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</si>
  <si>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</si>
  <si>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</si>
  <si>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</si>
  <si>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</si>
  <si>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</si>
  <si>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</si>
  <si>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</si>
  <si>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</si>
  <si>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</si>
  <si>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</si>
  <si>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</si>
  <si>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</si>
  <si>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</si>
  <si>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</si>
  <si>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</si>
  <si>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</si>
  <si>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</si>
  <si>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</si>
  <si>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</si>
  <si>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</si>
  <si>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</si>
  <si>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</si>
  <si>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</si>
  <si>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</si>
  <si>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</si>
  <si>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</si>
  <si>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</si>
  <si>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</si>
  <si>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</si>
  <si>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</si>
  <si>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</si>
  <si>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</si>
  <si>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</si>
  <si>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</si>
  <si>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</si>
  <si>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</si>
  <si>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</si>
  <si>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</si>
  <si>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</si>
  <si>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</si>
  <si>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</si>
  <si>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</si>
  <si>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</si>
  <si>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</si>
  <si>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</si>
  <si>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</si>
  <si>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</si>
  <si>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</si>
  <si>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</si>
  <si>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</si>
  <si>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</si>
  <si>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</si>
  <si>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</si>
  <si>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</si>
  <si>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</si>
  <si>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</si>
  <si>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</si>
  <si>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</si>
  <si>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</si>
  <si>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</si>
  <si>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</si>
  <si>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</si>
  <si>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</si>
  <si>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</si>
  <si>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</si>
  <si>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</si>
  <si>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</si>
  <si>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</si>
  <si>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</si>
  <si>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</si>
  <si>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</si>
  <si>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</si>
  <si>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</si>
  <si>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</si>
  <si>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</si>
  <si>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</si>
  <si>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</si>
  <si>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</si>
  <si>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</si>
  <si>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</si>
  <si>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</si>
  <si>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</si>
  <si>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</si>
  <si>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</si>
  <si>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</si>
  <si>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</si>
  <si>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</si>
  <si>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</si>
  <si>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</si>
  <si>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</si>
  <si>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</si>
  <si>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</si>
  <si>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</si>
  <si>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</si>
  <si>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</si>
  <si>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</si>
  <si>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</si>
  <si>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</si>
  <si>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</si>
  <si>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</si>
  <si>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</si>
  <si>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</si>
  <si>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</si>
  <si>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</si>
  <si>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</si>
  <si>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</si>
  <si>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</si>
  <si>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</si>
  <si>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</si>
  <si>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</si>
  <si>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</si>
  <si>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</si>
  <si>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</si>
  <si>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</si>
  <si>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</si>
  <si>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</si>
  <si>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</si>
  <si>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</si>
  <si>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</si>
  <si>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</si>
  <si>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</si>
  <si>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</si>
  <si>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</si>
  <si>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</si>
  <si>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TAPACANTO PVC 2MM</t>
  </si>
  <si>
    <t>CUB C/R FRENTE 90° R8</t>
  </si>
  <si>
    <t>N° 12128</t>
  </si>
  <si>
    <t>+56 9 6181 4776</t>
  </si>
  <si>
    <t>BLANCO 2109 BR</t>
  </si>
  <si>
    <t>FLETE</t>
  </si>
  <si>
    <t>EL BARRANCON, SAN BERNARDO</t>
  </si>
  <si>
    <t>DIEGO TOLEDO</t>
  </si>
  <si>
    <t>VIERNES 15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</si>
</sst>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0" fillId="0" borderId="0" xfId="0" quotePrefix="1" applyFont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215079</xdr:rowOff>
    </xdr:from>
    <xdr:to>
      <xdr:col>5</xdr:col>
      <xdr:colOff>1732649</xdr:colOff>
      <xdr:row>26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SOBRE MEDIDAS EN EL LARGO</a:t>
          </a:r>
        </a:p>
        <a:p>
          <a:pPr algn="l"/>
          <a:r>
            <a:rPr lang="es-CL" sz="1200" b="1" baseline="0"/>
            <a:t>CERRO CULANCO 17406, SAN BERNARDO. FALDEOS DE NOS, CASA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" zoomScale="91" zoomScaleNormal="91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296</v>
      </c>
      <c r="D10" s="243"/>
      <c r="E10" s="243"/>
      <c r="F10" s="418" t="s">
        <v>275</v>
      </c>
      <c r="G10" s="275">
        <v>46153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297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2" t="s">
        <v>292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3" t="s">
        <v>94</v>
      </c>
      <c r="C19" s="444"/>
      <c r="D19" s="444"/>
      <c r="E19" s="444"/>
      <c r="F19" s="444"/>
      <c r="G19" s="444"/>
      <c r="H19" s="44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O39</f>
        <v>86760.738916256174</v>
      </c>
      <c r="R20" s="257">
        <v>3000</v>
      </c>
      <c r="S20" s="38"/>
      <c r="T20" s="14" t="s">
        <v>126</v>
      </c>
      <c r="U20" s="9"/>
      <c r="X20" s="4"/>
    </row>
    <row r="21" spans="1:25" ht="17.399999999999999" x14ac:dyDescent="0.3">
      <c r="B21" s="312">
        <v>1</v>
      </c>
      <c r="C21" s="313" t="s">
        <v>290</v>
      </c>
      <c r="D21" s="430">
        <v>3.4</v>
      </c>
      <c r="E21" s="430">
        <v>0.56000000000000005</v>
      </c>
      <c r="F21" s="313" t="s">
        <v>293</v>
      </c>
      <c r="G21" s="314">
        <f>Q21</f>
        <v>169079.32800000004</v>
      </c>
      <c r="H21" s="431">
        <f>G21*B21</f>
        <v>169079.32800000004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3.48</v>
      </c>
      <c r="N21" s="39">
        <f t="shared" ref="N21" si="2">E21+$N$19</f>
        <v>0.56000000000000005</v>
      </c>
      <c r="O21" s="260">
        <f t="shared" ref="O21" si="3">M21*N21</f>
        <v>1.9488000000000001</v>
      </c>
      <c r="P21" s="258">
        <f t="shared" ref="P21" si="4">O21*L21</f>
        <v>1.9488000000000001</v>
      </c>
      <c r="Q21" s="251">
        <f t="shared" ref="Q21" si="5">Q$20*O21</f>
        <v>169079.32800000004</v>
      </c>
      <c r="R21" s="305">
        <f t="shared" ref="R21" si="6">Q21+R$20</f>
        <v>172079.32800000004</v>
      </c>
      <c r="S21" s="290">
        <f>M21*L21*2</f>
        <v>6.96</v>
      </c>
      <c r="T21" s="46">
        <f>N21*L21*2</f>
        <v>1.1200000000000001</v>
      </c>
      <c r="U21" s="9"/>
      <c r="X21" s="4"/>
    </row>
    <row r="22" spans="1:25" ht="17.399999999999999" x14ac:dyDescent="0.3">
      <c r="B22" s="441">
        <v>1</v>
      </c>
      <c r="C22" s="438" t="s">
        <v>290</v>
      </c>
      <c r="D22" s="439">
        <v>0.95</v>
      </c>
      <c r="E22" s="439">
        <v>0.56000000000000005</v>
      </c>
      <c r="F22" s="438" t="s">
        <v>293</v>
      </c>
      <c r="G22" s="440">
        <f>Q22</f>
        <v>50043.594206896567</v>
      </c>
      <c r="H22" s="442">
        <f>G22*B22</f>
        <v>50043.594206896567</v>
      </c>
      <c r="I22" s="306"/>
      <c r="J22" s="264"/>
      <c r="K22" s="47"/>
      <c r="L22" s="47">
        <f t="shared" ref="L22" si="7">B22</f>
        <v>1</v>
      </c>
      <c r="M22" s="39">
        <f t="shared" ref="M22" si="8">D22+M$19</f>
        <v>1.03</v>
      </c>
      <c r="N22" s="39">
        <f t="shared" ref="N22" si="9">E22+$N$19</f>
        <v>0.56000000000000005</v>
      </c>
      <c r="O22" s="260">
        <f t="shared" ref="O22" si="10">M22*N22</f>
        <v>0.57680000000000009</v>
      </c>
      <c r="P22" s="258">
        <f t="shared" ref="P22" si="11">O22*L22</f>
        <v>0.57680000000000009</v>
      </c>
      <c r="Q22" s="251">
        <f t="shared" ref="Q22" si="12">Q$20*O22</f>
        <v>50043.594206896567</v>
      </c>
      <c r="R22" s="305">
        <f t="shared" ref="R22" si="13">Q22+R$20</f>
        <v>53043.594206896567</v>
      </c>
      <c r="S22" s="290">
        <f>M22*L22*2</f>
        <v>2.06</v>
      </c>
      <c r="T22" s="46"/>
      <c r="U22" s="9"/>
      <c r="X22" s="4"/>
    </row>
    <row r="23" spans="1:25" ht="18" thickBot="1" x14ac:dyDescent="0.35">
      <c r="B23" s="433">
        <v>1</v>
      </c>
      <c r="C23" s="434" t="s">
        <v>294</v>
      </c>
      <c r="D23" s="435"/>
      <c r="E23" s="435"/>
      <c r="F23" s="434" t="s">
        <v>295</v>
      </c>
      <c r="G23" s="436">
        <f>15000/1.19</f>
        <v>12605.042016806723</v>
      </c>
      <c r="H23" s="437">
        <f>G23</f>
        <v>12605.042016806723</v>
      </c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231727.96422370331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SUM(T21:T24)</f>
        <v>1.1200000000000001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50</v>
      </c>
      <c r="H26" s="287">
        <f>H25*19%</f>
        <v>44028.313202503632</v>
      </c>
      <c r="I26" s="308"/>
      <c r="J26" s="264"/>
      <c r="K26" s="47"/>
      <c r="L26" s="429">
        <f>M26*10</f>
        <v>45.099999999999994</v>
      </c>
      <c r="M26" s="39">
        <f>SUM(M21:M25)</f>
        <v>4.51</v>
      </c>
      <c r="N26" s="12"/>
      <c r="O26" s="12"/>
      <c r="P26" s="252">
        <f>SUM(P21:P21)</f>
        <v>1.9488000000000001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275756.27742620697</v>
      </c>
      <c r="I27" s="308"/>
      <c r="J27" s="264"/>
      <c r="K27" s="47"/>
      <c r="L27" s="47"/>
      <c r="M27" s="39"/>
      <c r="N27" s="12"/>
      <c r="O27" s="12"/>
      <c r="P27" s="252">
        <f>P26</f>
        <v>1.9488000000000001</v>
      </c>
      <c r="Q27" s="14"/>
      <c r="R27" s="12"/>
      <c r="S27" s="239">
        <f>SUM(S21:S26)</f>
        <v>9.02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0.38976000000000005</v>
      </c>
      <c r="Q28" s="39" t="s">
        <v>128</v>
      </c>
      <c r="R28" s="42"/>
      <c r="S28" s="240">
        <f>S27+T25</f>
        <v>10.14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2.3385600000000002</v>
      </c>
      <c r="Q29" s="14"/>
      <c r="R29" s="14"/>
      <c r="S29" s="238">
        <f>S28*20%</f>
        <v>2.028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12.168000000000001</v>
      </c>
      <c r="T30" s="14"/>
      <c r="U30" s="294" t="s">
        <v>21</v>
      </c>
      <c r="V30" s="291" t="s">
        <v>147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2.3385600000000002</v>
      </c>
      <c r="N31" s="12">
        <v>4000</v>
      </c>
      <c r="O31" s="12">
        <f t="shared" ref="O31:O36" si="14">M31*N31</f>
        <v>9354.2400000000016</v>
      </c>
      <c r="P31" s="14" t="s">
        <v>21</v>
      </c>
      <c r="Q31" s="14"/>
      <c r="R31" s="14"/>
      <c r="S31" s="241"/>
      <c r="T31" s="14"/>
      <c r="U31" s="294" t="s">
        <v>148</v>
      </c>
      <c r="V31" s="291">
        <v>3625</v>
      </c>
      <c r="W31" s="59" t="s">
        <v>149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0.62</v>
      </c>
      <c r="N32" s="12">
        <v>25000</v>
      </c>
      <c r="O32" s="12">
        <f t="shared" si="14"/>
        <v>15500</v>
      </c>
      <c r="P32" s="39" t="s">
        <v>286</v>
      </c>
      <c r="Q32" s="42"/>
      <c r="R32" s="14"/>
      <c r="S32" s="240"/>
      <c r="T32" s="14"/>
      <c r="U32" s="294"/>
      <c r="V32" s="59">
        <v>906.25</v>
      </c>
      <c r="W32" s="59" t="s">
        <v>150</v>
      </c>
      <c r="X32" s="296"/>
    </row>
    <row r="33" spans="1:24" s="230" customFormat="1" ht="17.399999999999999" x14ac:dyDescent="0.35">
      <c r="B33" s="24" t="s">
        <v>146</v>
      </c>
      <c r="J33" s="261"/>
      <c r="K33" s="232"/>
      <c r="L33" s="249"/>
      <c r="M33" s="14"/>
      <c r="N33" s="249">
        <v>33975</v>
      </c>
      <c r="O33" s="12">
        <f t="shared" si="14"/>
        <v>0</v>
      </c>
      <c r="P33" s="39" t="s">
        <v>287</v>
      </c>
      <c r="Q33" s="42"/>
      <c r="S33" s="240"/>
      <c r="T33" s="255"/>
      <c r="U33" s="59"/>
      <c r="V33" s="59">
        <f>V32*20%</f>
        <v>181.25</v>
      </c>
      <c r="W33" s="296" t="s">
        <v>151</v>
      </c>
      <c r="X33" s="59"/>
    </row>
    <row r="34" spans="1:24" s="230" customFormat="1" ht="17.399999999999999" x14ac:dyDescent="0.35">
      <c r="B34" s="24" t="s">
        <v>160</v>
      </c>
      <c r="C34"/>
      <c r="D34"/>
      <c r="E34"/>
      <c r="F34"/>
      <c r="J34" s="261"/>
      <c r="K34" s="232"/>
      <c r="L34" s="249"/>
      <c r="M34" s="14">
        <v>1</v>
      </c>
      <c r="N34" s="249">
        <v>43000</v>
      </c>
      <c r="O34" s="12">
        <f t="shared" si="14"/>
        <v>43000</v>
      </c>
      <c r="P34" s="14" t="s">
        <v>288</v>
      </c>
      <c r="Q34" s="17"/>
      <c r="S34" s="238"/>
      <c r="T34" s="255"/>
      <c r="U34" s="59"/>
      <c r="V34" s="59">
        <f>V32+V33</f>
        <v>1087.5</v>
      </c>
      <c r="W34" s="296" t="s">
        <v>152</v>
      </c>
      <c r="X34" s="59"/>
    </row>
    <row r="35" spans="1:24" s="230" customFormat="1" ht="17.399999999999999" x14ac:dyDescent="0.35">
      <c r="A35" s="230" t="s">
        <v>281</v>
      </c>
      <c r="B35" s="29" t="s">
        <v>123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90000</v>
      </c>
      <c r="O35" s="12">
        <f t="shared" si="14"/>
        <v>0</v>
      </c>
      <c r="P35" s="14" t="s">
        <v>289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4.5</v>
      </c>
      <c r="N36" s="12">
        <v>2000</v>
      </c>
      <c r="O36" s="12">
        <f t="shared" si="14"/>
        <v>9000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76854.240000000005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32</v>
      </c>
      <c r="N38" s="12"/>
      <c r="O38" s="254">
        <f>O37*2.2</f>
        <v>169079.32800000004</v>
      </c>
      <c r="P38" s="14" t="s">
        <v>137</v>
      </c>
      <c r="Q38" s="14"/>
      <c r="R38" s="40">
        <f>P29/R37</f>
        <v>0.63054357204486633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86760.738916256174</v>
      </c>
      <c r="P39" s="45" t="s">
        <v>24</v>
      </c>
      <c r="Q39" s="14"/>
      <c r="R39" s="14"/>
      <c r="S39"/>
      <c r="T39" s="238"/>
      <c r="U39" s="59" t="s">
        <v>153</v>
      </c>
      <c r="V39" s="291">
        <v>43650</v>
      </c>
    </row>
    <row r="40" spans="1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155</v>
      </c>
      <c r="V40" s="292" t="s">
        <v>154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156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151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143</v>
      </c>
    </row>
    <row r="75" spans="3:15" x14ac:dyDescent="0.3">
      <c r="C75" t="s">
        <v>142</v>
      </c>
    </row>
    <row r="78" spans="3:15" x14ac:dyDescent="0.3">
      <c r="C78" t="s">
        <v>142</v>
      </c>
    </row>
    <row r="155" spans="3:3" x14ac:dyDescent="0.3">
      <c r="C155" t="s">
        <v>142</v>
      </c>
    </row>
    <row r="156" spans="3:3" x14ac:dyDescent="0.3">
      <c r="C156" t="s">
        <v>144</v>
      </c>
    </row>
    <row r="157" spans="3:3" x14ac:dyDescent="0.3">
      <c r="C157" t="s">
        <v>145</v>
      </c>
    </row>
    <row r="582" spans="3:3" x14ac:dyDescent="0.3">
      <c r="C582" t="s">
        <v>142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46153</v>
      </c>
    </row>
    <row r="6" spans="2:31" ht="16.2" thickBot="1" x14ac:dyDescent="0.35">
      <c r="B6" s="140" t="s">
        <v>2</v>
      </c>
      <c r="C6" s="139" t="str">
        <f>'2229'!C10</f>
        <v>DIEGO TOLEDO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7" t="s">
        <v>97</v>
      </c>
      <c r="I7" s="448"/>
      <c r="J7" s="448"/>
      <c r="K7" s="449"/>
      <c r="N7" s="75"/>
      <c r="O7" s="446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12128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6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-23582.036404071328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231727.96422370331</v>
      </c>
      <c r="E11" s="132">
        <f>D11*0.19</f>
        <v>44028.313202503632</v>
      </c>
      <c r="F11" s="131">
        <f>E11+D11</f>
        <v>275756.27742620697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82407.963595928668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54688.330787439612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64407.963595928668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177039.63343626371</v>
      </c>
      <c r="E13" s="221">
        <f>(D11/D12)-1</f>
        <v>3.2372469754905149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55407.963595928668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16407.963595928672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90235.745799275363</v>
      </c>
      <c r="F15" s="216">
        <f>E15-D12</f>
        <v>35547.41501183575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16407.963595928672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56407.963595928668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15500</v>
      </c>
      <c r="E19" s="123">
        <f>D19*0.19</f>
        <v>2945</v>
      </c>
      <c r="F19" s="120">
        <f>SUM(D19:E19)</f>
        <v>18445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9354.2400000000016</v>
      </c>
      <c r="E20" s="121">
        <f>D20*0.19</f>
        <v>1777.3056000000004</v>
      </c>
      <c r="F20" s="120">
        <f>SUM(D20:E20)</f>
        <v>11131.545600000001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24854.240000000002</v>
      </c>
      <c r="E21" s="116">
        <f>SUM(E18:E20)</f>
        <v>4722.3056000000006</v>
      </c>
      <c r="F21" s="115">
        <f>SUM(F18:F20)</f>
        <v>29576.545600000001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39306.007602503632</v>
      </c>
    </row>
    <row r="41" spans="2:16" ht="15" thickBot="1" x14ac:dyDescent="0.35">
      <c r="H41" s="450" t="s">
        <v>59</v>
      </c>
      <c r="I41" s="451"/>
      <c r="J41" s="451"/>
      <c r="K41" s="451"/>
      <c r="L41" s="451"/>
      <c r="M41" s="452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231727.96422370331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24854.240000000002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177039.63343626371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177039.63343626371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12128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DIEGO TOLEDO</v>
      </c>
      <c r="D10" s="350"/>
      <c r="E10" s="350"/>
      <c r="F10" s="351" t="s">
        <v>165</v>
      </c>
      <c r="G10" s="352">
        <f>'2229'!G10</f>
        <v>46153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46160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+56 9 6181 4776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3" t="s">
        <v>173</v>
      </c>
      <c r="G17" s="453"/>
      <c r="H17" s="45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5" t="s">
        <v>174</v>
      </c>
      <c r="C20" s="456"/>
      <c r="D20" s="456"/>
      <c r="E20" s="456"/>
      <c r="F20" s="456"/>
      <c r="G20" s="456"/>
      <c r="H20" s="457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8" t="s">
        <v>180</v>
      </c>
      <c r="C2" s="458"/>
      <c r="D2" s="458"/>
      <c r="E2" s="361"/>
      <c r="G2" s="458" t="s">
        <v>181</v>
      </c>
      <c r="H2" s="458"/>
      <c r="I2" s="458"/>
      <c r="P2" s="459" t="s">
        <v>182</v>
      </c>
      <c r="Q2" s="459"/>
      <c r="R2" s="459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9" t="s">
        <v>182</v>
      </c>
      <c r="M8" s="459"/>
      <c r="N8" s="459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4" t="s">
        <v>263</v>
      </c>
      <c r="L3" s="464"/>
      <c r="M3" s="464" t="s">
        <v>264</v>
      </c>
      <c r="N3" s="464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DIEGO TOLEDO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46153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5" t="s">
        <v>263</v>
      </c>
      <c r="B10" s="465"/>
      <c r="C10" s="465"/>
      <c r="D10" s="465"/>
      <c r="E10" s="465"/>
      <c r="F10" s="465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5" t="s">
        <v>264</v>
      </c>
      <c r="B17" s="465"/>
      <c r="C17" s="465"/>
      <c r="D17" s="465"/>
      <c r="E17" s="465"/>
      <c r="F17" s="465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5" t="s">
        <v>270</v>
      </c>
      <c r="B45" s="465"/>
      <c r="C45" s="465"/>
      <c r="D45" s="465"/>
      <c r="E45" s="465"/>
      <c r="F45" s="46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0" t="s">
        <v>94</v>
      </c>
      <c r="C47" s="461"/>
      <c r="D47" s="462"/>
      <c r="E47" s="462"/>
      <c r="F47" s="463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12128</v>
      </c>
      <c r="C2" s="1">
        <f>'NOTA DE VENTA'!$G$10</f>
        <v>46153</v>
      </c>
      <c r="D2" s="1">
        <f>'NOTA DE VENTA'!$G$11</f>
        <v>46160</v>
      </c>
      <c r="E2" t="str">
        <f>'NOTA DE VENTA'!$C$10</f>
        <v>DIEGO TOLEDO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2026-05-11T13:17:45Z</cp:lastPrinted>
  <dcterms:created xsi:type="dcterms:W3CDTF">2013-03-18T13:35:42Z</dcterms:created>
  <dcterms:modified xsi:type="dcterms:W3CDTF">2026-05-15T20:26:13Z</dcterms:modified>
</cp:coreProperties>
</file>