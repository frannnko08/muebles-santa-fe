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2ACDC16C-7D74-4AA0-97E8-7665A0A0FB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RESUMEN" sheetId="8" r:id="rId2"/>
    <sheet name="COSTOS" sheetId="3" r:id="rId3"/>
    <sheet name="NOTA DE VENTA" sheetId="4" r:id="rId4"/>
    <sheet name="REGLAS" sheetId="5" r:id="rId5"/>
    <sheet name="PRODUCCION" sheetId="6" r:id="rId6"/>
    <sheet name="SEGUIMIENTO" sheetId="7" r:id="rId7"/>
  </sheets>
  <externalReferences>
    <externalReference r:id="rId8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B2" i="8"/>
  <c r="A2" i="8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G21" i="1" s="1"/>
  <c r="F15" i="3"/>
  <c r="R21" i="1" l="1"/>
  <c r="H21" i="1" l="1"/>
  <c r="H23" i="1" s="1"/>
  <c r="H24" i="1" s="1"/>
  <c r="H25" i="1" l="1"/>
  <c r="D2" i="8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<sst xmlns="http://schemas.openxmlformats.org/spreadsheetml/2006/main" count="490" uniqueCount="296">
  <si>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</si>
  <si>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</si>
  <si>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</si>
  <si>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</si>
  <si>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</si>
  <si>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</si>
  <si>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</si>
  <si>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</si>
  <si>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</si>
  <si>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</si>
  <si>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</si>
  <si>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</si>
  <si>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</si>
  <si>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</si>
  <si>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</si>
  <si>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</si>
  <si>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</si>
  <si>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</si>
  <si>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</si>
  <si>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</si>
  <si>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</si>
  <si>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</si>
  <si>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</si>
  <si>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</si>
  <si>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</si>
  <si>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</si>
  <si>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</si>
  <si>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</si>
  <si>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</si>
  <si>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</si>
  <si>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</si>
  <si>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</si>
  <si>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</si>
  <si>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</si>
  <si>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</si>
  <si>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</si>
  <si>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</si>
  <si>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</si>
  <si>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</si>
  <si>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</si>
  <si>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</si>
  <si>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</si>
  <si>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</si>
  <si>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</si>
  <si>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</si>
  <si>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</si>
  <si>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</si>
  <si>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</si>
  <si>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</si>
  <si>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</si>
  <si>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</si>
  <si>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</si>
  <si>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</si>
  <si>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</si>
  <si>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</si>
  <si>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</si>
  <si>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</si>
  <si>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</si>
  <si>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</si>
  <si>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</si>
  <si>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</si>
  <si>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</si>
  <si>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</si>
  <si>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</si>
  <si>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</si>
  <si>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</si>
  <si>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</si>
  <si>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</si>
  <si>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</si>
  <si>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</si>
  <si>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</si>
  <si>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</si>
  <si>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</si>
  <si>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</si>
  <si>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</si>
  <si>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</si>
  <si>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</si>
  <si>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</si>
  <si>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</si>
  <si>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</si>
  <si>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</si>
  <si>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</si>
  <si>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</si>
  <si>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</si>
  <si>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</si>
  <si>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</si>
  <si>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</si>
  <si>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</si>
  <si>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</si>
  <si>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</si>
  <si>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</si>
  <si>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</si>
  <si>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</si>
  <si>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</si>
  <si>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</si>
  <si>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</si>
  <si>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</si>
  <si>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</si>
  <si>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</si>
  <si>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</si>
  <si>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</si>
  <si>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</si>
  <si>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</si>
  <si>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</si>
  <si>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</si>
  <si>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</si>
  <si>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</si>
  <si>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</si>
  <si>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</si>
  <si>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</si>
  <si>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</si>
  <si>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</si>
  <si>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</si>
  <si>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</si>
  <si>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</si>
  <si>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</si>
  <si>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</si>
  <si>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</si>
  <si>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</si>
  <si>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</si>
  <si>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</si>
  <si>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</si>
  <si>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</si>
  <si>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</si>
  <si>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</si>
  <si>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</si>
  <si>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</si>
  <si>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</si>
  <si>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</si>
  <si>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</si>
  <si>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</si>
  <si>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</si>
  <si>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</si>
  <si>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</si>
  <si>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</si>
  <si>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</si>
  <si>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</si>
  <si>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</si>
  <si>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</si>
  <si>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</si>
  <si>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</si>
  <si>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</si>
  <si>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</si>
  <si>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</si>
  <si>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</si>
  <si>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</si>
  <si>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</si>
  <si>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</si>
  <si>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</si>
  <si>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</si>
  <si>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</si>
  <si>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</si>
  <si>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</si>
  <si>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</si>
  <si>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</si>
  <si>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</si>
  <si>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</si>
  <si>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</si>
  <si>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</si>
  <si>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</si>
  <si>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</si>
  <si>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</si>
  <si>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</si>
  <si>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</si>
  <si>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</si>
  <si>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</si>
  <si>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</si>
  <si>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</si>
  <si>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</si>
  <si>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</si>
  <si>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</si>
  <si>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</si>
  <si>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</si>
  <si>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</si>
  <si>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</si>
  <si>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</si>
  <si>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</si>
  <si>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</si>
  <si>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</si>
  <si>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</si>
  <si>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</si>
  <si>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</si>
  <si>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</si>
  <si>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</si>
  <si>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</si>
  <si>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</si>
  <si>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</si>
  <si>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</si>
  <si>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</si>
  <si>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</si>
  <si>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</si>
  <si>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</si>
  <si>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</si>
  <si>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</si>
  <si>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</si>
  <si>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</si>
  <si>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</si>
  <si>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</si>
  <si>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</si>
  <si>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</si>
  <si>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</si>
  <si>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</si>
  <si>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</si>
  <si>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</si>
  <si>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</si>
  <si>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</si>
  <si>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</si>
  <si>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</si>
  <si>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</si>
  <si>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</si>
  <si>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</si>
  <si>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</si>
  <si>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</si>
  <si>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</si>
  <si>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</si>
  <si>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</si>
  <si>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</si>
  <si>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</si>
  <si>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</si>
  <si>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</si>
  <si>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</si>
  <si>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</si>
  <si>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</si>
  <si>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</si>
  <si>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</si>
  <si>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</si>
  <si>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</si>
  <si>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</si>
  <si>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</si>
  <si>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</si>
  <si>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</si>
  <si>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</si>
  <si>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</si>
  <si>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</si>
  <si>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</si>
  <si>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</si>
  <si>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</si>
  <si>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</si>
  <si>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</si>
  <si>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</si>
  <si>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</si>
  <si>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</si>
  <si>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</si>
  <si>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</si>
  <si>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</si>
  <si>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</si>
  <si>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</si>
  <si>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</si>
  <si>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</si>
  <si>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</si>
  <si>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</si>
  <si>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</si>
  <si>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</si>
  <si>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</si>
  <si>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</si>
  <si>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</si>
  <si>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</si>
  <si>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</si>
  <si>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</si>
  <si>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</si>
  <si>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</si>
  <si>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</si>
  <si>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</si>
  <si>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</si>
  <si>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</si>
  <si>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</si>
  <si>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</si>
  <si>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</si>
  <si>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</si>
  <si>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</si>
  <si>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</si>
  <si>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</si>
  <si>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</si>
  <si>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</si>
  <si>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</si>
  <si>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</si>
  <si>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</si>
  <si>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</si>
  <si>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</si>
  <si>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</si>
  <si>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</si>
  <si>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</si>
  <si>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</si>
  <si>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</si>
  <si>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</si>
  <si>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</si>
  <si>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</si>
  <si>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</si>
  <si>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COTIZACION</t>
  </si>
  <si>
    <t>CLIENTE</t>
  </si>
  <si>
    <t>5 DÍAS HÁBILES</t>
  </si>
  <si>
    <t>CUB CON RESPALDO FRENTE 90°</t>
  </si>
  <si>
    <t>GRANITO STOCK</t>
  </si>
  <si>
    <t>ANDRES BARRERA</t>
  </si>
  <si>
    <t>+56 9 2121 6561</t>
  </si>
  <si>
    <t>N° 12175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</si>
</sst>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215081</xdr:rowOff>
    </xdr:from>
    <xdr:to>
      <xdr:col>5</xdr:col>
      <xdr:colOff>1732649</xdr:colOff>
      <xdr:row>24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813710"/>
          <a:ext cx="6146924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VA</a:t>
          </a:r>
          <a:r>
            <a:rPr lang="es-CL" sz="1200" b="1" baseline="0"/>
            <a:t> SOBRE MEDIDA EN EL LARGO.</a:t>
          </a:r>
        </a:p>
        <a:p>
          <a:pPr algn="l"/>
          <a:r>
            <a:rPr lang="es-CL" sz="1200" b="1" u="sng" baseline="0"/>
            <a:t>SUSTRATO MDF 18MM.</a:t>
          </a:r>
        </a:p>
        <a:p>
          <a:pPr algn="l"/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35539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0.3320312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293</v>
      </c>
      <c r="D10" s="243"/>
      <c r="E10" s="243"/>
      <c r="F10" s="417" t="s">
        <v>277</v>
      </c>
      <c r="G10" s="275">
        <v>46170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290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294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111329.99999999999</v>
      </c>
      <c r="R20" s="257">
        <v>15000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1" t="s">
        <v>291</v>
      </c>
      <c r="D21" s="432">
        <v>0.38</v>
      </c>
      <c r="E21" s="432">
        <v>0.54</v>
      </c>
      <c r="F21" s="312" t="s">
        <v>292</v>
      </c>
      <c r="G21" s="313">
        <f>Q21</f>
        <v>24937.920000000002</v>
      </c>
      <c r="H21" s="433">
        <f>G21*B21</f>
        <v>24937.920000000002</v>
      </c>
      <c r="I21" s="305"/>
      <c r="J21" s="264"/>
      <c r="K21" s="47"/>
      <c r="L21" s="47">
        <f>B21</f>
        <v>1</v>
      </c>
      <c r="M21" s="39">
        <f>D21+M$19</f>
        <v>0.4</v>
      </c>
      <c r="N21" s="39">
        <f>E21+$N$19</f>
        <v>0.56000000000000005</v>
      </c>
      <c r="O21" s="260">
        <f t="shared" ref="O21" si="0">M21*N21</f>
        <v>0.22400000000000003</v>
      </c>
      <c r="P21" s="258">
        <f>O21*L21</f>
        <v>0.22400000000000003</v>
      </c>
      <c r="Q21" s="251">
        <f t="shared" ref="Q21" si="1">Q$20*O21</f>
        <v>24937.920000000002</v>
      </c>
      <c r="R21" s="304">
        <f t="shared" ref="R21" si="2">Q21+R$20</f>
        <v>39937.919999999998</v>
      </c>
      <c r="S21" s="290">
        <f>M21*L21</f>
        <v>0.4</v>
      </c>
      <c r="T21" s="46">
        <f>N21*2*L21*2</f>
        <v>2.2400000000000002</v>
      </c>
      <c r="U21" s="9"/>
      <c r="X21" s="4"/>
    </row>
    <row r="22" spans="1:25" ht="18" thickBot="1" x14ac:dyDescent="0.35">
      <c r="B22" s="283"/>
      <c r="C22" s="324"/>
      <c r="D22" s="284"/>
      <c r="E22" s="284"/>
      <c r="F22" s="283"/>
      <c r="G22" s="264"/>
      <c r="H22" s="306"/>
      <c r="I22" s="308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09" t="s">
        <v>28</v>
      </c>
      <c r="H23" s="310">
        <f>SUM(H21:H22)</f>
        <v>24937.920000000002</v>
      </c>
      <c r="I23" s="307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2.2400000000000002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H23*0.19</f>
        <v>4738.2048000000004</v>
      </c>
      <c r="I24" s="307"/>
      <c r="J24" s="264"/>
      <c r="K24" s="47"/>
      <c r="L24" s="47"/>
      <c r="M24" s="39">
        <f>SUM(M21:M23)</f>
        <v>0.4</v>
      </c>
      <c r="N24" s="12"/>
      <c r="O24" s="12"/>
      <c r="P24" s="252">
        <f>SUM(P21:P22)</f>
        <v>0.22400000000000003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29676.124800000001</v>
      </c>
      <c r="I25" s="307"/>
      <c r="J25" s="264"/>
      <c r="K25" s="47"/>
      <c r="L25" s="47"/>
      <c r="M25" s="39"/>
      <c r="N25" s="12"/>
      <c r="O25" s="12"/>
      <c r="P25" s="252">
        <f>P24</f>
        <v>0.22400000000000003</v>
      </c>
      <c r="Q25" s="14"/>
      <c r="R25" s="12"/>
      <c r="S25" s="239">
        <f>SUM(S21:S24)</f>
        <v>0.4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4.4800000000000006E-2</v>
      </c>
      <c r="Q26" s="39" t="s">
        <v>129</v>
      </c>
      <c r="R26" s="42"/>
      <c r="S26" s="240">
        <f>S25+T23</f>
        <v>2.64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0.26880000000000004</v>
      </c>
      <c r="Q27" s="14"/>
      <c r="R27" s="14"/>
      <c r="S27" s="238">
        <f>S26*20%</f>
        <v>0.52800000000000002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3.1680000000000001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0.26880000000000004</v>
      </c>
      <c r="N29" s="12">
        <v>4000</v>
      </c>
      <c r="O29" s="12">
        <f t="shared" ref="O29:O34" si="3">M29*N29</f>
        <v>1075.2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0.1</v>
      </c>
      <c r="N30" s="12">
        <v>25000</v>
      </c>
      <c r="O30" s="12">
        <f t="shared" si="3"/>
        <v>2500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3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7500</v>
      </c>
      <c r="O32" s="12">
        <f t="shared" si="3"/>
        <v>7500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3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0.4</v>
      </c>
      <c r="N34" s="12">
        <v>2000</v>
      </c>
      <c r="O34" s="12">
        <f t="shared" si="3"/>
        <v>800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11875.2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O35*2.1</f>
        <v>24937.920000000002</v>
      </c>
      <c r="P36" s="14" t="s">
        <v>138</v>
      </c>
      <c r="Q36" s="14"/>
      <c r="R36" s="40">
        <f>P27/R35</f>
        <v>7.2476272648835216E-2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32090</v>
      </c>
      <c r="L37" s="249"/>
      <c r="M37" s="14"/>
      <c r="N37" s="12"/>
      <c r="O37" s="12">
        <f>O36/P25</f>
        <v>111329.99999999999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26966.386554621851</v>
      </c>
      <c r="L38" s="249"/>
      <c r="M38" s="13"/>
      <c r="N38" s="14"/>
      <c r="O38" s="17">
        <f>O36/O35</f>
        <v>2.1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5951-3DFB-43E1-AEF5-568E99DB16A0}">
  <dimension ref="A1:D2"/>
  <sheetViews>
    <sheetView workbookViewId="0">
      <selection activeCell="A3" sqref="A3"/>
    </sheetView>
  </sheetViews>
  <sheetFormatPr baseColWidth="10" defaultRowHeight="14.4" x14ac:dyDescent="0.3"/>
  <cols>
    <col min="1" max="1" width="14.109375" bestFit="1" customWidth="1"/>
    <col min="2" max="2" width="16" bestFit="1" customWidth="1"/>
  </cols>
  <sheetData>
    <row r="1" spans="1:4" x14ac:dyDescent="0.3">
      <c r="A1" t="s">
        <v>288</v>
      </c>
      <c r="B1" t="s">
        <v>289</v>
      </c>
      <c r="C1" t="s">
        <v>277</v>
      </c>
      <c r="D1" t="s">
        <v>6</v>
      </c>
    </row>
    <row r="2" spans="1:4" x14ac:dyDescent="0.3">
      <c r="A2" t="str">
        <f>'2229'!D8</f>
        <v>N° 12175</v>
      </c>
      <c r="B2" t="str">
        <f>'2229'!C10</f>
        <v>ANDRES BARRERA</v>
      </c>
      <c r="C2" s="1">
        <f>'2229'!G10</f>
        <v>46170</v>
      </c>
      <c r="D2" s="61">
        <f>'2229'!H25</f>
        <v>29676.124800000001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46170</v>
      </c>
    </row>
    <row r="6" spans="2:31" ht="16.2" thickBot="1" x14ac:dyDescent="0.35">
      <c r="B6" s="140" t="s">
        <v>2</v>
      </c>
      <c r="C6" s="139" t="str">
        <f>'2229'!C10</f>
        <v>ANDRES BARRERA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12175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5031.2349665458942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24937.920000000002</v>
      </c>
      <c r="E11" s="132">
        <f>D11*0.19</f>
        <v>4738.2048000000004</v>
      </c>
      <c r="F11" s="131">
        <f>E11+D11</f>
        <v>29676.124800000001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111021.23496654589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33409.290787439619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93021.23496654589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-8471.3707874396168</v>
      </c>
      <c r="E13" s="221">
        <f>(D11/D12)-1</f>
        <v>-0.25356332288934635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84021.23496654589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45021.234966545897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55125.329799275365</v>
      </c>
      <c r="F15" s="216">
        <f>E15-D12</f>
        <v>21716.039011835746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45021.234966545897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85021.23496654589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2500</v>
      </c>
      <c r="E19" s="123">
        <f>D19*0.19</f>
        <v>475</v>
      </c>
      <c r="F19" s="120">
        <f>SUM(D19:E19)</f>
        <v>2975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1075.2</v>
      </c>
      <c r="E20" s="121">
        <f>D20*0.19</f>
        <v>204.28800000000001</v>
      </c>
      <c r="F20" s="120">
        <f>SUM(D20:E20)</f>
        <v>1279.4880000000001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3575.2</v>
      </c>
      <c r="E21" s="116">
        <f>SUM(E18:E20)</f>
        <v>679.28800000000001</v>
      </c>
      <c r="F21" s="115">
        <f>SUM(F18:F20)</f>
        <v>4254.4880000000003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4058.9168000000004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24937.920000000002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3575.2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-8471.3707874396168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-8471.3707874396168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12175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ANDRES BARRERA</v>
      </c>
      <c r="D10" s="349"/>
      <c r="E10" s="349"/>
      <c r="F10" s="350" t="s">
        <v>167</v>
      </c>
      <c r="G10" s="351">
        <f>'2229'!G10</f>
        <v>46170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46177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+56 9 2121 6561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FRENTE 90°</v>
      </c>
      <c r="D22" s="320">
        <f>'2229'!D21*1000</f>
        <v>380</v>
      </c>
      <c r="E22" s="320">
        <f>'2229'!E21*1000</f>
        <v>540</v>
      </c>
      <c r="F22" s="321" t="str">
        <f>'2229'!F21</f>
        <v>GRANITO STOCK</v>
      </c>
      <c r="G22" s="313">
        <f>'2229'!G21</f>
        <v>24937.920000000002</v>
      </c>
      <c r="H22" s="322">
        <f>G22*B22</f>
        <v>24937.920000000002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24937.920000000002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4738.2048000000004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29676.124800000001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0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ANDRES BARRERA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46170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12175</v>
      </c>
      <c r="C2" s="1">
        <f>'NOTA DE VENTA'!$G$10</f>
        <v>46170</v>
      </c>
      <c r="D2" s="1">
        <f>'NOTA DE VENTA'!$G$11</f>
        <v>46177</v>
      </c>
      <c r="E2" t="str">
        <f>'NOTA DE VENTA'!$C$10</f>
        <v>ANDRES BARRERA</v>
      </c>
      <c r="F2" t="str">
        <f>'NOTA DE VENTA'!$C$22</f>
        <v>CUB CON RESPALDO FRENTE 90°</v>
      </c>
      <c r="G2" t="str">
        <f>'NOTA DE VENTA'!$F$22</f>
        <v>GRANITO STOCK</v>
      </c>
      <c r="H2" s="415">
        <f>'NOTA DE VENTA'!$H$25</f>
        <v>24937.920000000002</v>
      </c>
      <c r="I2" s="415">
        <f>H2*0.19</f>
        <v>4738.2048000000004</v>
      </c>
      <c r="J2" s="415">
        <f>I2+H2</f>
        <v>29676.124800000001</v>
      </c>
      <c r="L2" s="61">
        <f>J2-K2</f>
        <v>29676.124800000001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2229</vt:lpstr>
      <vt:lpstr>RESUMEN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2026-05-28T15:27:22Z</cp:lastPrinted>
  <dcterms:created xsi:type="dcterms:W3CDTF">2013-03-18T13:35:42Z</dcterms:created>
  <dcterms:modified xsi:type="dcterms:W3CDTF">2026-05-28T18:15:31Z</dcterms:modified>
</cp:coreProperties>
</file>