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09659D76-DC16-4407-8516-86A6433155C1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N22" i="1"/>
  <c r="M22" i="1"/>
  <c r="L22" i="1"/>
  <c r="L21" i="1"/>
  <c r="M21" i="1"/>
  <c r="N21" i="1"/>
  <c r="S21" i="1" l="1"/>
  <c r="T21" i="1"/>
  <c r="S22" i="1"/>
  <c r="T22" i="1"/>
  <c r="T25" i="1" s="1"/>
  <c r="O22" i="1"/>
  <c r="P22" i="1" s="1"/>
  <c r="O21" i="1"/>
  <c r="P21" i="1" s="1"/>
  <c r="P26" i="1" s="1"/>
  <c r="N5" i="6"/>
  <c r="A2" i="7"/>
  <c r="S27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6" i="1"/>
  <c r="L26" i="1" s="1"/>
  <c r="S28" i="1" l="1"/>
  <c r="K40" i="1"/>
  <c r="S29" i="1" l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Q21" i="1"/>
  <c r="O40" i="1"/>
  <c r="E15" i="3"/>
  <c r="R22" i="1" l="1"/>
  <c r="G22" i="1" s="1"/>
  <c r="H22" i="1" s="1"/>
  <c r="R21" i="1"/>
  <c r="G21" i="1" s="1"/>
  <c r="H21" i="1" s="1"/>
  <c r="F15" i="3"/>
  <c r="H25" i="1" l="1"/>
  <c r="H26" i="1" s="1"/>
  <c r="H27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3" i="3" l="1"/>
  <c r="E11" i="3"/>
  <c r="D40" i="3" s="1"/>
  <c r="X16" i="3"/>
  <c r="E13" i="3"/>
  <c r="M42" i="3"/>
  <c r="M46" i="3" s="1"/>
  <c r="M49" i="3" s="1"/>
  <c r="X14" i="3"/>
  <c r="D13" i="3"/>
  <c r="X12" i="3"/>
  <c r="X11" i="3"/>
  <c r="F11" i="3" l="1"/>
</calcChain>
</file>

<file path=xl/sharedStrings.xml><?xml version="1.0" encoding="utf-8"?>
<sst xmlns="http://schemas.openxmlformats.org/spreadsheetml/2006/main" count="489" uniqueCount="298">
  <si>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</si>
  <si>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</si>
  <si>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</si>
  <si>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</si>
  <si>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</si>
  <si>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</si>
  <si>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</si>
  <si>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</si>
  <si>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</si>
  <si>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</si>
  <si>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</si>
  <si>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</si>
  <si>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</si>
  <si>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</si>
  <si>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</si>
  <si>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</si>
  <si>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</si>
  <si>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</si>
  <si>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</si>
  <si>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</si>
  <si>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</si>
  <si>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</si>
  <si>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</si>
  <si>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</si>
  <si>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</si>
  <si>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</si>
  <si>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</si>
  <si>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</si>
  <si>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</si>
  <si>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</si>
  <si>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</si>
  <si>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</si>
  <si>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</si>
  <si>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</si>
  <si>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</si>
  <si>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</si>
  <si>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</si>
  <si>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</si>
  <si>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</si>
  <si>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</si>
  <si>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</si>
  <si>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</si>
  <si>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</si>
  <si>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</si>
  <si>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</si>
  <si>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</si>
  <si>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</si>
  <si>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</si>
  <si>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</si>
  <si>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</si>
  <si>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</si>
  <si>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</si>
  <si>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</si>
  <si>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</si>
  <si>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</si>
  <si>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</si>
  <si>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</si>
  <si>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</si>
  <si>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</si>
  <si>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</si>
  <si>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</si>
  <si>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</si>
  <si>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</si>
  <si>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</si>
  <si>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</si>
  <si>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</si>
  <si>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</si>
  <si>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</si>
  <si>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</si>
  <si>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</si>
  <si>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</si>
  <si>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</si>
  <si>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</si>
  <si>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</si>
  <si>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</si>
  <si>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</si>
  <si>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</si>
  <si>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</si>
  <si>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</si>
  <si>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</si>
  <si>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</si>
  <si>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</si>
  <si>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</si>
  <si>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</si>
  <si>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</si>
  <si>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</si>
  <si>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</si>
  <si>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</si>
  <si>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</si>
  <si>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</si>
  <si>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</si>
  <si>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</si>
  <si>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</si>
  <si>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</si>
  <si>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</si>
  <si>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</si>
  <si>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</si>
  <si>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</si>
  <si>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</si>
  <si>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</si>
  <si>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</si>
  <si>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</si>
  <si>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</si>
  <si>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</si>
  <si>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</si>
  <si>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</si>
  <si>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</si>
  <si>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</si>
  <si>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</si>
  <si>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</si>
  <si>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</si>
  <si>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</si>
  <si>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</si>
  <si>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</si>
  <si>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</si>
  <si>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</si>
  <si>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</si>
  <si>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</si>
  <si>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</si>
  <si>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</si>
  <si>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</si>
  <si>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</si>
  <si>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</si>
  <si>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</si>
  <si>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</si>
  <si>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</si>
  <si>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</si>
  <si>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</si>
  <si>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</si>
  <si>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</si>
  <si>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</si>
  <si>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</si>
  <si>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</si>
  <si>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</si>
  <si>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</si>
  <si>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</si>
  <si>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</si>
  <si>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</si>
  <si>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</si>
  <si>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</si>
  <si>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</si>
  <si>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</si>
  <si>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</si>
  <si>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</si>
  <si>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</si>
  <si>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</si>
  <si>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</si>
  <si>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</si>
  <si>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</si>
  <si>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</si>
  <si>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</si>
  <si>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</si>
  <si>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</si>
  <si>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</si>
  <si>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</si>
  <si>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</si>
  <si>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</si>
  <si>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</si>
  <si>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</si>
  <si>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</si>
  <si>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</si>
  <si>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</si>
  <si>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</si>
  <si>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</si>
  <si>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</si>
  <si>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</si>
  <si>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</si>
  <si>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</si>
  <si>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</si>
  <si>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</si>
  <si>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</si>
  <si>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</si>
  <si>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</si>
  <si>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</si>
  <si>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</si>
  <si>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</si>
  <si>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</si>
  <si>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</si>
  <si>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</si>
  <si>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</si>
  <si>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</si>
  <si>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</si>
  <si>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</si>
  <si>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</si>
  <si>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</si>
  <si>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</si>
  <si>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</si>
  <si>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</si>
  <si>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</si>
  <si>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</si>
  <si>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</si>
  <si>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</si>
  <si>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</si>
  <si>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</si>
  <si>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</si>
  <si>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</si>
  <si>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</si>
  <si>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</si>
  <si>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</si>
  <si>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</si>
  <si>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</si>
  <si>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</si>
  <si>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</si>
  <si>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</si>
  <si>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</si>
  <si>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</si>
  <si>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</si>
  <si>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</si>
  <si>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</si>
  <si>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</si>
  <si>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</si>
  <si>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</si>
  <si>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</si>
  <si>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</si>
  <si>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</si>
  <si>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</si>
  <si>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</si>
  <si>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</si>
  <si>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</si>
  <si>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</si>
  <si>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</si>
  <si>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</si>
  <si>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</si>
  <si>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</si>
  <si>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</si>
  <si>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</si>
  <si>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</si>
  <si>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</si>
  <si>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</si>
  <si>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</si>
  <si>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</si>
  <si>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</si>
  <si>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</si>
  <si>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</si>
  <si>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</si>
  <si>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</si>
  <si>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</si>
  <si>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</si>
  <si>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</si>
  <si>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</si>
  <si>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</si>
  <si>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</si>
  <si>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</si>
  <si>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</si>
  <si>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</si>
  <si>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</si>
  <si>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</si>
  <si>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</si>
  <si>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</si>
  <si>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</si>
  <si>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</si>
  <si>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</si>
  <si>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</si>
  <si>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</si>
  <si>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</si>
  <si>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</si>
  <si>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</si>
  <si>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</si>
  <si>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</si>
  <si>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</si>
  <si>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</si>
  <si>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</si>
  <si>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</si>
  <si>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</si>
  <si>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</si>
  <si>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</si>
  <si>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</si>
  <si>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</si>
  <si>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</si>
  <si>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</si>
  <si>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</si>
  <si>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</si>
  <si>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</si>
  <si>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</si>
  <si>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</si>
  <si>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</si>
  <si>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</si>
  <si>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</si>
  <si>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</si>
  <si>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</si>
  <si>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</si>
  <si>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</si>
  <si>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</si>
  <si>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</si>
  <si>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</si>
  <si>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</si>
  <si>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</si>
  <si>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</si>
  <si>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</si>
  <si>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SI</t>
  </si>
  <si>
    <t>TAPACANTO PVC 2MM</t>
  </si>
  <si>
    <t>CUB SIN RESPALDO FTE 90°</t>
  </si>
  <si>
    <t>SUNSET 2239 MT</t>
  </si>
  <si>
    <t>SERVICIO CORTE DIAGONAL</t>
  </si>
  <si>
    <t>1 DÍA HÁBIL</t>
  </si>
  <si>
    <t>MAXIMILIANO MORALES</t>
  </si>
  <si>
    <t>+569 8418 5532</t>
  </si>
  <si>
    <t>N° 12120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</si>
</sst>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2"/>
      <color rgb="FF3D85C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6" fillId="20" borderId="3" xfId="0" applyFont="1" applyFill="1" applyBorder="1" applyAlignment="1">
      <alignment horizontal="center"/>
    </xf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5" fillId="8" borderId="46" xfId="0" applyFont="1" applyFill="1" applyBorder="1"/>
    <xf numFmtId="165" fontId="0" fillId="0" borderId="0" xfId="0" applyNumberFormat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50" fillId="0" borderId="0" xfId="0" quotePrefix="1" applyFont="1" applyAlignment="1">
      <alignment horizontal="left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215079</xdr:rowOff>
    </xdr:from>
    <xdr:to>
      <xdr:col>5</xdr:col>
      <xdr:colOff>1732649</xdr:colOff>
      <xdr:row>26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DE 1,83 LLEVA CORTE SEGUN DIBUJO</a:t>
          </a:r>
          <a:r>
            <a:rPr lang="es-CL" sz="1200" b="1" baseline="0"/>
            <a:t>, ES CORTADA Y ENCHAPADA EN ESE COSTADO Y LADO TRASERO. CUBIERTA DE 3,04 ENCHAPADA EN EL LADO TRASERO.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D22" sqref="D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8" t="s">
        <v>295</v>
      </c>
      <c r="D10" s="243"/>
      <c r="E10" s="243"/>
      <c r="F10" s="418" t="s">
        <v>275</v>
      </c>
      <c r="G10" s="275">
        <v>46149</v>
      </c>
      <c r="H10" s="244"/>
      <c r="K10" s="1"/>
      <c r="R10" s="2"/>
      <c r="S10" s="3"/>
      <c r="T10" s="3"/>
      <c r="U10" s="4"/>
      <c r="V10" s="2"/>
      <c r="W10" s="3"/>
    </row>
    <row r="11" spans="2:24" x14ac:dyDescent="0.3">
      <c r="B11" s="419" t="s">
        <v>12</v>
      </c>
      <c r="F11" s="29" t="s">
        <v>284</v>
      </c>
      <c r="G11" s="420" t="s">
        <v>294</v>
      </c>
      <c r="H11" s="421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289</v>
      </c>
      <c r="H12" s="247"/>
      <c r="Q12" s="19"/>
      <c r="R12" s="25"/>
      <c r="S12" s="19"/>
    </row>
    <row r="13" spans="2:24" x14ac:dyDescent="0.3">
      <c r="B13" s="419" t="s">
        <v>141</v>
      </c>
      <c r="F13" s="29" t="s">
        <v>133</v>
      </c>
      <c r="G13" s="422" t="s">
        <v>289</v>
      </c>
      <c r="H13" s="421"/>
      <c r="Q13" s="19"/>
      <c r="R13" s="25"/>
      <c r="S13" s="19"/>
    </row>
    <row r="14" spans="2:24" x14ac:dyDescent="0.3">
      <c r="B14" s="245" t="s">
        <v>136</v>
      </c>
      <c r="C14" s="427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65" t="s">
        <v>296</v>
      </c>
      <c r="D15" s="423"/>
      <c r="F15" s="29" t="s">
        <v>282</v>
      </c>
      <c r="G15" s="75" t="s">
        <v>132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4" t="s">
        <v>13</v>
      </c>
      <c r="C17" s="299" t="s">
        <v>285</v>
      </c>
      <c r="D17" s="300"/>
      <c r="E17" s="119"/>
      <c r="F17" s="425" t="s">
        <v>177</v>
      </c>
      <c r="G17" s="425" t="s">
        <v>178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3" t="s">
        <v>94</v>
      </c>
      <c r="C19" s="434"/>
      <c r="D19" s="434"/>
      <c r="E19" s="434"/>
      <c r="F19" s="434"/>
      <c r="G19" s="434"/>
      <c r="H19" s="435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O39</f>
        <v>82949.452607461295</v>
      </c>
      <c r="R20" s="257">
        <v>3000</v>
      </c>
      <c r="S20" s="38"/>
      <c r="T20" s="14" t="s">
        <v>126</v>
      </c>
      <c r="U20" s="9"/>
      <c r="X20" s="4"/>
    </row>
    <row r="21" spans="1:25" ht="17.399999999999999" x14ac:dyDescent="0.3">
      <c r="B21" s="312">
        <v>1</v>
      </c>
      <c r="C21" s="313" t="s">
        <v>291</v>
      </c>
      <c r="D21" s="456">
        <v>3.06</v>
      </c>
      <c r="E21" s="456">
        <v>0.58499999999999996</v>
      </c>
      <c r="F21" s="313" t="s">
        <v>292</v>
      </c>
      <c r="G21" s="314">
        <f>R21</f>
        <v>155369.84949464566</v>
      </c>
      <c r="H21" s="457">
        <f>G21*B21</f>
        <v>155369.84949464566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3.14</v>
      </c>
      <c r="N21" s="39">
        <f t="shared" ref="N21" si="2">E21+$N$19</f>
        <v>0.58499999999999996</v>
      </c>
      <c r="O21" s="260">
        <f t="shared" ref="O21" si="3">M21*N21</f>
        <v>1.8369</v>
      </c>
      <c r="P21" s="258">
        <f t="shared" ref="P21" si="4">O21*L21</f>
        <v>1.8369</v>
      </c>
      <c r="Q21" s="251">
        <f t="shared" ref="Q21" si="5">Q$20*O21</f>
        <v>152369.84949464566</v>
      </c>
      <c r="R21" s="305">
        <f t="shared" ref="R21" si="6">Q21+R$20</f>
        <v>155369.84949464566</v>
      </c>
      <c r="S21" s="290">
        <f>M21*L21*2</f>
        <v>6.28</v>
      </c>
      <c r="T21" s="46">
        <f>N21*L21*2</f>
        <v>1.17</v>
      </c>
      <c r="U21" s="9"/>
      <c r="X21" s="4"/>
    </row>
    <row r="22" spans="1:25" ht="17.399999999999999" x14ac:dyDescent="0.3">
      <c r="B22" s="458">
        <v>1</v>
      </c>
      <c r="C22" s="430" t="s">
        <v>291</v>
      </c>
      <c r="D22" s="431">
        <v>1.83</v>
      </c>
      <c r="E22" s="431">
        <v>0.61499999999999999</v>
      </c>
      <c r="F22" s="430" t="s">
        <v>292</v>
      </c>
      <c r="G22" s="432">
        <f>R22</f>
        <v>100436.57450535441</v>
      </c>
      <c r="H22" s="459">
        <f t="shared" ref="H22" si="7">G22*B22</f>
        <v>100436.57450535441</v>
      </c>
      <c r="I22" s="306"/>
      <c r="J22" s="264"/>
      <c r="K22" s="47"/>
      <c r="L22" s="47">
        <f t="shared" ref="L22" si="8">B22</f>
        <v>1</v>
      </c>
      <c r="M22" s="39">
        <f t="shared" ref="M22" si="9">D22+M$19</f>
        <v>1.9100000000000001</v>
      </c>
      <c r="N22" s="39">
        <f t="shared" ref="N22" si="10">E22+$N$19</f>
        <v>0.61499999999999999</v>
      </c>
      <c r="O22" s="260">
        <f t="shared" ref="O22" si="11">M22*N22</f>
        <v>1.17465</v>
      </c>
      <c r="P22" s="258">
        <f t="shared" ref="P22" si="12">O22*L22</f>
        <v>1.17465</v>
      </c>
      <c r="Q22" s="251">
        <f t="shared" ref="Q22" si="13">Q$20*O22</f>
        <v>97436.574505354409</v>
      </c>
      <c r="R22" s="305">
        <f t="shared" ref="R22" si="14">Q22+R$20</f>
        <v>100436.57450535441</v>
      </c>
      <c r="S22" s="290">
        <f t="shared" ref="S22" si="15">M22*L22*2</f>
        <v>3.8200000000000003</v>
      </c>
      <c r="T22" s="46">
        <f t="shared" ref="T22" si="16">N22*L22*2</f>
        <v>1.23</v>
      </c>
      <c r="U22" s="9"/>
      <c r="X22" s="4"/>
    </row>
    <row r="23" spans="1:25" ht="18" thickBot="1" x14ac:dyDescent="0.35">
      <c r="B23" s="460">
        <v>1</v>
      </c>
      <c r="C23" s="461" t="s">
        <v>293</v>
      </c>
      <c r="D23" s="462"/>
      <c r="E23" s="462"/>
      <c r="F23" s="461"/>
      <c r="G23" s="463">
        <v>10000</v>
      </c>
      <c r="H23" s="464">
        <f>G23*B23</f>
        <v>10000</v>
      </c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SUM(H21:H23)</f>
        <v>265806.42400000006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SUM(T21:T24)</f>
        <v>2.4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50</v>
      </c>
      <c r="H26" s="287">
        <f>H25*19%</f>
        <v>50503.220560000009</v>
      </c>
      <c r="I26" s="308"/>
      <c r="J26" s="264"/>
      <c r="K26" s="47"/>
      <c r="L26" s="429">
        <f>M26*10</f>
        <v>50.500000000000007</v>
      </c>
      <c r="M26" s="39">
        <f>SUM(M21:M25)</f>
        <v>5.0500000000000007</v>
      </c>
      <c r="N26" s="12"/>
      <c r="O26" s="12"/>
      <c r="P26" s="252">
        <f>SUM(P21:P22)</f>
        <v>3.0115499999999997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316309.64456000004</v>
      </c>
      <c r="I27" s="308"/>
      <c r="J27" s="264"/>
      <c r="K27" s="47"/>
      <c r="L27" s="47"/>
      <c r="M27" s="39"/>
      <c r="N27" s="12"/>
      <c r="O27" s="12"/>
      <c r="P27" s="252">
        <f>P26</f>
        <v>3.0115499999999997</v>
      </c>
      <c r="Q27" s="14"/>
      <c r="R27" s="12"/>
      <c r="S27" s="239">
        <f>SUM(S21:S26)</f>
        <v>10.100000000000001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0.60231000000000001</v>
      </c>
      <c r="Q28" s="39" t="s">
        <v>128</v>
      </c>
      <c r="R28" s="42"/>
      <c r="S28" s="240">
        <f>S27+T25</f>
        <v>12.500000000000002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3.6138599999999999</v>
      </c>
      <c r="Q29" s="14"/>
      <c r="R29" s="14"/>
      <c r="S29" s="238">
        <f>S28*20%</f>
        <v>2.5000000000000004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15.000000000000002</v>
      </c>
      <c r="T30" s="14"/>
      <c r="U30" s="294" t="s">
        <v>21</v>
      </c>
      <c r="V30" s="291" t="s">
        <v>147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3.6138599999999999</v>
      </c>
      <c r="N31" s="12">
        <v>4000</v>
      </c>
      <c r="O31" s="12">
        <f t="shared" ref="O31:O36" si="17">M31*N31</f>
        <v>14455.439999999999</v>
      </c>
      <c r="P31" s="14" t="s">
        <v>21</v>
      </c>
      <c r="Q31" s="14"/>
      <c r="R31" s="14"/>
      <c r="S31" s="241"/>
      <c r="T31" s="14"/>
      <c r="U31" s="294" t="s">
        <v>148</v>
      </c>
      <c r="V31" s="291">
        <v>3625</v>
      </c>
      <c r="W31" s="59" t="s">
        <v>149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1</v>
      </c>
      <c r="N32" s="12">
        <v>24500</v>
      </c>
      <c r="O32" s="12">
        <f t="shared" si="17"/>
        <v>24500</v>
      </c>
      <c r="P32" s="39" t="s">
        <v>286</v>
      </c>
      <c r="Q32" s="42"/>
      <c r="R32" s="14"/>
      <c r="S32" s="240"/>
      <c r="T32" s="14"/>
      <c r="U32" s="294"/>
      <c r="V32" s="59">
        <v>906.25</v>
      </c>
      <c r="W32" s="59" t="s">
        <v>150</v>
      </c>
      <c r="X32" s="296"/>
    </row>
    <row r="33" spans="1:24" s="230" customFormat="1" ht="17.399999999999999" x14ac:dyDescent="0.35">
      <c r="B33" s="24" t="s">
        <v>146</v>
      </c>
      <c r="J33" s="261"/>
      <c r="K33" s="232"/>
      <c r="L33" s="249"/>
      <c r="M33" s="14"/>
      <c r="N33" s="249">
        <v>33975</v>
      </c>
      <c r="O33" s="12">
        <f t="shared" si="17"/>
        <v>0</v>
      </c>
      <c r="P33" s="39" t="s">
        <v>287</v>
      </c>
      <c r="Q33" s="42"/>
      <c r="S33" s="240"/>
      <c r="T33" s="255"/>
      <c r="U33" s="59"/>
      <c r="V33" s="59">
        <f>V32*20%</f>
        <v>181.25</v>
      </c>
      <c r="W33" s="296" t="s">
        <v>151</v>
      </c>
      <c r="X33" s="59"/>
    </row>
    <row r="34" spans="1:24" s="230" customFormat="1" ht="17.399999999999999" x14ac:dyDescent="0.35">
      <c r="B34" s="24" t="s">
        <v>160</v>
      </c>
      <c r="C34"/>
      <c r="D34"/>
      <c r="E34"/>
      <c r="F34"/>
      <c r="J34" s="261"/>
      <c r="K34" s="232"/>
      <c r="L34" s="249"/>
      <c r="M34" s="14">
        <v>2</v>
      </c>
      <c r="N34" s="249">
        <v>40000</v>
      </c>
      <c r="O34" s="12">
        <f t="shared" si="17"/>
        <v>80000</v>
      </c>
      <c r="P34" s="14" t="s">
        <v>288</v>
      </c>
      <c r="Q34" s="17"/>
      <c r="S34" s="238"/>
      <c r="T34" s="255"/>
      <c r="U34" s="59"/>
      <c r="V34" s="59">
        <f>V32+V33</f>
        <v>1087.5</v>
      </c>
      <c r="W34" s="296" t="s">
        <v>152</v>
      </c>
      <c r="X34" s="59"/>
    </row>
    <row r="35" spans="1:24" s="230" customFormat="1" ht="17.399999999999999" x14ac:dyDescent="0.35">
      <c r="A35" s="230" t="s">
        <v>281</v>
      </c>
      <c r="B35" s="29" t="s">
        <v>123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90000</v>
      </c>
      <c r="O35" s="12">
        <f t="shared" si="17"/>
        <v>0</v>
      </c>
      <c r="P35" s="14" t="s">
        <v>290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/>
      <c r="N36" s="12">
        <v>2000</v>
      </c>
      <c r="O36" s="12">
        <f t="shared" si="17"/>
        <v>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118955.44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32</v>
      </c>
      <c r="N38" s="12"/>
      <c r="O38" s="254">
        <f>O37*2.1</f>
        <v>249806.42400000003</v>
      </c>
      <c r="P38" s="14" t="s">
        <v>137</v>
      </c>
      <c r="Q38" s="14"/>
      <c r="R38" s="40">
        <f>P29/R37</f>
        <v>0.97440142364106985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51290</v>
      </c>
      <c r="L39" s="249"/>
      <c r="M39" s="14"/>
      <c r="N39" s="12"/>
      <c r="O39" s="12">
        <f>O38/P27</f>
        <v>82949.452607461295</v>
      </c>
      <c r="P39" s="45" t="s">
        <v>24</v>
      </c>
      <c r="Q39" s="14"/>
      <c r="R39" s="14"/>
      <c r="S39"/>
      <c r="T39" s="238"/>
      <c r="U39" s="59" t="s">
        <v>153</v>
      </c>
      <c r="V39" s="291">
        <v>43650</v>
      </c>
    </row>
    <row r="40" spans="1:24" s="230" customFormat="1" ht="17.399999999999999" x14ac:dyDescent="0.35">
      <c r="G40"/>
      <c r="K40" s="230">
        <f>K39/1.19</f>
        <v>43100.840336134454</v>
      </c>
      <c r="L40" s="249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155</v>
      </c>
      <c r="V40" s="292" t="s">
        <v>154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156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151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143</v>
      </c>
    </row>
    <row r="75" spans="3:15" x14ac:dyDescent="0.3">
      <c r="C75" t="s">
        <v>142</v>
      </c>
    </row>
    <row r="78" spans="3:15" x14ac:dyDescent="0.3">
      <c r="C78" t="s">
        <v>142</v>
      </c>
    </row>
    <row r="155" spans="3:3" x14ac:dyDescent="0.3">
      <c r="C155" t="s">
        <v>142</v>
      </c>
    </row>
    <row r="156" spans="3:3" x14ac:dyDescent="0.3">
      <c r="C156" t="s">
        <v>144</v>
      </c>
    </row>
    <row r="157" spans="3:3" x14ac:dyDescent="0.3">
      <c r="C157" t="s">
        <v>145</v>
      </c>
    </row>
    <row r="582" spans="3:3" x14ac:dyDescent="0.3">
      <c r="C582" t="s">
        <v>142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46149</v>
      </c>
    </row>
    <row r="6" spans="2:31" ht="16.2" thickBot="1" x14ac:dyDescent="0.35">
      <c r="B6" s="140" t="s">
        <v>2</v>
      </c>
      <c r="C6" s="139" t="str">
        <f>'2229'!C10</f>
        <v>MAXIMILIANO MORALES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7" t="s">
        <v>97</v>
      </c>
      <c r="I7" s="438"/>
      <c r="J7" s="438"/>
      <c r="K7" s="439"/>
      <c r="N7" s="75"/>
      <c r="O7" s="436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12120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36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-25383.949700120789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'2229'!H25</f>
        <v>265806.42400000006</v>
      </c>
      <c r="E11" s="132">
        <f>D11*0.19</f>
        <v>50503.220560000009</v>
      </c>
      <c r="F11" s="131">
        <f>E11+D11</f>
        <v>316309.64456000004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80606.050299879207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68789.530787439609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62606.050299879207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197016.89321256045</v>
      </c>
      <c r="E13" s="221">
        <f>(D11/D12)-1</f>
        <v>2.8640534534440243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53606.050299879207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14606.050299879211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113502.72579927534</v>
      </c>
      <c r="F15" s="216">
        <f>E15-D12</f>
        <v>44713.195011835734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14606.050299879211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54606.050299879207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'2229'!O32</f>
        <v>24500</v>
      </c>
      <c r="E19" s="123">
        <f>D19*0.19</f>
        <v>4655</v>
      </c>
      <c r="F19" s="120">
        <f>SUM(D19:E19)</f>
        <v>29155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14455.439999999999</v>
      </c>
      <c r="E20" s="121">
        <f>D20*0.19</f>
        <v>2746.5335999999998</v>
      </c>
      <c r="F20" s="120">
        <f>SUM(D20:E20)</f>
        <v>17201.973599999998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38955.440000000002</v>
      </c>
      <c r="E21" s="116">
        <f>SUM(E18:E20)</f>
        <v>7401.5335999999998</v>
      </c>
      <c r="F21" s="115">
        <f>SUM(F18:F20)</f>
        <v>46356.973599999998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43101.686960000006</v>
      </c>
    </row>
    <row r="41" spans="2:16" ht="15" thickBot="1" x14ac:dyDescent="0.35">
      <c r="H41" s="440" t="s">
        <v>59</v>
      </c>
      <c r="I41" s="441"/>
      <c r="J41" s="441"/>
      <c r="K41" s="441"/>
      <c r="L41" s="441"/>
      <c r="M41" s="442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265806.42400000006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38955.440000000002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197016.89321256045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197016.89321256045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12120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MAXIMILIANO MORALES</v>
      </c>
      <c r="D10" s="350"/>
      <c r="E10" s="350"/>
      <c r="F10" s="351" t="s">
        <v>165</v>
      </c>
      <c r="G10" s="352">
        <f>'2229'!G10</f>
        <v>46149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46156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+569 8418 5532</v>
      </c>
      <c r="D15" s="347"/>
      <c r="E15" s="345"/>
      <c r="F15" s="345" t="s">
        <v>171</v>
      </c>
      <c r="G15" s="345" t="str">
        <f>'2229'!G12</f>
        <v>SI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3" t="s">
        <v>173</v>
      </c>
      <c r="G17" s="443"/>
      <c r="H17" s="444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5" t="s">
        <v>174</v>
      </c>
      <c r="C20" s="446"/>
      <c r="D20" s="446"/>
      <c r="E20" s="446"/>
      <c r="F20" s="446"/>
      <c r="G20" s="446"/>
      <c r="H20" s="447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8" t="s">
        <v>180</v>
      </c>
      <c r="C2" s="448"/>
      <c r="D2" s="448"/>
      <c r="E2" s="361"/>
      <c r="G2" s="448" t="s">
        <v>181</v>
      </c>
      <c r="H2" s="448"/>
      <c r="I2" s="448"/>
      <c r="P2" s="449" t="s">
        <v>182</v>
      </c>
      <c r="Q2" s="449"/>
      <c r="R2" s="449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49" t="s">
        <v>182</v>
      </c>
      <c r="M8" s="449"/>
      <c r="N8" s="449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4" t="s">
        <v>263</v>
      </c>
      <c r="L3" s="454"/>
      <c r="M3" s="454" t="s">
        <v>264</v>
      </c>
      <c r="N3" s="454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MAXIMILIANO MORALES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46149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46156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5" t="s">
        <v>263</v>
      </c>
      <c r="B10" s="455"/>
      <c r="C10" s="455"/>
      <c r="D10" s="455"/>
      <c r="E10" s="455"/>
      <c r="F10" s="455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5" t="s">
        <v>264</v>
      </c>
      <c r="B17" s="455"/>
      <c r="C17" s="455"/>
      <c r="D17" s="455"/>
      <c r="E17" s="455"/>
      <c r="F17" s="455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5" t="s">
        <v>270</v>
      </c>
      <c r="B45" s="455"/>
      <c r="C45" s="455"/>
      <c r="D45" s="455"/>
      <c r="E45" s="455"/>
      <c r="F45" s="455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0" t="s">
        <v>94</v>
      </c>
      <c r="C47" s="451"/>
      <c r="D47" s="452"/>
      <c r="E47" s="452"/>
      <c r="F47" s="453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12120</v>
      </c>
      <c r="C2" s="1">
        <f>'NOTA DE VENTA'!$G$10</f>
        <v>46149</v>
      </c>
      <c r="D2" s="1">
        <f>'NOTA DE VENTA'!$G$11</f>
        <v>46156</v>
      </c>
      <c r="E2" t="str">
        <f>'NOTA DE VENTA'!$C$10</f>
        <v>MAXIMILIANO MORALES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2026-05-07T19:57:33Z</cp:lastPrinted>
  <dcterms:created xsi:type="dcterms:W3CDTF">2013-03-18T13:35:42Z</dcterms:created>
  <dcterms:modified xsi:type="dcterms:W3CDTF">2026-05-07T20:20:36Z</dcterms:modified>
</cp:coreProperties>
</file>