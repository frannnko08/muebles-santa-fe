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6\"/>
    </mc:Choice>
  </mc:AlternateContent>
  <xr:revisionPtr revIDLastSave="0" documentId="13_ncr:1_{DFB71998-FE50-46A6-810F-31199E5818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4" i="1" l="1"/>
  <c r="J32" i="1"/>
  <c r="J29" i="1"/>
  <c r="L22" i="1"/>
  <c r="M22" i="1"/>
  <c r="N22" i="1"/>
  <c r="B23" i="1"/>
  <c r="O22" i="1" l="1"/>
  <c r="P22" i="1" s="1"/>
  <c r="S22" i="1"/>
  <c r="M21" i="1"/>
  <c r="L21" i="1"/>
  <c r="S21" i="1" l="1"/>
  <c r="N21" i="1" l="1"/>
  <c r="O21" i="1" l="1"/>
  <c r="P21" i="1" s="1"/>
  <c r="P26" i="1" s="1"/>
  <c r="S27" i="1"/>
  <c r="M26" i="1"/>
  <c r="T25" i="1"/>
  <c r="S28" i="1" l="1"/>
  <c r="S29" i="1" s="1"/>
  <c r="S30" i="1" s="1"/>
  <c r="V33" i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Q21" i="1"/>
  <c r="O40" i="1"/>
  <c r="E15" i="3"/>
  <c r="R22" i="1" l="1"/>
  <c r="H22" i="1"/>
  <c r="R21" i="1"/>
  <c r="H21" i="1" s="1"/>
  <c r="F15" i="3"/>
  <c r="H25" i="1" l="1"/>
  <c r="H26" i="1" l="1"/>
  <c r="H27" i="1" s="1"/>
  <c r="D11" i="3"/>
  <c r="X9" i="3" s="1"/>
  <c r="X15" i="3" s="1"/>
  <c r="X12" i="3" l="1"/>
  <c r="D13" i="3"/>
  <c r="M42" i="3"/>
  <c r="M46" i="3" s="1"/>
  <c r="M49" i="3" s="1"/>
  <c r="X14" i="3"/>
  <c r="X11" i="3"/>
  <c r="X13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<sst xmlns="http://schemas.openxmlformats.org/spreadsheetml/2006/main" count="234" uniqueCount="177">
  <si>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</si>
  <si>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</si>
  <si>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</si>
  <si>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</si>
  <si>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</si>
  <si>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</si>
  <si>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</si>
  <si>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</si>
  <si>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</si>
  <si>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</si>
  <si>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</si>
  <si>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</si>
  <si>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</si>
  <si>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</si>
  <si>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</si>
  <si>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</si>
  <si>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</si>
  <si>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</si>
  <si>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</si>
  <si>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</si>
  <si>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</si>
  <si>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</si>
  <si>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</si>
  <si>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</si>
  <si>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</si>
  <si>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</si>
  <si>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</si>
  <si>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</si>
  <si>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</si>
  <si>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</si>
  <si>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</si>
  <si>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</si>
  <si>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</si>
  <si>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</si>
  <si>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</si>
  <si>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</si>
  <si>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</si>
  <si>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</si>
  <si>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</si>
  <si>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</si>
  <si>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</si>
  <si>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</si>
  <si>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</si>
  <si>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</si>
  <si>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</si>
  <si>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</si>
  <si>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</si>
  <si>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</si>
  <si>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</si>
  <si>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</si>
  <si>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</si>
  <si>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</si>
  <si>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</si>
  <si>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</si>
  <si>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</si>
  <si>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</si>
  <si>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</si>
  <si>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</si>
  <si>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</si>
  <si>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</si>
  <si>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</si>
  <si>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</si>
  <si>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</si>
  <si>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</si>
  <si>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</si>
  <si>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</si>
  <si>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</si>
  <si>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</si>
  <si>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</si>
  <si>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</si>
  <si>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</si>
  <si>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</si>
  <si>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</si>
  <si>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</si>
  <si>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</si>
  <si>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</si>
  <si>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</si>
  <si>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</si>
  <si>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</si>
  <si>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</si>
  <si>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</si>
  <si>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</si>
  <si>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</si>
  <si>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</si>
  <si>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</si>
  <si>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</si>
  <si>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</si>
  <si>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</si>
  <si>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</si>
  <si>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</si>
  <si>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</si>
  <si>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</si>
  <si>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</si>
  <si>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</si>
  <si>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</si>
  <si>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</si>
  <si>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</si>
  <si>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</si>
  <si>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</si>
  <si>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</si>
  <si>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</si>
  <si>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</si>
  <si>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</si>
  <si>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</si>
  <si>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</si>
  <si>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</si>
  <si>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</si>
  <si>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</si>
  <si>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</si>
  <si>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</si>
  <si>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</si>
  <si>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</si>
  <si>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</si>
  <si>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</si>
  <si>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</si>
  <si>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</si>
  <si>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</si>
  <si>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</si>
  <si>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</si>
  <si>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</si>
  <si>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</si>
  <si>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</si>
  <si>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</si>
  <si>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</si>
  <si>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</si>
  <si>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</si>
  <si>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</si>
  <si>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</si>
  <si>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</si>
  <si>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</si>
  <si>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</si>
  <si>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</si>
  <si>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</si>
  <si>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</si>
  <si>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</si>
  <si>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</si>
  <si>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</si>
  <si>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</si>
  <si>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</si>
  <si>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</si>
  <si>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</si>
  <si>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</si>
  <si>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</si>
  <si>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</si>
  <si>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</si>
  <si>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</si>
  <si>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</si>
  <si>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</si>
  <si>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</si>
  <si>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</si>
  <si>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</si>
  <si>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</si>
  <si>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</si>
  <si>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</si>
  <si>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</si>
  <si>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</si>
  <si>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</si>
  <si>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</si>
  <si>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</si>
  <si>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</si>
  <si>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</si>
  <si>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</si>
  <si>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</si>
  <si>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</si>
  <si>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</si>
  <si>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</si>
  <si>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</si>
  <si>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</si>
  <si>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</si>
  <si>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 xml:space="preserve">ORDEN DE COMPRA </t>
  </si>
  <si>
    <t>LAMINA 122X306</t>
  </si>
  <si>
    <t>N° 12127</t>
  </si>
  <si>
    <t>5 DIAS HABILES</t>
  </si>
  <si>
    <t>CUB MESA 90° 2L FALDON 7CMS</t>
  </si>
  <si>
    <t>GLACIAL WHITE 22191 SF</t>
  </si>
  <si>
    <t>14 laminas</t>
  </si>
  <si>
    <t>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</si>
</sst>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42" fontId="21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25913</xdr:rowOff>
    </xdr:from>
    <xdr:to>
      <xdr:col>5</xdr:col>
      <xdr:colOff>1728839</xdr:colOff>
      <xdr:row>27</xdr:row>
      <xdr:rowOff>32775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5269784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</a:t>
          </a:r>
          <a:r>
            <a:rPr lang="es-CL" sz="1200" b="1" baseline="0"/>
            <a:t> APORTA LAMINAS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zoomScale="80" zoomScaleNormal="80" workbookViewId="0">
      <selection activeCell="J21" sqref="J2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166</v>
      </c>
      <c r="D10" s="243"/>
      <c r="E10" s="243"/>
      <c r="F10" s="244" t="s">
        <v>0</v>
      </c>
      <c r="G10" s="276">
        <v>46160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F13" t="s">
        <v>169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168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5" t="s">
        <v>164</v>
      </c>
      <c r="G17" s="335"/>
      <c r="H17" s="336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64"/>
      <c r="J19" s="264"/>
      <c r="K19" s="5"/>
      <c r="L19" s="250"/>
      <c r="M19" s="14">
        <v>0.08</v>
      </c>
      <c r="N19" s="14">
        <v>0.14000000000000001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 t="s">
        <v>176</v>
      </c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21975.166026209481</v>
      </c>
      <c r="R20" s="258">
        <v>10000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9</v>
      </c>
      <c r="C21" s="330" t="s">
        <v>173</v>
      </c>
      <c r="D21" s="332">
        <v>3</v>
      </c>
      <c r="E21" s="332">
        <v>0.33600000000000002</v>
      </c>
      <c r="F21" s="330" t="s">
        <v>174</v>
      </c>
      <c r="G21" s="331">
        <v>42217</v>
      </c>
      <c r="H21" s="331">
        <f t="shared" ref="H21" si="1">G21*B21</f>
        <v>379953</v>
      </c>
      <c r="I21" s="320"/>
      <c r="J21" s="265">
        <v>305</v>
      </c>
      <c r="K21" s="47"/>
      <c r="L21" s="47">
        <f>B21</f>
        <v>9</v>
      </c>
      <c r="M21" s="39">
        <f>D21+M$19</f>
        <v>3.08</v>
      </c>
      <c r="N21" s="39">
        <f t="shared" ref="N21" si="2">E21+$N$19</f>
        <v>0.47600000000000003</v>
      </c>
      <c r="O21" s="261">
        <f t="shared" ref="O21" si="3">M21*N21</f>
        <v>1.46608</v>
      </c>
      <c r="P21" s="259">
        <f t="shared" ref="P21" si="4">O21*L21</f>
        <v>13.19472</v>
      </c>
      <c r="Q21" s="252">
        <f t="shared" ref="Q21" si="5">Q$20*O21</f>
        <v>32217.351407705199</v>
      </c>
      <c r="R21" s="319">
        <f t="shared" ref="R21" si="6">Q21+R$20</f>
        <v>42217.351407705195</v>
      </c>
      <c r="S21" s="297">
        <f t="shared" ref="S21" si="7">L21*M21</f>
        <v>27.72</v>
      </c>
      <c r="T21" s="46"/>
      <c r="U21" s="9"/>
      <c r="X21" s="4"/>
    </row>
    <row r="22" spans="1:25" ht="17.399999999999999" x14ac:dyDescent="0.3">
      <c r="B22" s="330">
        <v>18</v>
      </c>
      <c r="C22" s="330" t="s">
        <v>173</v>
      </c>
      <c r="D22" s="332">
        <v>2.36</v>
      </c>
      <c r="E22" s="332">
        <v>0.33600000000000002</v>
      </c>
      <c r="F22" s="330" t="s">
        <v>174</v>
      </c>
      <c r="G22" s="331">
        <v>35523</v>
      </c>
      <c r="H22" s="331">
        <f t="shared" ref="H22" si="8">G22*B22</f>
        <v>639414</v>
      </c>
      <c r="I22" s="320"/>
      <c r="J22" s="265">
        <v>305</v>
      </c>
      <c r="K22" s="47"/>
      <c r="L22" s="47">
        <f t="shared" ref="L22" si="9">B22</f>
        <v>18</v>
      </c>
      <c r="M22" s="39">
        <f t="shared" ref="M22" si="10">D22+M$19</f>
        <v>2.44</v>
      </c>
      <c r="N22" s="39">
        <f t="shared" ref="N22" si="11">E22+$N$19</f>
        <v>0.47600000000000003</v>
      </c>
      <c r="O22" s="261">
        <f t="shared" ref="O22" si="12">M22*N22</f>
        <v>1.16144</v>
      </c>
      <c r="P22" s="259">
        <f t="shared" ref="P22" si="13">O22*L22</f>
        <v>20.905920000000002</v>
      </c>
      <c r="Q22" s="252">
        <f t="shared" ref="Q22" si="14">Q$20*O22</f>
        <v>25522.836829480741</v>
      </c>
      <c r="R22" s="319">
        <f t="shared" ref="R22" si="15">Q22+R$20</f>
        <v>35522.836829480744</v>
      </c>
      <c r="S22" s="297">
        <f t="shared" ref="S22" si="16">L22*M22</f>
        <v>43.92</v>
      </c>
      <c r="T22" s="46"/>
      <c r="U22" s="9"/>
      <c r="X22" s="4"/>
    </row>
    <row r="23" spans="1:25" ht="16.2" customHeight="1" x14ac:dyDescent="0.3">
      <c r="B23" s="285">
        <f>SUM(B21:B22)</f>
        <v>27</v>
      </c>
      <c r="C23" s="285"/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6.2" customHeight="1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1019367</v>
      </c>
      <c r="I25" s="322"/>
      <c r="J25" s="265"/>
      <c r="K25" s="47"/>
      <c r="L25" s="47"/>
      <c r="M25" s="39"/>
      <c r="N25" s="39"/>
      <c r="O25" s="261"/>
      <c r="P25" s="259"/>
      <c r="Q25" s="252"/>
      <c r="R25" s="258"/>
      <c r="S25" s="297"/>
      <c r="T25" s="46">
        <f>SUM(T21:T24)</f>
        <v>0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193679.73</v>
      </c>
      <c r="I26" s="322"/>
      <c r="J26" s="265"/>
      <c r="K26" s="47"/>
      <c r="L26" s="47"/>
      <c r="M26" s="39">
        <f>SUM(M21:M25)</f>
        <v>5.52</v>
      </c>
      <c r="N26" s="12"/>
      <c r="O26" s="12"/>
      <c r="P26" s="253">
        <f>SUM(P21:P24)</f>
        <v>34.100639999999999</v>
      </c>
      <c r="Q26" s="14"/>
      <c r="R26" s="12"/>
      <c r="S26" s="239"/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1213046.73</v>
      </c>
      <c r="I27" s="322"/>
      <c r="J27" s="333">
        <v>1510776</v>
      </c>
      <c r="K27" s="47"/>
      <c r="L27" s="47"/>
      <c r="M27" s="39"/>
      <c r="N27" s="12"/>
      <c r="O27" s="12"/>
      <c r="P27" s="253">
        <f>P26</f>
        <v>34.100639999999999</v>
      </c>
      <c r="Q27" s="14"/>
      <c r="R27" s="12"/>
      <c r="S27" s="239">
        <f>SUM(S21:S26)</f>
        <v>71.64</v>
      </c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>
        <v>324000</v>
      </c>
      <c r="K28" s="47"/>
      <c r="L28" s="47"/>
      <c r="M28" s="14"/>
      <c r="N28" s="12"/>
      <c r="O28" s="12"/>
      <c r="P28" s="39">
        <f>P27*20%</f>
        <v>6.8201280000000004</v>
      </c>
      <c r="Q28" s="39" t="s">
        <v>130</v>
      </c>
      <c r="R28" s="42"/>
      <c r="S28" s="240">
        <f>S27+T25</f>
        <v>71.64</v>
      </c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333">
        <f>J27-J28</f>
        <v>1186776</v>
      </c>
      <c r="K29" s="47"/>
      <c r="L29" s="47"/>
      <c r="M29" s="14"/>
      <c r="N29" s="12"/>
      <c r="O29" s="12"/>
      <c r="P29" s="46">
        <f>P27+P28</f>
        <v>40.920767999999995</v>
      </c>
      <c r="Q29" s="14"/>
      <c r="R29" s="14"/>
      <c r="S29" s="238">
        <f>S28*20%</f>
        <v>14.328000000000001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333"/>
      <c r="K30" s="47"/>
      <c r="L30" s="47"/>
      <c r="M30" s="14"/>
      <c r="N30" s="14"/>
      <c r="O30" s="14"/>
      <c r="P30" s="14"/>
      <c r="Q30" s="14"/>
      <c r="R30" s="14"/>
      <c r="S30" s="240">
        <f>S28+S29</f>
        <v>85.968000000000004</v>
      </c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40.920767999999995</v>
      </c>
      <c r="N31" s="12">
        <v>2000</v>
      </c>
      <c r="O31" s="12">
        <f t="shared" ref="O31:O36" si="17">M31*N31</f>
        <v>81841.535999999993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334">
        <f>J28+O38</f>
        <v>1073367.2256</v>
      </c>
      <c r="K32" s="47"/>
      <c r="L32" s="47"/>
      <c r="M32" s="249">
        <v>11</v>
      </c>
      <c r="N32" s="12">
        <v>25000</v>
      </c>
      <c r="O32" s="12">
        <f t="shared" si="17"/>
        <v>275000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>
        <v>324000</v>
      </c>
      <c r="K33" s="232"/>
      <c r="L33" s="250"/>
      <c r="M33" s="14"/>
      <c r="N33" s="250">
        <v>38770</v>
      </c>
      <c r="O33" s="12">
        <f t="shared" si="17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143</v>
      </c>
      <c r="C34"/>
      <c r="D34"/>
      <c r="E34"/>
      <c r="F34"/>
      <c r="J34" s="262">
        <f>J32+J33</f>
        <v>1397367.2256</v>
      </c>
      <c r="K34" s="232"/>
      <c r="L34" s="250"/>
      <c r="M34" s="14"/>
      <c r="N34" s="250">
        <v>24000</v>
      </c>
      <c r="O34" s="12">
        <f t="shared" si="17"/>
        <v>0</v>
      </c>
      <c r="P34" s="14" t="s">
        <v>170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15700</v>
      </c>
      <c r="O35" s="12">
        <f t="shared" si="17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1000</v>
      </c>
      <c r="O36" s="12">
        <f t="shared" si="17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356841.53599999996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O37*2.1</f>
        <v>749367.22560000001</v>
      </c>
      <c r="P38" s="14" t="s">
        <v>140</v>
      </c>
      <c r="Q38" s="14"/>
      <c r="R38" s="40">
        <f>P29/R37</f>
        <v>11.033425366695425</v>
      </c>
      <c r="S38"/>
      <c r="T38" s="257"/>
    </row>
    <row r="39" spans="2:24" s="230" customFormat="1" ht="17.399999999999999" x14ac:dyDescent="0.35">
      <c r="G39"/>
      <c r="H39" s="260"/>
      <c r="I39" s="260"/>
      <c r="J39" s="260" t="s">
        <v>175</v>
      </c>
      <c r="L39" s="250"/>
      <c r="M39" s="14"/>
      <c r="N39" s="12"/>
      <c r="O39" s="12">
        <f>O38/P27</f>
        <v>21975.166026209481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L40" s="250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J41" s="260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46160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98</v>
      </c>
      <c r="I7" s="342"/>
      <c r="J7" s="342"/>
      <c r="K7" s="343"/>
      <c r="N7" s="75"/>
      <c r="O7" s="340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12127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0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-63558.702633454115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1019367</v>
      </c>
      <c r="E11" s="132">
        <f>D11*0.19</f>
        <v>193679.73</v>
      </c>
      <c r="F11" s="131">
        <f>E11+D11</f>
        <v>1213046.73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42431.297366545885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386675.62678743957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24431.297366545885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632691.37321256043</v>
      </c>
      <c r="E13" s="221">
        <f>(D11/D12)-1</f>
        <v>1.6362328768147543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15431.297366545885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-23568.702633454115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638014.78419927531</v>
      </c>
      <c r="F15" s="216">
        <f>E15-D12</f>
        <v>251339.15741183574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-23568.702633454115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16431.297366545885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275000</v>
      </c>
      <c r="E19" s="123">
        <f>D19*0.19</f>
        <v>52250</v>
      </c>
      <c r="F19" s="120">
        <f>SUM(D19:E19)</f>
        <v>327250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81841.535999999993</v>
      </c>
      <c r="E20" s="121">
        <f>D20*0.19</f>
        <v>15549.891839999998</v>
      </c>
      <c r="F20" s="120">
        <f>SUM(D20:E20)</f>
        <v>97391.427839999989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356841.53599999996</v>
      </c>
      <c r="E21" s="116">
        <f>SUM(E18:E20)</f>
        <v>67799.891839999997</v>
      </c>
      <c r="F21" s="115">
        <f>SUM(F18:F20)</f>
        <v>424641.42784000002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125879.83816000001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1019367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356841.53599999996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632691.37321256043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632691.37321256043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2026-05-07T16:40:36Z</cp:lastPrinted>
  <dcterms:created xsi:type="dcterms:W3CDTF">2013-03-18T13:35:42Z</dcterms:created>
  <dcterms:modified xsi:type="dcterms:W3CDTF">2026-05-18T20:32:00Z</dcterms:modified>
</cp:coreProperties>
</file>