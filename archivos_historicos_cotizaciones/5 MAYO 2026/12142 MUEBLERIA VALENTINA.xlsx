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0FC1C001-48F2-431C-A2A3-9CF3A7F6E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7" i="1"/>
  <c r="H26" i="1"/>
  <c r="N27" i="1"/>
  <c r="O27" i="1" s="1"/>
  <c r="P27" i="1" s="1"/>
  <c r="N26" i="1"/>
  <c r="O26" i="1" s="1"/>
  <c r="P26" i="1" s="1"/>
  <c r="M27" i="1"/>
  <c r="S27" i="1"/>
  <c r="M26" i="1"/>
  <c r="S26" i="1" s="1"/>
  <c r="L27" i="1"/>
  <c r="L26" i="1"/>
  <c r="H24" i="1"/>
  <c r="H25" i="1"/>
  <c r="M24" i="1"/>
  <c r="N24" i="1"/>
  <c r="M25" i="1"/>
  <c r="N25" i="1"/>
  <c r="O24" i="1" l="1"/>
  <c r="O25" i="1"/>
  <c r="S25" i="1" l="1"/>
  <c r="S24" i="1"/>
  <c r="H23" i="1"/>
  <c r="M23" i="1"/>
  <c r="N23" i="1"/>
  <c r="M22" i="1"/>
  <c r="N22" i="1"/>
  <c r="P24" i="1" l="1"/>
  <c r="P25" i="1"/>
  <c r="S22" i="1"/>
  <c r="O23" i="1"/>
  <c r="P23" i="1" s="1"/>
  <c r="S23" i="1"/>
  <c r="O22" i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31" i="1" l="1"/>
  <c r="S21" i="1"/>
  <c r="S32" i="1" s="1"/>
  <c r="T21" i="1"/>
  <c r="T30" i="1" s="1"/>
  <c r="O21" i="1"/>
  <c r="P21" i="1" s="1"/>
  <c r="P31" i="1" s="1"/>
  <c r="K45" i="1"/>
  <c r="S33" i="1" l="1"/>
  <c r="S34" i="1" s="1"/>
  <c r="S35" i="1" s="1"/>
  <c r="V38" i="1"/>
  <c r="V39" i="1" s="1"/>
  <c r="P32" i="1" l="1"/>
  <c r="N20" i="1"/>
  <c r="L20" i="1"/>
  <c r="P33" i="1" l="1"/>
  <c r="P34" i="1" s="1"/>
  <c r="M36" i="1" s="1"/>
  <c r="O38" i="1"/>
  <c r="R42" i="1"/>
  <c r="R43" i="1" l="1"/>
  <c r="O37" i="1" s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D20" i="3" l="1"/>
  <c r="E20" i="3" s="1"/>
  <c r="E21" i="3" s="1"/>
  <c r="O44" i="1" l="1"/>
  <c r="Q20" i="1" s="1"/>
  <c r="D21" i="3"/>
  <c r="M43" i="3" s="1"/>
  <c r="D12" i="3" s="1"/>
  <c r="F20" i="3"/>
  <c r="F21" i="3" s="1"/>
  <c r="Q26" i="1" l="1"/>
  <c r="R26" i="1" s="1"/>
  <c r="Q27" i="1"/>
  <c r="R27" i="1" s="1"/>
  <c r="Q23" i="1"/>
  <c r="R23" i="1" s="1"/>
  <c r="Q24" i="1"/>
  <c r="R24" i="1" s="1"/>
  <c r="Q25" i="1"/>
  <c r="R25" i="1" s="1"/>
  <c r="Q22" i="1"/>
  <c r="O45" i="1"/>
  <c r="E15" i="3"/>
  <c r="R22" i="1" l="1"/>
  <c r="H22" i="1"/>
  <c r="Q21" i="1"/>
  <c r="F15" i="3"/>
  <c r="R21" i="1" l="1"/>
  <c r="H21" i="1" l="1"/>
  <c r="H32" i="1" l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<sst xmlns="http://schemas.openxmlformats.org/spreadsheetml/2006/main" count="499" uniqueCount="296">
  <si>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</si>
  <si>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</si>
  <si>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</si>
  <si>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</si>
  <si>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</si>
  <si>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</si>
  <si>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</si>
  <si>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</si>
  <si>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</si>
  <si>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</si>
  <si>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</si>
  <si>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</si>
  <si>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</si>
  <si>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</si>
  <si>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</si>
  <si>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</si>
  <si>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</si>
  <si>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</si>
  <si>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</si>
  <si>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</si>
  <si>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</si>
  <si>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</si>
  <si>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</si>
  <si>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</si>
  <si>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</si>
  <si>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</si>
  <si>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</si>
  <si>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</si>
  <si>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</si>
  <si>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</si>
  <si>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</si>
  <si>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</si>
  <si>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</si>
  <si>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</si>
  <si>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</si>
  <si>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</si>
  <si>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</si>
  <si>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</si>
  <si>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</si>
  <si>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</si>
  <si>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</si>
  <si>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</si>
  <si>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</si>
  <si>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</si>
  <si>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</si>
  <si>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</si>
  <si>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</si>
  <si>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</si>
  <si>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</si>
  <si>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</si>
  <si>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</si>
  <si>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</si>
  <si>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</si>
  <si>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</si>
  <si>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</si>
  <si>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</si>
  <si>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</si>
  <si>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</si>
  <si>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</si>
  <si>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</si>
  <si>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</si>
  <si>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</si>
  <si>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</si>
  <si>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</si>
  <si>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</si>
  <si>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</si>
  <si>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</si>
  <si>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</si>
  <si>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</si>
  <si>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</si>
  <si>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</si>
  <si>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</si>
  <si>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</si>
  <si>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</si>
  <si>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</si>
  <si>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</si>
  <si>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</si>
  <si>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</si>
  <si>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</si>
  <si>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</si>
  <si>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</si>
  <si>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</si>
  <si>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</si>
  <si>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</si>
  <si>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</si>
  <si>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</si>
  <si>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</si>
  <si>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</si>
  <si>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</si>
  <si>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</si>
  <si>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</si>
  <si>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</si>
  <si>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</si>
  <si>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</si>
  <si>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</si>
  <si>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</si>
  <si>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</si>
  <si>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</si>
  <si>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</si>
  <si>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</si>
  <si>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</si>
  <si>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</si>
  <si>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</si>
  <si>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</si>
  <si>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</si>
  <si>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</si>
  <si>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</si>
  <si>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</si>
  <si>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</si>
  <si>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</si>
  <si>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</si>
  <si>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</si>
  <si>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</si>
  <si>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</si>
  <si>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</si>
  <si>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</si>
  <si>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</si>
  <si>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</si>
  <si>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</si>
  <si>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</si>
  <si>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</si>
  <si>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</si>
  <si>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</si>
  <si>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</si>
  <si>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</si>
  <si>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</si>
  <si>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</si>
  <si>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</si>
  <si>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</si>
  <si>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</si>
  <si>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</si>
  <si>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</si>
  <si>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</si>
  <si>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</si>
  <si>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</si>
  <si>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</si>
  <si>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</si>
  <si>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</si>
  <si>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</si>
  <si>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</si>
  <si>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</si>
  <si>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</si>
  <si>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</si>
  <si>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</si>
  <si>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</si>
  <si>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</si>
  <si>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</si>
  <si>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</si>
  <si>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</si>
  <si>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</si>
  <si>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</si>
  <si>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</si>
  <si>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</si>
  <si>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</si>
  <si>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</si>
  <si>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</si>
  <si>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</si>
  <si>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</si>
  <si>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</si>
  <si>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</si>
  <si>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</si>
  <si>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</si>
  <si>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</si>
  <si>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</si>
  <si>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</si>
  <si>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</si>
  <si>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</si>
  <si>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</si>
  <si>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</si>
  <si>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</si>
  <si>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</si>
  <si>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</si>
  <si>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</si>
  <si>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</si>
  <si>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</si>
  <si>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</si>
  <si>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</si>
  <si>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</si>
  <si>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</si>
  <si>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</si>
  <si>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</si>
  <si>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</si>
  <si>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</si>
  <si>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</si>
  <si>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</si>
  <si>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</si>
  <si>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</si>
  <si>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</si>
  <si>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</si>
  <si>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</si>
  <si>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</si>
  <si>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</si>
  <si>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</si>
  <si>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</si>
  <si>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</si>
  <si>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</si>
  <si>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</si>
  <si>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</si>
  <si>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</si>
  <si>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</si>
  <si>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</si>
  <si>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</si>
  <si>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</si>
  <si>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</si>
  <si>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</si>
  <si>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</si>
  <si>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</si>
  <si>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</si>
  <si>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</si>
  <si>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</si>
  <si>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</si>
  <si>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</si>
  <si>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</si>
  <si>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</si>
  <si>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</si>
  <si>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</si>
  <si>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</si>
  <si>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</si>
  <si>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</si>
  <si>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</si>
  <si>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</si>
  <si>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</si>
  <si>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</si>
  <si>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</si>
  <si>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</si>
  <si>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</si>
  <si>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</si>
  <si>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</si>
  <si>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</si>
  <si>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</si>
  <si>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</si>
  <si>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</si>
  <si>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</si>
  <si>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</si>
  <si>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</si>
  <si>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</si>
  <si>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</si>
  <si>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</si>
  <si>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</si>
  <si>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</si>
  <si>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</si>
  <si>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</si>
  <si>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</si>
  <si>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</si>
  <si>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</si>
  <si>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</si>
  <si>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</si>
  <si>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</si>
  <si>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</si>
  <si>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</si>
  <si>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</si>
  <si>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</si>
  <si>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</si>
  <si>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</si>
  <si>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</si>
  <si>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</si>
  <si>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</si>
  <si>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</si>
  <si>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</si>
  <si>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</si>
  <si>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</si>
  <si>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</si>
  <si>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</si>
  <si>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</si>
  <si>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</si>
  <si>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</si>
  <si>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</si>
  <si>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</si>
  <si>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</si>
  <si>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</si>
  <si>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</si>
  <si>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</si>
  <si>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</si>
  <si>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</si>
  <si>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</si>
  <si>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</si>
  <si>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</si>
  <si>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</si>
  <si>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</si>
  <si>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</si>
  <si>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</si>
  <si>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</si>
  <si>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</si>
  <si>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</si>
  <si>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</si>
  <si>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</si>
  <si>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</si>
  <si>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</si>
  <si>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N° 12142</t>
  </si>
  <si>
    <t>MUEBLERIA VALENTINA</t>
  </si>
  <si>
    <t>MANUEL VALENZUELA</t>
  </si>
  <si>
    <t>+56 9 6115 5758</t>
  </si>
  <si>
    <t>RANCAGUA</t>
  </si>
  <si>
    <t>SI</t>
  </si>
  <si>
    <t>ROBLE LINEAL  1467 MT</t>
  </si>
  <si>
    <t>VAINILLA 2109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</si>
</sst>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153629</xdr:rowOff>
    </xdr:from>
    <xdr:to>
      <xdr:col>5</xdr:col>
      <xdr:colOff>1736459</xdr:colOff>
      <xdr:row>31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PUERTAS SE ENTREGAN ENCHAPADAS CON TAPACANTO PVC 0,45MM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384052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zoomScale="93" zoomScaleNormal="93" workbookViewId="0">
      <selection activeCell="K27" sqref="K27"/>
    </sheetView>
  </sheetViews>
  <sheetFormatPr baseColWidth="10" defaultRowHeight="14.4" x14ac:dyDescent="0.3"/>
  <cols>
    <col min="1" max="1" width="6" customWidth="1"/>
    <col min="2" max="2" width="10.5546875" customWidth="1"/>
    <col min="3" max="3" width="25.218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 s="1">
        <v>46157</v>
      </c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290</v>
      </c>
      <c r="F13" s="29" t="s">
        <v>134</v>
      </c>
      <c r="G13" s="422" t="s">
        <v>293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292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O44</f>
        <v>110414.36893203884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1">
        <v>1</v>
      </c>
      <c r="C21" s="432" t="s">
        <v>258</v>
      </c>
      <c r="D21" s="433">
        <v>0.46</v>
      </c>
      <c r="E21" s="433">
        <v>0.83</v>
      </c>
      <c r="F21" s="431" t="s">
        <v>294</v>
      </c>
      <c r="G21" s="434">
        <v>48269</v>
      </c>
      <c r="H21" s="434">
        <f>G21*B21</f>
        <v>48269</v>
      </c>
      <c r="I21" s="305"/>
      <c r="J21" s="264"/>
      <c r="K21" s="47"/>
      <c r="L21" s="47"/>
      <c r="M21" s="39">
        <f>D21+M$19</f>
        <v>0.51</v>
      </c>
      <c r="N21" s="39">
        <f>E21+$N$19</f>
        <v>0.83</v>
      </c>
      <c r="O21" s="260">
        <f t="shared" ref="O21" si="0">M21*N21</f>
        <v>0.42330000000000001</v>
      </c>
      <c r="P21" s="258">
        <f t="shared" ref="P21" si="1">O21*L21</f>
        <v>0</v>
      </c>
      <c r="Q21" s="251">
        <f t="shared" ref="Q21" si="2">Q$20*O21</f>
        <v>46738.402368932038</v>
      </c>
      <c r="R21" s="304">
        <f t="shared" ref="R21" si="3">Q21+R$20</f>
        <v>49738.402368932038</v>
      </c>
      <c r="S21" s="290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431">
        <v>2</v>
      </c>
      <c r="C22" s="432" t="s">
        <v>258</v>
      </c>
      <c r="D22" s="433">
        <v>0.46</v>
      </c>
      <c r="E22" s="433">
        <v>0.65500000000000003</v>
      </c>
      <c r="F22" s="431" t="s">
        <v>294</v>
      </c>
      <c r="G22" s="434">
        <v>38724</v>
      </c>
      <c r="H22" s="434">
        <f t="shared" ref="H22:H27" si="4">G22*B22</f>
        <v>77448</v>
      </c>
      <c r="I22" s="305"/>
      <c r="J22" s="264"/>
      <c r="K22" s="47"/>
      <c r="L22" s="47"/>
      <c r="M22" s="39">
        <f t="shared" ref="M22" si="5">D22+M$19</f>
        <v>0.51</v>
      </c>
      <c r="N22" s="39">
        <f t="shared" ref="N22" si="6">E22+$N$19</f>
        <v>0.65500000000000003</v>
      </c>
      <c r="O22" s="260">
        <f t="shared" ref="O22" si="7">M22*N22</f>
        <v>0.33405000000000001</v>
      </c>
      <c r="P22" s="258">
        <f t="shared" ref="P22" si="8">O22*L22</f>
        <v>0</v>
      </c>
      <c r="Q22" s="251">
        <f t="shared" ref="Q22" si="9">Q$20*O22</f>
        <v>36883.919941747576</v>
      </c>
      <c r="R22" s="304">
        <f t="shared" ref="R22" si="10">Q22+R$20</f>
        <v>39883.919941747576</v>
      </c>
      <c r="S22" s="290">
        <f t="shared" ref="S22" si="11">M22*L22</f>
        <v>0</v>
      </c>
      <c r="T22" s="46"/>
      <c r="U22" s="9"/>
      <c r="X22" s="4"/>
    </row>
    <row r="23" spans="2:25" ht="17.399999999999999" x14ac:dyDescent="0.3">
      <c r="B23" s="431">
        <v>1</v>
      </c>
      <c r="C23" s="432" t="s">
        <v>258</v>
      </c>
      <c r="D23" s="433">
        <v>0.46</v>
      </c>
      <c r="E23" s="433">
        <v>0.65</v>
      </c>
      <c r="F23" s="431" t="s">
        <v>294</v>
      </c>
      <c r="G23" s="434">
        <v>38452</v>
      </c>
      <c r="H23" s="434">
        <f t="shared" si="4"/>
        <v>38452</v>
      </c>
      <c r="I23" s="305"/>
      <c r="J23" s="264"/>
      <c r="K23" s="47"/>
      <c r="L23" s="47"/>
      <c r="M23" s="39">
        <f t="shared" ref="M23" si="12">D23+M$19</f>
        <v>0.51</v>
      </c>
      <c r="N23" s="39">
        <f t="shared" ref="N23" si="13">E23+$N$19</f>
        <v>0.65</v>
      </c>
      <c r="O23" s="260">
        <f t="shared" ref="O23" si="14">M23*N23</f>
        <v>0.33150000000000002</v>
      </c>
      <c r="P23" s="258">
        <f t="shared" ref="P23" si="15">O23*L23</f>
        <v>0</v>
      </c>
      <c r="Q23" s="251">
        <f t="shared" ref="Q23" si="16">Q$20*O23</f>
        <v>36602.363300970879</v>
      </c>
      <c r="R23" s="304">
        <f t="shared" ref="R23" si="17">Q23+R$20</f>
        <v>39602.363300970879</v>
      </c>
      <c r="S23" s="290">
        <f t="shared" ref="S23" si="18">M23*L23</f>
        <v>0</v>
      </c>
      <c r="T23" s="46"/>
      <c r="U23" s="9"/>
      <c r="X23" s="4"/>
    </row>
    <row r="24" spans="2:25" ht="17.399999999999999" x14ac:dyDescent="0.3">
      <c r="B24" s="431">
        <v>2</v>
      </c>
      <c r="C24" s="432" t="s">
        <v>258</v>
      </c>
      <c r="D24" s="433">
        <v>0.54</v>
      </c>
      <c r="E24" s="433">
        <v>0.65500000000000003</v>
      </c>
      <c r="F24" s="431" t="s">
        <v>294</v>
      </c>
      <c r="G24" s="434">
        <v>44328</v>
      </c>
      <c r="H24" s="434">
        <f t="shared" si="4"/>
        <v>88656</v>
      </c>
      <c r="I24" s="305"/>
      <c r="J24" s="264"/>
      <c r="K24" s="47"/>
      <c r="L24" s="47"/>
      <c r="M24" s="39">
        <f t="shared" ref="M24:M27" si="19">D24+M$19</f>
        <v>0.59000000000000008</v>
      </c>
      <c r="N24" s="39">
        <f t="shared" ref="N24:N27" si="20">E24+$N$19</f>
        <v>0.65500000000000003</v>
      </c>
      <c r="O24" s="260">
        <f t="shared" ref="O24:O27" si="21">M24*N24</f>
        <v>0.38645000000000007</v>
      </c>
      <c r="P24" s="258">
        <f t="shared" ref="P24:P27" si="22">O24*L24</f>
        <v>0</v>
      </c>
      <c r="Q24" s="251">
        <f t="shared" ref="Q24:Q27" si="23">Q$20*O24</f>
        <v>42669.632873786417</v>
      </c>
      <c r="R24" s="304">
        <f t="shared" ref="R24:R27" si="24">Q24+R$20</f>
        <v>45669.632873786417</v>
      </c>
      <c r="S24" s="290">
        <f t="shared" ref="S24:S27" si="25">M24*L24</f>
        <v>0</v>
      </c>
      <c r="T24" s="46"/>
      <c r="U24" s="9"/>
      <c r="X24" s="4"/>
    </row>
    <row r="25" spans="2:25" ht="17.399999999999999" x14ac:dyDescent="0.3">
      <c r="B25" s="431">
        <v>1</v>
      </c>
      <c r="C25" s="432" t="s">
        <v>258</v>
      </c>
      <c r="D25" s="433">
        <v>0.54</v>
      </c>
      <c r="E25" s="433">
        <v>0.65</v>
      </c>
      <c r="F25" s="431" t="s">
        <v>294</v>
      </c>
      <c r="G25" s="434">
        <v>44013</v>
      </c>
      <c r="H25" s="434">
        <f t="shared" si="4"/>
        <v>44013</v>
      </c>
      <c r="I25" s="305"/>
      <c r="J25" s="264"/>
      <c r="K25" s="47"/>
      <c r="L25" s="47"/>
      <c r="M25" s="39">
        <f t="shared" si="19"/>
        <v>0.59000000000000008</v>
      </c>
      <c r="N25" s="39">
        <f t="shared" si="20"/>
        <v>0.65</v>
      </c>
      <c r="O25" s="260">
        <f t="shared" si="21"/>
        <v>0.38350000000000006</v>
      </c>
      <c r="P25" s="258">
        <f t="shared" si="22"/>
        <v>0</v>
      </c>
      <c r="Q25" s="251">
        <f t="shared" si="23"/>
        <v>42343.9104854369</v>
      </c>
      <c r="R25" s="304">
        <f t="shared" si="24"/>
        <v>45343.9104854369</v>
      </c>
      <c r="S25" s="290">
        <f t="shared" si="25"/>
        <v>0</v>
      </c>
      <c r="T25" s="46"/>
      <c r="U25" s="9"/>
      <c r="X25" s="4"/>
    </row>
    <row r="26" spans="2:25" ht="17.399999999999999" x14ac:dyDescent="0.3">
      <c r="B26" s="431">
        <v>1</v>
      </c>
      <c r="C26" s="432" t="s">
        <v>258</v>
      </c>
      <c r="D26" s="433">
        <v>1.05</v>
      </c>
      <c r="E26" s="433">
        <v>0.65</v>
      </c>
      <c r="F26" s="431" t="s">
        <v>295</v>
      </c>
      <c r="G26" s="434">
        <v>81946</v>
      </c>
      <c r="H26" s="434">
        <f t="shared" si="4"/>
        <v>81946</v>
      </c>
      <c r="I26" s="305"/>
      <c r="J26" s="264"/>
      <c r="K26" s="47"/>
      <c r="L26" s="47">
        <f t="shared" ref="L26:L27" si="26">B26</f>
        <v>1</v>
      </c>
      <c r="M26" s="39">
        <f t="shared" si="19"/>
        <v>1.1000000000000001</v>
      </c>
      <c r="N26" s="39">
        <f t="shared" si="20"/>
        <v>0.65</v>
      </c>
      <c r="O26" s="260">
        <f t="shared" si="21"/>
        <v>0.71500000000000008</v>
      </c>
      <c r="P26" s="258">
        <f t="shared" si="22"/>
        <v>0.71500000000000008</v>
      </c>
      <c r="Q26" s="251">
        <f t="shared" si="23"/>
        <v>78946.273786407779</v>
      </c>
      <c r="R26" s="304">
        <f t="shared" si="24"/>
        <v>81946.273786407779</v>
      </c>
      <c r="S26" s="290">
        <f t="shared" si="25"/>
        <v>1.1000000000000001</v>
      </c>
      <c r="T26" s="46"/>
      <c r="U26" s="9"/>
      <c r="X26" s="4"/>
    </row>
    <row r="27" spans="2:25" ht="17.399999999999999" x14ac:dyDescent="0.3">
      <c r="B27" s="431">
        <v>2</v>
      </c>
      <c r="C27" s="432" t="s">
        <v>258</v>
      </c>
      <c r="D27" s="433">
        <v>0.45</v>
      </c>
      <c r="E27" s="433">
        <v>0.315</v>
      </c>
      <c r="F27" s="431" t="s">
        <v>295</v>
      </c>
      <c r="G27" s="434">
        <v>20390</v>
      </c>
      <c r="H27" s="434">
        <f t="shared" si="4"/>
        <v>40780</v>
      </c>
      <c r="I27" s="305"/>
      <c r="J27" s="264"/>
      <c r="K27" s="47"/>
      <c r="L27" s="47">
        <f t="shared" si="26"/>
        <v>2</v>
      </c>
      <c r="M27" s="39">
        <f t="shared" si="19"/>
        <v>0.5</v>
      </c>
      <c r="N27" s="39">
        <f t="shared" si="20"/>
        <v>0.315</v>
      </c>
      <c r="O27" s="260">
        <f t="shared" si="21"/>
        <v>0.1575</v>
      </c>
      <c r="P27" s="258">
        <f t="shared" si="22"/>
        <v>0.315</v>
      </c>
      <c r="Q27" s="251">
        <f t="shared" si="23"/>
        <v>17390.263106796116</v>
      </c>
      <c r="R27" s="304">
        <f t="shared" si="24"/>
        <v>20390.263106796116</v>
      </c>
      <c r="S27" s="290">
        <f t="shared" si="25"/>
        <v>1</v>
      </c>
      <c r="T27" s="46"/>
      <c r="U27" s="9"/>
      <c r="X27" s="4"/>
    </row>
    <row r="28" spans="2:25" ht="17.399999999999999" x14ac:dyDescent="0.3">
      <c r="B28" s="283"/>
      <c r="C28" s="324"/>
      <c r="D28" s="284"/>
      <c r="E28" s="284"/>
      <c r="F28" s="283"/>
      <c r="G28" s="305"/>
      <c r="H28" s="305"/>
      <c r="I28" s="305"/>
      <c r="J28" s="264"/>
      <c r="K28" s="47"/>
      <c r="L28" s="47"/>
      <c r="M28" s="39"/>
      <c r="N28" s="39"/>
      <c r="O28" s="260"/>
      <c r="P28" s="258"/>
      <c r="Q28" s="251"/>
      <c r="R28" s="304"/>
      <c r="S28" s="290"/>
      <c r="T28" s="46"/>
      <c r="U28" s="9"/>
      <c r="X28" s="4"/>
    </row>
    <row r="29" spans="2:25" ht="18" thickBot="1" x14ac:dyDescent="0.35">
      <c r="B29" s="283"/>
      <c r="C29" s="324"/>
      <c r="D29" s="284"/>
      <c r="E29" s="284"/>
      <c r="F29" s="283"/>
      <c r="G29" s="264"/>
      <c r="H29" s="306"/>
      <c r="I29" s="308"/>
      <c r="J29" s="233"/>
      <c r="K29" s="47"/>
      <c r="L29" s="47"/>
      <c r="M29" s="39"/>
      <c r="N29" s="39"/>
      <c r="O29" s="260"/>
      <c r="P29" s="258"/>
      <c r="Q29" s="251"/>
      <c r="R29" s="257"/>
      <c r="S29" s="290"/>
      <c r="T29" s="14"/>
      <c r="U29" s="9"/>
      <c r="X29" s="4"/>
    </row>
    <row r="30" spans="2:25" ht="17.399999999999999" x14ac:dyDescent="0.3">
      <c r="B30" s="283"/>
      <c r="C30" s="283"/>
      <c r="D30" s="284"/>
      <c r="E30" s="284"/>
      <c r="F30" s="283"/>
      <c r="G30" s="309" t="s">
        <v>28</v>
      </c>
      <c r="H30" s="310">
        <f>SUM(H21:H27)</f>
        <v>419564</v>
      </c>
      <c r="I30" s="307"/>
      <c r="J30" s="264"/>
      <c r="K30" s="47"/>
      <c r="L30" s="47"/>
      <c r="M30" s="39"/>
      <c r="N30" s="39"/>
      <c r="O30" s="260"/>
      <c r="P30" s="258"/>
      <c r="Q30" s="251"/>
      <c r="R30" s="257"/>
      <c r="S30" s="290"/>
      <c r="T30" s="46">
        <f>SUM(T21:T21)</f>
        <v>0</v>
      </c>
      <c r="U30" s="9"/>
      <c r="X30" s="4"/>
    </row>
    <row r="31" spans="2:25" ht="17.399999999999999" x14ac:dyDescent="0.3">
      <c r="B31" s="277"/>
      <c r="C31" s="280"/>
      <c r="D31" s="281"/>
      <c r="E31" s="281"/>
      <c r="F31" s="282"/>
      <c r="G31" s="289" t="s">
        <v>51</v>
      </c>
      <c r="H31" s="287"/>
      <c r="I31" s="307"/>
      <c r="J31" s="264"/>
      <c r="K31" s="47"/>
      <c r="L31" s="47"/>
      <c r="M31" s="39">
        <f>SUM(M21:M30)</f>
        <v>4.3100000000000005</v>
      </c>
      <c r="N31" s="12"/>
      <c r="O31" s="12"/>
      <c r="P31" s="252">
        <f>SUM(P21:P29)</f>
        <v>1.03</v>
      </c>
      <c r="Q31" s="14"/>
      <c r="R31" s="12"/>
      <c r="S31" s="239"/>
      <c r="T31" s="46"/>
      <c r="U31" s="9"/>
      <c r="X31" s="4"/>
    </row>
    <row r="32" spans="2:25" ht="18" thickBot="1" x14ac:dyDescent="0.35">
      <c r="B32" s="274"/>
      <c r="C32" s="279"/>
      <c r="D32" s="271"/>
      <c r="E32" s="271"/>
      <c r="F32" s="272"/>
      <c r="G32" s="278" t="s">
        <v>6</v>
      </c>
      <c r="H32" s="288">
        <f>H30+H31</f>
        <v>419564</v>
      </c>
      <c r="I32" s="307"/>
      <c r="J32" s="264"/>
      <c r="K32" s="47"/>
      <c r="L32" s="47"/>
      <c r="M32" s="39"/>
      <c r="N32" s="12"/>
      <c r="O32" s="12"/>
      <c r="P32" s="252">
        <f>P31</f>
        <v>1.03</v>
      </c>
      <c r="Q32" s="14"/>
      <c r="R32" s="12"/>
      <c r="S32" s="239">
        <f>SUM(S21:S31)</f>
        <v>2.1</v>
      </c>
      <c r="T32" s="46"/>
      <c r="U32" s="9"/>
      <c r="X32" s="4"/>
    </row>
    <row r="33" spans="1:24" ht="17.399999999999999" x14ac:dyDescent="0.3">
      <c r="B33" s="274"/>
      <c r="C33" s="270"/>
      <c r="D33" s="271"/>
      <c r="E33" s="271"/>
      <c r="F33" s="272"/>
      <c r="J33" s="264"/>
      <c r="K33" s="47"/>
      <c r="L33" s="47"/>
      <c r="M33" s="14"/>
      <c r="N33" s="12"/>
      <c r="O33" s="12"/>
      <c r="P33" s="39">
        <f>P32*20%</f>
        <v>0.20600000000000002</v>
      </c>
      <c r="Q33" s="39" t="s">
        <v>129</v>
      </c>
      <c r="R33" s="42"/>
      <c r="S33" s="240">
        <f>S32+T30</f>
        <v>2.1</v>
      </c>
      <c r="T33" s="14"/>
      <c r="U33" s="9"/>
      <c r="X33" s="4"/>
    </row>
    <row r="34" spans="1:24" ht="17.399999999999999" x14ac:dyDescent="0.35">
      <c r="B34" s="268"/>
      <c r="C34" s="230"/>
      <c r="D34" s="230"/>
      <c r="E34" s="233"/>
      <c r="F34" s="234"/>
      <c r="G34" s="230"/>
      <c r="H34" s="273"/>
      <c r="I34" s="273"/>
      <c r="J34" s="264"/>
      <c r="K34" s="47"/>
      <c r="L34" s="47"/>
      <c r="M34" s="14"/>
      <c r="N34" s="12"/>
      <c r="O34" s="12"/>
      <c r="P34" s="46">
        <f>P32+P33</f>
        <v>1.236</v>
      </c>
      <c r="Q34" s="14"/>
      <c r="R34" s="14"/>
      <c r="S34" s="238">
        <f>S33*20%</f>
        <v>0.42000000000000004</v>
      </c>
      <c r="T34" s="14"/>
      <c r="U34" s="9"/>
      <c r="X34" s="4"/>
    </row>
    <row r="35" spans="1:24" ht="17.399999999999999" x14ac:dyDescent="0.35">
      <c r="B35" s="235"/>
      <c r="C35" s="236"/>
      <c r="D35" s="237"/>
      <c r="E35" s="235"/>
      <c r="F35" s="230"/>
      <c r="G35" s="230"/>
      <c r="I35" s="273"/>
      <c r="J35" s="264"/>
      <c r="K35" s="47"/>
      <c r="L35" s="47"/>
      <c r="M35" s="14"/>
      <c r="N35" s="14"/>
      <c r="O35" s="14"/>
      <c r="P35" s="14"/>
      <c r="Q35" s="14"/>
      <c r="R35" s="14"/>
      <c r="S35" s="240">
        <f>S33+S34</f>
        <v>2.52</v>
      </c>
      <c r="T35" s="14"/>
      <c r="U35" s="294" t="s">
        <v>21</v>
      </c>
      <c r="V35" s="291" t="s">
        <v>149</v>
      </c>
      <c r="W35" s="295">
        <v>44971</v>
      </c>
      <c r="X35" s="296"/>
    </row>
    <row r="36" spans="1:24" ht="17.399999999999999" x14ac:dyDescent="0.35">
      <c r="B36" s="230"/>
      <c r="C36" s="230"/>
      <c r="D36" s="230"/>
      <c r="E36" s="230"/>
      <c r="F36" s="230"/>
      <c r="G36" s="230"/>
      <c r="J36" s="264"/>
      <c r="K36" s="47"/>
      <c r="L36" s="47"/>
      <c r="M36" s="39">
        <f>P34</f>
        <v>1.236</v>
      </c>
      <c r="N36" s="12">
        <v>4000</v>
      </c>
      <c r="O36" s="12">
        <f t="shared" ref="O36:O41" si="27">M36*N36</f>
        <v>4944</v>
      </c>
      <c r="P36" s="14" t="s">
        <v>21</v>
      </c>
      <c r="Q36" s="14"/>
      <c r="R36" s="14"/>
      <c r="S36" s="241"/>
      <c r="T36" s="14"/>
      <c r="U36" s="294" t="s">
        <v>150</v>
      </c>
      <c r="V36" s="291">
        <v>3625</v>
      </c>
      <c r="W36" s="59" t="s">
        <v>151</v>
      </c>
      <c r="X36" s="296"/>
    </row>
    <row r="37" spans="1:24" ht="17.399999999999999" x14ac:dyDescent="0.35">
      <c r="A37" s="230"/>
      <c r="B37" s="230"/>
      <c r="C37" s="230"/>
      <c r="D37" s="230"/>
      <c r="E37" s="230"/>
      <c r="F37" s="230"/>
      <c r="G37" s="230"/>
      <c r="H37" s="230"/>
      <c r="J37" s="264"/>
      <c r="K37" s="47"/>
      <c r="L37" s="47"/>
      <c r="M37" s="248">
        <v>0.35</v>
      </c>
      <c r="N37" s="12">
        <v>45000</v>
      </c>
      <c r="O37" s="12">
        <f t="shared" si="27"/>
        <v>15749.999999999998</v>
      </c>
      <c r="P37" s="39" t="s">
        <v>31</v>
      </c>
      <c r="Q37" s="42"/>
      <c r="R37" s="14"/>
      <c r="S37" s="240"/>
      <c r="T37" s="14"/>
      <c r="U37" s="294"/>
      <c r="V37" s="59">
        <v>906.25</v>
      </c>
      <c r="W37" s="59" t="s">
        <v>152</v>
      </c>
      <c r="X37" s="296"/>
    </row>
    <row r="38" spans="1:24" s="230" customFormat="1" ht="17.399999999999999" x14ac:dyDescent="0.35">
      <c r="B38" s="24" t="s">
        <v>148</v>
      </c>
      <c r="J38" s="261"/>
      <c r="K38" s="232"/>
      <c r="L38" s="249"/>
      <c r="M38" s="14"/>
      <c r="N38" s="249">
        <v>47000</v>
      </c>
      <c r="O38" s="12">
        <f t="shared" si="27"/>
        <v>0</v>
      </c>
      <c r="P38" s="39" t="s">
        <v>30</v>
      </c>
      <c r="Q38" s="42"/>
      <c r="S38" s="240"/>
      <c r="T38" s="255"/>
      <c r="U38" s="59"/>
      <c r="V38" s="59">
        <f>V37*20%</f>
        <v>181.25</v>
      </c>
      <c r="W38" s="296" t="s">
        <v>153</v>
      </c>
      <c r="X38" s="59"/>
    </row>
    <row r="39" spans="1:24" s="230" customFormat="1" ht="17.399999999999999" x14ac:dyDescent="0.35">
      <c r="B39" s="24" t="s">
        <v>162</v>
      </c>
      <c r="C39"/>
      <c r="D39"/>
      <c r="E39"/>
      <c r="F39"/>
      <c r="J39" s="261"/>
      <c r="K39" s="232"/>
      <c r="L39" s="249"/>
      <c r="M39" s="14">
        <v>1</v>
      </c>
      <c r="N39" s="249">
        <v>31000</v>
      </c>
      <c r="O39" s="12">
        <f t="shared" si="27"/>
        <v>31000</v>
      </c>
      <c r="P39" s="14" t="s">
        <v>139</v>
      </c>
      <c r="Q39" s="17"/>
      <c r="S39" s="238"/>
      <c r="T39" s="255"/>
      <c r="U39" s="59"/>
      <c r="V39" s="59">
        <f>V37+V38</f>
        <v>1087.5</v>
      </c>
      <c r="W39" s="296" t="s">
        <v>154</v>
      </c>
      <c r="X39" s="59"/>
    </row>
    <row r="40" spans="1:24" s="230" customFormat="1" ht="17.399999999999999" x14ac:dyDescent="0.35">
      <c r="A40" s="230" t="s">
        <v>283</v>
      </c>
      <c r="B40" s="29" t="s">
        <v>124</v>
      </c>
      <c r="C40"/>
      <c r="D40"/>
      <c r="E40"/>
      <c r="F40" s="229" t="s">
        <v>15</v>
      </c>
      <c r="J40" s="261"/>
      <c r="K40" s="259"/>
      <c r="L40" s="249"/>
      <c r="M40" s="248"/>
      <c r="N40" s="249">
        <v>900</v>
      </c>
      <c r="O40" s="12">
        <f t="shared" si="27"/>
        <v>0</v>
      </c>
      <c r="P40" s="14" t="s">
        <v>32</v>
      </c>
      <c r="Q40" s="14"/>
      <c r="R40" s="230">
        <v>1.52</v>
      </c>
      <c r="S40" s="238"/>
      <c r="T40" s="238"/>
    </row>
    <row r="41" spans="1:24" s="230" customFormat="1" ht="17.399999999999999" x14ac:dyDescent="0.35">
      <c r="J41" s="286"/>
      <c r="K41" s="259"/>
      <c r="L41" s="249"/>
      <c r="M41" s="265"/>
      <c r="N41" s="12">
        <v>1500</v>
      </c>
      <c r="O41" s="12">
        <f t="shared" si="27"/>
        <v>0</v>
      </c>
      <c r="P41" s="14" t="s">
        <v>22</v>
      </c>
      <c r="Q41" s="14"/>
      <c r="R41">
        <v>2.44</v>
      </c>
      <c r="S41"/>
      <c r="T41" s="238"/>
      <c r="X41" s="231"/>
    </row>
    <row r="42" spans="1:24" s="230" customFormat="1" ht="17.399999999999999" x14ac:dyDescent="0.35">
      <c r="K42" s="259"/>
      <c r="L42" s="249"/>
      <c r="M42" s="14"/>
      <c r="N42" s="12"/>
      <c r="O42" s="12">
        <f>SUM(O36:O41)</f>
        <v>51694</v>
      </c>
      <c r="P42" s="39" t="s">
        <v>23</v>
      </c>
      <c r="Q42" s="14"/>
      <c r="R42">
        <f>R40*R41</f>
        <v>3.7088000000000001</v>
      </c>
      <c r="S42"/>
      <c r="T42" s="238"/>
      <c r="X42" s="231"/>
    </row>
    <row r="43" spans="1:24" s="230" customFormat="1" ht="17.399999999999999" x14ac:dyDescent="0.35">
      <c r="L43" s="249"/>
      <c r="M43" s="253" t="s">
        <v>33</v>
      </c>
      <c r="N43" s="12"/>
      <c r="O43" s="254">
        <f>O42*2.2</f>
        <v>113726.8</v>
      </c>
      <c r="P43" s="14" t="s">
        <v>138</v>
      </c>
      <c r="Q43" s="14"/>
      <c r="R43" s="40">
        <f>P34/R42</f>
        <v>0.33326143226919758</v>
      </c>
      <c r="S43"/>
      <c r="T43" s="256"/>
    </row>
    <row r="44" spans="1:24" s="230" customFormat="1" ht="17.399999999999999" x14ac:dyDescent="0.35">
      <c r="G44"/>
      <c r="H44" s="259"/>
      <c r="I44" s="259"/>
      <c r="J44" s="259"/>
      <c r="K44" s="230">
        <v>64090</v>
      </c>
      <c r="L44" s="249">
        <v>0</v>
      </c>
      <c r="M44" s="14"/>
      <c r="N44" s="12"/>
      <c r="O44" s="12">
        <f>O43/P32</f>
        <v>110414.36893203884</v>
      </c>
      <c r="P44" s="45" t="s">
        <v>24</v>
      </c>
      <c r="Q44" s="14"/>
      <c r="R44" s="14"/>
      <c r="S44"/>
      <c r="T44" s="238"/>
      <c r="U44" s="59" t="s">
        <v>155</v>
      </c>
      <c r="V44" s="291">
        <v>43650</v>
      </c>
    </row>
    <row r="45" spans="1:24" s="230" customFormat="1" ht="17.399999999999999" x14ac:dyDescent="0.35">
      <c r="G45"/>
      <c r="K45" s="230">
        <f>K44/1.19</f>
        <v>53857.142857142862</v>
      </c>
      <c r="L45" s="249"/>
      <c r="M45" s="13"/>
      <c r="N45" s="14"/>
      <c r="O45" s="17">
        <f>O43/O42</f>
        <v>2.2000000000000002</v>
      </c>
      <c r="P45" s="15"/>
      <c r="Q45"/>
      <c r="R45"/>
      <c r="S45"/>
      <c r="T45" s="238"/>
      <c r="U45" s="59" t="s">
        <v>157</v>
      </c>
      <c r="V45" s="292" t="s">
        <v>156</v>
      </c>
      <c r="W45" s="59">
        <v>2.4</v>
      </c>
    </row>
    <row r="46" spans="1:24" s="230" customFormat="1" ht="17.399999999999999" x14ac:dyDescent="0.35">
      <c r="G46" s="23"/>
      <c r="L46" s="12"/>
      <c r="T46" s="238"/>
      <c r="U46" s="59" t="s">
        <v>158</v>
      </c>
      <c r="V46" s="293">
        <v>395.37</v>
      </c>
    </row>
    <row r="47" spans="1:24" s="230" customFormat="1" ht="17.399999999999999" x14ac:dyDescent="0.35">
      <c r="B47"/>
      <c r="C47" s="228"/>
      <c r="D47" s="22"/>
      <c r="E47" s="22"/>
      <c r="F47" s="21"/>
      <c r="G47" s="23"/>
      <c r="L47" s="12"/>
      <c r="T47" s="238"/>
      <c r="U47" s="59" t="s">
        <v>153</v>
      </c>
      <c r="V47" s="59">
        <v>474.45</v>
      </c>
    </row>
    <row r="48" spans="1:24" ht="14.4" customHeight="1" x14ac:dyDescent="0.3">
      <c r="L48" s="12"/>
      <c r="U48" s="59"/>
      <c r="V48" s="59"/>
    </row>
    <row r="49" spans="12:20" x14ac:dyDescent="0.3">
      <c r="L49" s="249"/>
    </row>
    <row r="50" spans="12:20" x14ac:dyDescent="0.3">
      <c r="L50" s="249"/>
      <c r="T50" s="269"/>
    </row>
    <row r="51" spans="12:20" x14ac:dyDescent="0.3">
      <c r="L51" s="249"/>
    </row>
    <row r="52" spans="12:20" ht="15" customHeight="1" x14ac:dyDescent="0.3"/>
    <row r="54" spans="12:20" x14ac:dyDescent="0.3">
      <c r="O54">
        <v>40935</v>
      </c>
      <c r="P54" t="s">
        <v>16</v>
      </c>
      <c r="Q54" t="s">
        <v>26</v>
      </c>
    </row>
    <row r="56" spans="12:20" x14ac:dyDescent="0.3">
      <c r="O56" s="54"/>
      <c r="P56" s="54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145</v>
      </c>
    </row>
    <row r="80" spans="3:20" x14ac:dyDescent="0.3">
      <c r="C80" t="s">
        <v>144</v>
      </c>
    </row>
    <row r="83" spans="3:3" x14ac:dyDescent="0.3">
      <c r="C83" t="s">
        <v>144</v>
      </c>
    </row>
    <row r="160" spans="3:3" x14ac:dyDescent="0.3">
      <c r="C160" t="s">
        <v>144</v>
      </c>
    </row>
    <row r="161" spans="3:3" x14ac:dyDescent="0.3">
      <c r="C161" t="s">
        <v>146</v>
      </c>
    </row>
    <row r="162" spans="3:3" x14ac:dyDescent="0.3">
      <c r="C162" t="s">
        <v>147</v>
      </c>
    </row>
    <row r="587" spans="3:3" x14ac:dyDescent="0.3">
      <c r="C587" t="s">
        <v>144</v>
      </c>
    </row>
  </sheetData>
  <mergeCells count="1">
    <mergeCell ref="B19:H19"/>
  </mergeCells>
  <phoneticPr fontId="32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MUEBLERIA VALENTINA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-56032.108366787441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'2229'!H30</f>
        <v>419564</v>
      </c>
      <c r="E11" s="132">
        <f>D11*0.19</f>
        <v>79717.16</v>
      </c>
      <c r="F11" s="131">
        <f>E11+D11</f>
        <v>499281.16000000003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49957.891633212559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50528.090787439614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31957.891633212559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369035.90921256039</v>
      </c>
      <c r="E13" s="221">
        <f>(D11/D12)-1</f>
        <v>7.3035791272029655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22957.891633212559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-16042.108366787441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83371.349799275355</v>
      </c>
      <c r="F15" s="216">
        <f>E15-D12</f>
        <v>32843.25901183574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-16042.108366787441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23957.891633212559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'2229'!O37</f>
        <v>15749.999999999998</v>
      </c>
      <c r="E19" s="123">
        <f>D19*0.19</f>
        <v>2992.4999999999995</v>
      </c>
      <c r="F19" s="120">
        <f>SUM(D19:E19)</f>
        <v>18742.499999999996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'2229'!O36</f>
        <v>4944</v>
      </c>
      <c r="E20" s="121">
        <f>D20*0.19</f>
        <v>939.36</v>
      </c>
      <c r="F20" s="120">
        <f>SUM(D20:E20)</f>
        <v>5883.36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20694</v>
      </c>
      <c r="E21" s="116">
        <f>SUM(E18:E20)</f>
        <v>3931.8599999999997</v>
      </c>
      <c r="F21" s="115">
        <f>SUM(F18:F20)</f>
        <v>24625.859999999997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75785.3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419564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20694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369035.90921256039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369035.90921256039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12142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MUEBLERIA VALENTINA</v>
      </c>
      <c r="D10" s="349"/>
      <c r="E10" s="349"/>
      <c r="F10" s="350" t="s">
        <v>167</v>
      </c>
      <c r="G10" s="351">
        <f>'2229'!G10</f>
        <v>46156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46163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MANUEL VALENZUELA</v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+56 9 6115 5758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RANCAGUA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PR12</v>
      </c>
      <c r="D22" s="320">
        <f>'2229'!D21*1000</f>
        <v>460</v>
      </c>
      <c r="E22" s="320">
        <f>'2229'!E21*1000</f>
        <v>830</v>
      </c>
      <c r="F22" s="321" t="str">
        <f>'2229'!F21</f>
        <v>ROBLE LINEAL  1467 MT</v>
      </c>
      <c r="G22" s="313">
        <f>'2229'!G21</f>
        <v>48269</v>
      </c>
      <c r="H22" s="322">
        <f>G22*B22</f>
        <v>48269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48269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9171.11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57440.11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MUEBLERIA VALENTINA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12142</v>
      </c>
      <c r="C2" s="1">
        <f>'NOTA DE VENTA'!$G$10</f>
        <v>46156</v>
      </c>
      <c r="D2" s="1">
        <f>'NOTA DE VENTA'!$G$11</f>
        <v>46163</v>
      </c>
      <c r="E2" t="str">
        <f>'NOTA DE VENTA'!$C$10</f>
        <v>MUEBLERIA VALENTINA</v>
      </c>
      <c r="F2" t="str">
        <f>'NOTA DE VENTA'!$C$22</f>
        <v>PR12</v>
      </c>
      <c r="G2" t="str">
        <f>'NOTA DE VENTA'!$F$22</f>
        <v>ROBLE LINEAL  1467 MT</v>
      </c>
      <c r="H2" s="415">
        <f>'NOTA DE VENTA'!$H$25</f>
        <v>48269</v>
      </c>
      <c r="I2" s="415">
        <f>H2*0.19</f>
        <v>9171.11</v>
      </c>
      <c r="J2" s="415">
        <f>I2+H2</f>
        <v>57440.11</v>
      </c>
      <c r="L2" s="61">
        <f>J2-K2</f>
        <v>57440.11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2026-05-14T16:01:00Z</cp:lastPrinted>
  <dcterms:created xsi:type="dcterms:W3CDTF">2013-03-18T13:35:42Z</dcterms:created>
  <dcterms:modified xsi:type="dcterms:W3CDTF">2026-05-15T15:59:58Z</dcterms:modified>
</cp:coreProperties>
</file>