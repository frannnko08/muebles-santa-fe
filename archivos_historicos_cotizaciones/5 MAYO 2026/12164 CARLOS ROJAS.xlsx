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3C983D7C-B1DE-449A-8B98-32BB11B40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<sst xmlns="http://schemas.openxmlformats.org/spreadsheetml/2006/main" count="485" uniqueCount="294">
  <si>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</si>
  <si>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</si>
  <si>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</si>
  <si>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</si>
  <si>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</si>
  <si>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</si>
  <si>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</si>
  <si>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</si>
  <si>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</si>
  <si>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</si>
  <si>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</si>
  <si>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</si>
  <si>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</si>
  <si>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</si>
  <si>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</si>
  <si>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</si>
  <si>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</si>
  <si>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</si>
  <si>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</si>
  <si>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</si>
  <si>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</si>
  <si>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</si>
  <si>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</si>
  <si>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</si>
  <si>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</si>
  <si>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</si>
  <si>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</si>
  <si>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</si>
  <si>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</si>
  <si>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</si>
  <si>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</si>
  <si>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</si>
  <si>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</si>
  <si>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</si>
  <si>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</si>
  <si>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</si>
  <si>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</si>
  <si>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</si>
  <si>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</si>
  <si>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</si>
  <si>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</si>
  <si>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</si>
  <si>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</si>
  <si>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</si>
  <si>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</si>
  <si>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</si>
  <si>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</si>
  <si>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</si>
  <si>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</si>
  <si>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</si>
  <si>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</si>
  <si>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</si>
  <si>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</si>
  <si>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</si>
  <si>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</si>
  <si>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</si>
  <si>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</si>
  <si>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</si>
  <si>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</si>
  <si>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</si>
  <si>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</si>
  <si>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</si>
  <si>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</si>
  <si>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</si>
  <si>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</si>
  <si>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</si>
  <si>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</si>
  <si>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</si>
  <si>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</si>
  <si>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</si>
  <si>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</si>
  <si>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</si>
  <si>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</si>
  <si>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</si>
  <si>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</si>
  <si>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</si>
  <si>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</si>
  <si>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</si>
  <si>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</si>
  <si>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</si>
  <si>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</si>
  <si>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</si>
  <si>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</si>
  <si>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</si>
  <si>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</si>
  <si>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</si>
  <si>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</si>
  <si>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</si>
  <si>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</si>
  <si>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</si>
  <si>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</si>
  <si>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</si>
  <si>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</si>
  <si>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</si>
  <si>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</si>
  <si>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</si>
  <si>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</si>
  <si>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</si>
  <si>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</si>
  <si>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</si>
  <si>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</si>
  <si>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</si>
  <si>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</si>
  <si>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</si>
  <si>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</si>
  <si>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</si>
  <si>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</si>
  <si>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</si>
  <si>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</si>
  <si>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</si>
  <si>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</si>
  <si>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</si>
  <si>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</si>
  <si>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</si>
  <si>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</si>
  <si>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</si>
  <si>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</si>
  <si>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</si>
  <si>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</si>
  <si>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</si>
  <si>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</si>
  <si>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</si>
  <si>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</si>
  <si>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</si>
  <si>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</si>
  <si>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</si>
  <si>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</si>
  <si>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</si>
  <si>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</si>
  <si>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</si>
  <si>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</si>
  <si>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</si>
  <si>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</si>
  <si>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</si>
  <si>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</si>
  <si>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</si>
  <si>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</si>
  <si>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</si>
  <si>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</si>
  <si>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</si>
  <si>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</si>
  <si>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</si>
  <si>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</si>
  <si>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</si>
  <si>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</si>
  <si>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</si>
  <si>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</si>
  <si>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</si>
  <si>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</si>
  <si>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</si>
  <si>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</si>
  <si>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</si>
  <si>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</si>
  <si>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</si>
  <si>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</si>
  <si>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</si>
  <si>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</si>
  <si>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</si>
  <si>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</si>
  <si>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</si>
  <si>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</si>
  <si>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</si>
  <si>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</si>
  <si>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</si>
  <si>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</si>
  <si>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</si>
  <si>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</si>
  <si>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</si>
  <si>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</si>
  <si>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</si>
  <si>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</si>
  <si>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</si>
  <si>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</si>
  <si>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</si>
  <si>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</si>
  <si>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</si>
  <si>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</si>
  <si>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</si>
  <si>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</si>
  <si>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</si>
  <si>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</si>
  <si>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</si>
  <si>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</si>
  <si>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</si>
  <si>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</si>
  <si>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</si>
  <si>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</si>
  <si>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</si>
  <si>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</si>
  <si>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</si>
  <si>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</si>
  <si>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</si>
  <si>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</si>
  <si>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</si>
  <si>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</si>
  <si>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</si>
  <si>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</si>
  <si>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</si>
  <si>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</si>
  <si>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</si>
  <si>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</si>
  <si>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</si>
  <si>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</si>
  <si>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</si>
  <si>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</si>
  <si>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</si>
  <si>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</si>
  <si>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</si>
  <si>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</si>
  <si>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</si>
  <si>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</si>
  <si>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</si>
  <si>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</si>
  <si>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</si>
  <si>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</si>
  <si>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</si>
  <si>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</si>
  <si>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</si>
  <si>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</si>
  <si>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</si>
  <si>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</si>
  <si>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</si>
  <si>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</si>
  <si>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</si>
  <si>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</si>
  <si>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</si>
  <si>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</si>
  <si>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</si>
  <si>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</si>
  <si>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</si>
  <si>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</si>
  <si>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</si>
  <si>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</si>
  <si>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</si>
  <si>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</si>
  <si>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</si>
  <si>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</si>
  <si>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</si>
  <si>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</si>
  <si>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</si>
  <si>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</si>
  <si>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</si>
  <si>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</si>
  <si>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</si>
  <si>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</si>
  <si>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</si>
  <si>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</si>
  <si>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</si>
  <si>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</si>
  <si>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</si>
  <si>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</si>
  <si>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</si>
  <si>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</si>
  <si>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</si>
  <si>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</si>
  <si>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</si>
  <si>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</si>
  <si>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</si>
  <si>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</si>
  <si>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</si>
  <si>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</si>
  <si>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</si>
  <si>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</si>
  <si>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</si>
  <si>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</si>
  <si>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</si>
  <si>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</si>
  <si>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</si>
  <si>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</si>
  <si>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</si>
  <si>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</si>
  <si>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</si>
  <si>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</si>
  <si>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</si>
  <si>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</si>
  <si>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</si>
  <si>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</si>
  <si>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</si>
  <si>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</si>
  <si>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</si>
  <si>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</si>
  <si>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</si>
  <si>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</si>
  <si>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</si>
  <si>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</si>
  <si>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</si>
  <si>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</si>
  <si>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</si>
  <si>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SI</t>
  </si>
  <si>
    <t>N° 12164</t>
  </si>
  <si>
    <t>CARLOS ROJAS</t>
  </si>
  <si>
    <t>3 DÍAS HÁBILES</t>
  </si>
  <si>
    <t>SHELL WHITE BR</t>
  </si>
  <si>
    <t>CUBIERTA SIN RESPALDO Y FRENTE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</si>
</sst>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B14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7" t="s">
        <v>277</v>
      </c>
      <c r="G10" s="275">
        <v>46162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291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288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/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69488.571428571406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1">
        <v>1</v>
      </c>
      <c r="C21" s="432" t="s">
        <v>293</v>
      </c>
      <c r="D21" s="433">
        <v>1.6</v>
      </c>
      <c r="E21" s="433">
        <v>0.4</v>
      </c>
      <c r="F21" s="431" t="s">
        <v>292</v>
      </c>
      <c r="G21" s="434">
        <f>Q21</f>
        <v>46696.319999999992</v>
      </c>
      <c r="H21" s="434">
        <f>G21*B21</f>
        <v>46696.319999999992</v>
      </c>
      <c r="I21" s="305"/>
      <c r="J21" s="264"/>
      <c r="K21" s="47"/>
      <c r="L21" s="47">
        <f>B21</f>
        <v>1</v>
      </c>
      <c r="M21" s="39">
        <f>D21+M$19</f>
        <v>1.6800000000000002</v>
      </c>
      <c r="N21" s="39">
        <f>E21+$N$19</f>
        <v>0.4</v>
      </c>
      <c r="O21" s="260">
        <f t="shared" ref="O21" si="0">M21*N21</f>
        <v>0.67200000000000015</v>
      </c>
      <c r="P21" s="258">
        <f t="shared" ref="P21" si="1">O21*L21</f>
        <v>0.67200000000000015</v>
      </c>
      <c r="Q21" s="251">
        <f t="shared" ref="Q21" si="2">Q$20*O21</f>
        <v>46696.319999999992</v>
      </c>
      <c r="R21" s="304">
        <f t="shared" ref="R21" si="3">Q21+R$20</f>
        <v>49696.319999999992</v>
      </c>
      <c r="S21" s="290">
        <f>M21*L21</f>
        <v>1.6800000000000002</v>
      </c>
      <c r="T21" s="46">
        <f>N21*2*L21*2</f>
        <v>1.6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SUM(H21:H21)</f>
        <v>46696.319999999992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1.6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8872.3007999999991</v>
      </c>
      <c r="I25" s="307"/>
      <c r="J25" s="264"/>
      <c r="K25" s="47"/>
      <c r="L25" s="47"/>
      <c r="M25" s="39">
        <f>SUM(M21:M24)</f>
        <v>1.6800000000000002</v>
      </c>
      <c r="N25" s="12"/>
      <c r="O25" s="12"/>
      <c r="P25" s="252">
        <f>SUM(P21:P23)</f>
        <v>0.67200000000000015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55568.62079999999</v>
      </c>
      <c r="I26" s="307"/>
      <c r="J26" s="264"/>
      <c r="K26" s="47"/>
      <c r="L26" s="47"/>
      <c r="M26" s="39"/>
      <c r="N26" s="12"/>
      <c r="O26" s="12"/>
      <c r="P26" s="252">
        <f>P25</f>
        <v>0.67200000000000015</v>
      </c>
      <c r="Q26" s="14"/>
      <c r="R26" s="12"/>
      <c r="S26" s="239">
        <f>SUM(S21:S25)</f>
        <v>1.6800000000000002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0.13440000000000005</v>
      </c>
      <c r="Q27" s="39" t="s">
        <v>129</v>
      </c>
      <c r="R27" s="42"/>
      <c r="S27" s="240">
        <f>S26+T24</f>
        <v>3.2800000000000002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0.80640000000000023</v>
      </c>
      <c r="Q28" s="14"/>
      <c r="R28" s="14"/>
      <c r="S28" s="238">
        <f>S27*20%</f>
        <v>0.65600000000000014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3.9360000000000004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0.80640000000000023</v>
      </c>
      <c r="N30" s="12">
        <v>4000</v>
      </c>
      <c r="O30" s="12">
        <f t="shared" ref="O30:O35" si="4">M30*N30</f>
        <v>3225.6000000000008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25000</v>
      </c>
      <c r="O31" s="12">
        <f t="shared" si="4"/>
        <v>7500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0.5</v>
      </c>
      <c r="N33" s="249">
        <v>21000</v>
      </c>
      <c r="O33" s="12">
        <f t="shared" si="4"/>
        <v>10500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2000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21225.599999999999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46696.32</v>
      </c>
      <c r="P37" s="14" t="s">
        <v>138</v>
      </c>
      <c r="Q37" s="14"/>
      <c r="R37" s="40">
        <f>P28/R36</f>
        <v>0.21742881794650568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33790</v>
      </c>
      <c r="L38" s="249"/>
      <c r="M38" s="14"/>
      <c r="N38" s="12"/>
      <c r="O38" s="12">
        <f>O37/P26</f>
        <v>69488.571428571406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28394.957983193279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46162</v>
      </c>
    </row>
    <row r="6" spans="2:31" ht="16.2" thickBot="1" x14ac:dyDescent="0.35">
      <c r="B6" s="140" t="s">
        <v>2</v>
      </c>
      <c r="C6" s="139" t="str">
        <f>'2229'!C10</f>
        <v>CARLOS ROJAS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3371.1949665458937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46696.319999999992</v>
      </c>
      <c r="E11" s="132">
        <f>D11*0.19</f>
        <v>8872.3007999999991</v>
      </c>
      <c r="F11" s="131">
        <f>E11+D11</f>
        <v>55568.62079999999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109361.1949665459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40559.690787439613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91361.194966545896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6136.6292125603795</v>
      </c>
      <c r="E13" s="221">
        <f>(D11/D12)-1</f>
        <v>0.15129871785069793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82361.194966545896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43361.194966545896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66923.489799275354</v>
      </c>
      <c r="F15" s="216">
        <f>E15-D12</f>
        <v>26363.799011835741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43361.194966545896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83361.194966545896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3225.6000000000008</v>
      </c>
      <c r="E20" s="121">
        <f>D20*0.19</f>
        <v>612.86400000000015</v>
      </c>
      <c r="F20" s="120">
        <f>SUM(D20:E20)</f>
        <v>3838.4640000000009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10725.6</v>
      </c>
      <c r="E21" s="116">
        <f>SUM(E18:E20)</f>
        <v>2037.864</v>
      </c>
      <c r="F21" s="115">
        <f>SUM(F18:F20)</f>
        <v>12763.464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6834.4367999999995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46696.319999999992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10725.6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6136.6292125603795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6136.6292125603795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12164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CARLOS ROJAS</v>
      </c>
      <c r="D10" s="349"/>
      <c r="E10" s="349"/>
      <c r="F10" s="350" t="s">
        <v>167</v>
      </c>
      <c r="G10" s="351">
        <f>'2229'!G10</f>
        <v>46162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46169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/>
      </c>
      <c r="D15" s="346"/>
      <c r="E15" s="344"/>
      <c r="F15" s="344" t="s">
        <v>173</v>
      </c>
      <c r="G15" s="344" t="str">
        <f>'2229'!G12</f>
        <v>SI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CUBIERTA SIN RESPALDO Y FRENTE 180°</v>
      </c>
      <c r="D22" s="320">
        <f>'2229'!D21*1000</f>
        <v>1600</v>
      </c>
      <c r="E22" s="320">
        <f>'2229'!E21*1000</f>
        <v>400</v>
      </c>
      <c r="F22" s="321" t="str">
        <f>'2229'!F21</f>
        <v>SHELL WHITE BR</v>
      </c>
      <c r="G22" s="313">
        <f>'2229'!G21</f>
        <v>46696.319999999992</v>
      </c>
      <c r="H22" s="322">
        <f>G22*B22</f>
        <v>46696.319999999992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46696.319999999992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8872.3007999999991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55568.62079999999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CARLOS ROJAS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46162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12164</v>
      </c>
      <c r="C2" s="1">
        <f>'NOTA DE VENTA'!$G$10</f>
        <v>46162</v>
      </c>
      <c r="D2" s="1">
        <f>'NOTA DE VENTA'!$G$11</f>
        <v>46169</v>
      </c>
      <c r="E2" t="str">
        <f>'NOTA DE VENTA'!$C$10</f>
        <v>CARLOS ROJAS</v>
      </c>
      <c r="F2" t="str">
        <f>'NOTA DE VENTA'!$C$22</f>
        <v>CUBIERTA SIN RESPALDO Y FRENTE 180°</v>
      </c>
      <c r="G2" t="str">
        <f>'NOTA DE VENTA'!$F$22</f>
        <v>SHELL WHITE BR</v>
      </c>
      <c r="H2" s="415">
        <f>'NOTA DE VENTA'!$H$25</f>
        <v>46696.319999999992</v>
      </c>
      <c r="I2" s="415">
        <f>H2*0.19</f>
        <v>8872.3007999999991</v>
      </c>
      <c r="J2" s="415">
        <f>I2+H2</f>
        <v>55568.62079999999</v>
      </c>
      <c r="L2" s="61">
        <f>J2-K2</f>
        <v>55568.62079999999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2026-05-20T16:13:56Z</cp:lastPrinted>
  <dcterms:created xsi:type="dcterms:W3CDTF">2013-03-18T13:35:42Z</dcterms:created>
  <dcterms:modified xsi:type="dcterms:W3CDTF">2026-05-20T20:37:53Z</dcterms:modified>
</cp:coreProperties>
</file>