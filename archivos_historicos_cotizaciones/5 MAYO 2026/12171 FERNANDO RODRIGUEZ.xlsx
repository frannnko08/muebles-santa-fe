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590D04F6-8270-474B-82AA-A303F718C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A2" i="8"/>
  <c r="K30" i="1"/>
  <c r="J27" i="1"/>
  <c r="J30" i="1" s="1"/>
  <c r="L22" i="1"/>
  <c r="M22" i="1"/>
  <c r="N22" i="1"/>
  <c r="L23" i="1"/>
  <c r="M23" i="1"/>
  <c r="N23" i="1"/>
  <c r="L21" i="1"/>
  <c r="O23" i="1" l="1"/>
  <c r="P23" i="1" s="1"/>
  <c r="O22" i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Q23" i="1"/>
  <c r="O41" i="1"/>
  <c r="E15" i="3"/>
  <c r="R22" i="1" l="1"/>
  <c r="H22" i="1"/>
  <c r="H23" i="1"/>
  <c r="R23" i="1"/>
  <c r="Q21" i="1"/>
  <c r="F15" i="3"/>
  <c r="R21" i="1" l="1"/>
  <c r="H21" i="1" l="1"/>
  <c r="H26" i="1" s="1"/>
  <c r="H27" i="1" s="1"/>
  <c r="H28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<sst xmlns="http://schemas.openxmlformats.org/spreadsheetml/2006/main" count="494" uniqueCount="296">
  <si>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</si>
  <si>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</si>
  <si>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</si>
  <si>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</si>
  <si>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</si>
  <si>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</si>
  <si>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</si>
  <si>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</si>
  <si>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</si>
  <si>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</si>
  <si>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</si>
  <si>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</si>
  <si>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</si>
  <si>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</si>
  <si>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</si>
  <si>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</si>
  <si>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</si>
  <si>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</si>
  <si>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</si>
  <si>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</si>
  <si>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</si>
  <si>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</si>
  <si>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</si>
  <si>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</si>
  <si>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</si>
  <si>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</si>
  <si>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</si>
  <si>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</si>
  <si>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</si>
  <si>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</si>
  <si>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</si>
  <si>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</si>
  <si>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</si>
  <si>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</si>
  <si>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</si>
  <si>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</si>
  <si>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</si>
  <si>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</si>
  <si>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</si>
  <si>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</si>
  <si>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</si>
  <si>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</si>
  <si>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</si>
  <si>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</si>
  <si>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</si>
  <si>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</si>
  <si>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</si>
  <si>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</si>
  <si>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</si>
  <si>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</si>
  <si>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</si>
  <si>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</si>
  <si>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</si>
  <si>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</si>
  <si>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</si>
  <si>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</si>
  <si>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</si>
  <si>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</si>
  <si>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</si>
  <si>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</si>
  <si>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</si>
  <si>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</si>
  <si>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</si>
  <si>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</si>
  <si>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</si>
  <si>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</si>
  <si>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</si>
  <si>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</si>
  <si>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</si>
  <si>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</si>
  <si>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</si>
  <si>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</si>
  <si>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</si>
  <si>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</si>
  <si>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</si>
  <si>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</si>
  <si>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</si>
  <si>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</si>
  <si>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</si>
  <si>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</si>
  <si>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</si>
  <si>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</si>
  <si>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</si>
  <si>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</si>
  <si>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</si>
  <si>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</si>
  <si>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</si>
  <si>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</si>
  <si>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</si>
  <si>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</si>
  <si>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</si>
  <si>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</si>
  <si>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</si>
  <si>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</si>
  <si>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</si>
  <si>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</si>
  <si>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</si>
  <si>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</si>
  <si>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</si>
  <si>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</si>
  <si>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</si>
  <si>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</si>
  <si>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</si>
  <si>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</si>
  <si>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</si>
  <si>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</si>
  <si>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</si>
  <si>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</si>
  <si>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</si>
  <si>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</si>
  <si>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</si>
  <si>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</si>
  <si>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</si>
  <si>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</si>
  <si>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</si>
  <si>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</si>
  <si>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</si>
  <si>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</si>
  <si>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</si>
  <si>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</si>
  <si>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</si>
  <si>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</si>
  <si>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</si>
  <si>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</si>
  <si>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</si>
  <si>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</si>
  <si>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</si>
  <si>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</si>
  <si>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</si>
  <si>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</si>
  <si>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</si>
  <si>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</si>
  <si>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</si>
  <si>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</si>
  <si>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</si>
  <si>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</si>
  <si>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</si>
  <si>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</si>
  <si>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</si>
  <si>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</si>
  <si>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</si>
  <si>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</si>
  <si>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</si>
  <si>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</si>
  <si>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</si>
  <si>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</si>
  <si>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</si>
  <si>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</si>
  <si>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</si>
  <si>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</si>
  <si>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</si>
  <si>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</si>
  <si>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</si>
  <si>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</si>
  <si>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</si>
  <si>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</si>
  <si>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</si>
  <si>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</si>
  <si>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</si>
  <si>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</si>
  <si>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</si>
  <si>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</si>
  <si>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</si>
  <si>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</si>
  <si>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</si>
  <si>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</si>
  <si>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</si>
  <si>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</si>
  <si>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</si>
  <si>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</si>
  <si>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</si>
  <si>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</si>
  <si>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</si>
  <si>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</si>
  <si>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</si>
  <si>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</si>
  <si>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</si>
  <si>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</si>
  <si>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</si>
  <si>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</si>
  <si>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</si>
  <si>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</si>
  <si>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</si>
  <si>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</si>
  <si>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</si>
  <si>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</si>
  <si>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</si>
  <si>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</si>
  <si>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</si>
  <si>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</si>
  <si>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</si>
  <si>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</si>
  <si>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</si>
  <si>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</si>
  <si>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</si>
  <si>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</si>
  <si>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</si>
  <si>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</si>
  <si>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</si>
  <si>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</si>
  <si>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</si>
  <si>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</si>
  <si>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</si>
  <si>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</si>
  <si>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</si>
  <si>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</si>
  <si>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</si>
  <si>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</si>
  <si>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</si>
  <si>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</si>
  <si>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</si>
  <si>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</si>
  <si>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</si>
  <si>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</si>
  <si>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</si>
  <si>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</si>
  <si>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</si>
  <si>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</si>
  <si>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</si>
  <si>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</si>
  <si>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</si>
  <si>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</si>
  <si>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</si>
  <si>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</si>
  <si>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</si>
  <si>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</si>
  <si>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</si>
  <si>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</si>
  <si>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</si>
  <si>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</si>
  <si>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</si>
  <si>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</si>
  <si>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</si>
  <si>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</si>
  <si>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</si>
  <si>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</si>
  <si>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</si>
  <si>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</si>
  <si>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</si>
  <si>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</si>
  <si>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</si>
  <si>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</si>
  <si>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</si>
  <si>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</si>
  <si>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</si>
  <si>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</si>
  <si>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</si>
  <si>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</si>
  <si>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</si>
  <si>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</si>
  <si>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</si>
  <si>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</si>
  <si>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</si>
  <si>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</si>
  <si>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</si>
  <si>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</si>
  <si>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</si>
  <si>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</si>
  <si>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</si>
  <si>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</si>
  <si>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</si>
  <si>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</si>
  <si>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</si>
  <si>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</si>
  <si>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</si>
  <si>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</si>
  <si>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</si>
  <si>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</si>
  <si>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</si>
  <si>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</si>
  <si>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</si>
  <si>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</si>
  <si>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</si>
  <si>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</si>
  <si>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</si>
  <si>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</si>
  <si>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</si>
  <si>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</si>
  <si>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</si>
  <si>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</si>
  <si>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</si>
  <si>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</si>
  <si>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</si>
  <si>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</si>
  <si>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</si>
  <si>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</si>
  <si>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</si>
  <si>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</si>
  <si>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BLANCO OPACO</t>
  </si>
  <si>
    <t>N° COTIZACION</t>
  </si>
  <si>
    <t>CLIENTE</t>
  </si>
  <si>
    <t>N° 12171</t>
  </si>
  <si>
    <t>FERNANDO RODRIGUEZ</t>
  </si>
  <si>
    <t>+56 9 4770 0665</t>
  </si>
  <si>
    <t>5 DÍAS HÁBILES</t>
  </si>
  <si>
    <t>CUB SIN RESPALDO FRENTO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</si>
</sst>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153629</xdr:rowOff>
    </xdr:from>
    <xdr:to>
      <xdr:col>5</xdr:col>
      <xdr:colOff>1736459</xdr:colOff>
      <xdr:row>27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LLEVAN ENCHAPE</a:t>
          </a:r>
          <a:r>
            <a:rPr lang="es-CL" sz="1200" b="1" baseline="0"/>
            <a:t> POR SUS 4 CANTOS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45804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42991.494970516826</v>
      </c>
      <c r="R20" s="257">
        <v>15000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1</v>
      </c>
      <c r="C21" s="432" t="s">
        <v>295</v>
      </c>
      <c r="D21" s="433">
        <v>1</v>
      </c>
      <c r="E21" s="433">
        <v>0.6</v>
      </c>
      <c r="F21" s="431" t="s">
        <v>288</v>
      </c>
      <c r="G21" s="434">
        <v>42188</v>
      </c>
      <c r="H21" s="434">
        <f>G21*B21</f>
        <v>42188</v>
      </c>
      <c r="I21" s="305"/>
      <c r="J21" s="264"/>
      <c r="K21" s="47"/>
      <c r="L21" s="47">
        <f>B21</f>
        <v>1</v>
      </c>
      <c r="M21" s="39">
        <f>D21+M$19</f>
        <v>1.02</v>
      </c>
      <c r="N21" s="39">
        <f>E21+$N$19</f>
        <v>0.62</v>
      </c>
      <c r="O21" s="260">
        <f t="shared" ref="O21" si="0">M21*N21</f>
        <v>0.63239999999999996</v>
      </c>
      <c r="P21" s="258">
        <f>O21*L21</f>
        <v>0.63239999999999996</v>
      </c>
      <c r="Q21" s="251">
        <f t="shared" ref="Q21" si="1">Q$20*O21</f>
        <v>27187.821419354837</v>
      </c>
      <c r="R21" s="304">
        <f t="shared" ref="R21" si="2">Q21+R$20</f>
        <v>42187.821419354834</v>
      </c>
      <c r="S21" s="290">
        <f>M21*L21</f>
        <v>1.02</v>
      </c>
      <c r="T21" s="46">
        <f>N21*2*L21*2</f>
        <v>2.48</v>
      </c>
      <c r="U21" s="9"/>
      <c r="X21" s="4"/>
    </row>
    <row r="22" spans="2:25" ht="17.399999999999999" x14ac:dyDescent="0.3">
      <c r="B22" s="431">
        <v>1</v>
      </c>
      <c r="C22" s="432" t="s">
        <v>295</v>
      </c>
      <c r="D22" s="433">
        <v>2.8</v>
      </c>
      <c r="E22" s="433">
        <v>0.6</v>
      </c>
      <c r="F22" s="431" t="s">
        <v>288</v>
      </c>
      <c r="G22" s="434">
        <v>90166</v>
      </c>
      <c r="H22" s="434">
        <f t="shared" ref="H22:H23" si="3">G22*B22</f>
        <v>90166</v>
      </c>
      <c r="I22" s="305"/>
      <c r="J22" s="264"/>
      <c r="K22" s="47"/>
      <c r="L22" s="47">
        <f t="shared" ref="L22:L23" si="4">B22</f>
        <v>1</v>
      </c>
      <c r="M22" s="39">
        <f t="shared" ref="M22:M23" si="5">D22+M$19</f>
        <v>2.82</v>
      </c>
      <c r="N22" s="39">
        <f t="shared" ref="N22:N23" si="6">E22+$N$19</f>
        <v>0.62</v>
      </c>
      <c r="O22" s="260">
        <f t="shared" ref="O22:O23" si="7">M22*N22</f>
        <v>1.7484</v>
      </c>
      <c r="P22" s="258">
        <f t="shared" ref="P22:P23" si="8">O22*L22</f>
        <v>1.7484</v>
      </c>
      <c r="Q22" s="251">
        <f t="shared" ref="Q22:Q23" si="9">Q$20*O22</f>
        <v>75166.329806451613</v>
      </c>
      <c r="R22" s="304">
        <f t="shared" ref="R22:R23" si="10">Q22+R$20</f>
        <v>90166.329806451613</v>
      </c>
      <c r="S22" s="290"/>
      <c r="T22" s="46"/>
      <c r="U22" s="9"/>
      <c r="X22" s="4"/>
    </row>
    <row r="23" spans="2:25" ht="17.399999999999999" x14ac:dyDescent="0.3">
      <c r="B23" s="431">
        <v>1</v>
      </c>
      <c r="C23" s="432" t="s">
        <v>295</v>
      </c>
      <c r="D23" s="433">
        <v>1.72</v>
      </c>
      <c r="E23" s="433">
        <v>0.6</v>
      </c>
      <c r="F23" s="431" t="s">
        <v>288</v>
      </c>
      <c r="G23" s="434">
        <v>61379</v>
      </c>
      <c r="H23" s="434">
        <f t="shared" si="3"/>
        <v>61379</v>
      </c>
      <c r="I23" s="305"/>
      <c r="J23" s="264"/>
      <c r="K23" s="47"/>
      <c r="L23" s="47">
        <f t="shared" si="4"/>
        <v>1</v>
      </c>
      <c r="M23" s="39">
        <f t="shared" si="5"/>
        <v>1.74</v>
      </c>
      <c r="N23" s="39">
        <f t="shared" si="6"/>
        <v>0.62</v>
      </c>
      <c r="O23" s="260">
        <f t="shared" si="7"/>
        <v>1.0788</v>
      </c>
      <c r="P23" s="258">
        <f t="shared" si="8"/>
        <v>1.0788</v>
      </c>
      <c r="Q23" s="251">
        <f t="shared" si="9"/>
        <v>46379.22477419355</v>
      </c>
      <c r="R23" s="304">
        <f t="shared" si="10"/>
        <v>61379.22477419355</v>
      </c>
      <c r="S23" s="290"/>
      <c r="T23" s="46"/>
      <c r="U23" s="9"/>
      <c r="X23" s="4"/>
    </row>
    <row r="24" spans="2:25" ht="17.399999999999999" x14ac:dyDescent="0.3">
      <c r="B24" s="283"/>
      <c r="C24" s="324"/>
      <c r="D24" s="284"/>
      <c r="E24" s="284"/>
      <c r="F24" s="283"/>
      <c r="G24" s="305"/>
      <c r="H24" s="305"/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>
        <v>432</v>
      </c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SUM(H21:H25)</f>
        <v>193733</v>
      </c>
      <c r="I26" s="307"/>
      <c r="J26" s="264">
        <v>190</v>
      </c>
      <c r="K26" s="47">
        <v>1550</v>
      </c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2.48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36809.269999999997</v>
      </c>
      <c r="I27" s="307"/>
      <c r="J27" s="264">
        <f>SUM(J25:J26)</f>
        <v>622</v>
      </c>
      <c r="K27" s="47">
        <v>640</v>
      </c>
      <c r="L27" s="47"/>
      <c r="M27" s="39">
        <f>SUM(M21:M26)</f>
        <v>5.58</v>
      </c>
      <c r="N27" s="12"/>
      <c r="O27" s="12"/>
      <c r="P27" s="252">
        <f>SUM(P21:P25)</f>
        <v>3.4596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230542.27</v>
      </c>
      <c r="I28" s="307"/>
      <c r="J28" s="264"/>
      <c r="K28" s="47">
        <v>640</v>
      </c>
      <c r="L28" s="47"/>
      <c r="M28" s="39"/>
      <c r="N28" s="12"/>
      <c r="O28" s="12"/>
      <c r="P28" s="252">
        <f>P27</f>
        <v>3.4596</v>
      </c>
      <c r="Q28" s="14"/>
      <c r="R28" s="12"/>
      <c r="S28" s="239">
        <f>SUM(S21:S27)</f>
        <v>1.02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>
        <v>1220</v>
      </c>
      <c r="K29" s="47"/>
      <c r="L29" s="47"/>
      <c r="M29" s="14"/>
      <c r="N29" s="12"/>
      <c r="O29" s="12"/>
      <c r="P29" s="39">
        <f>P28*20%</f>
        <v>0.69192000000000009</v>
      </c>
      <c r="Q29" s="39" t="s">
        <v>129</v>
      </c>
      <c r="R29" s="42"/>
      <c r="S29" s="240">
        <f>S28+T26</f>
        <v>3.5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>
        <f>J29-J27</f>
        <v>598</v>
      </c>
      <c r="K30" s="47">
        <f>SUM(K26:K29)</f>
        <v>2830</v>
      </c>
      <c r="L30" s="47"/>
      <c r="M30" s="14"/>
      <c r="N30" s="12"/>
      <c r="O30" s="12"/>
      <c r="P30" s="46">
        <f>P28+P29</f>
        <v>4.1515199999999997</v>
      </c>
      <c r="Q30" s="14"/>
      <c r="R30" s="14"/>
      <c r="S30" s="238">
        <f>S29*20%</f>
        <v>0.70000000000000007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4.2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4.1515199999999997</v>
      </c>
      <c r="N32" s="12">
        <v>4000</v>
      </c>
      <c r="O32" s="12">
        <f t="shared" ref="O32:O37" si="11">M32*N32</f>
        <v>16606.079999999998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1.2</v>
      </c>
      <c r="N33" s="12">
        <v>25000</v>
      </c>
      <c r="O33" s="12">
        <f t="shared" si="11"/>
        <v>30000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1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21000</v>
      </c>
      <c r="O35" s="12">
        <f t="shared" si="11"/>
        <v>21000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1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2000</v>
      </c>
      <c r="O37" s="12">
        <f t="shared" si="11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67606.080000000002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148733.37600000002</v>
      </c>
      <c r="P39" s="14" t="s">
        <v>138</v>
      </c>
      <c r="Q39" s="14"/>
      <c r="R39" s="40">
        <f>P30/R38</f>
        <v>1.1193701466781707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32090</v>
      </c>
      <c r="L40" s="249"/>
      <c r="M40" s="14"/>
      <c r="N40" s="12"/>
      <c r="O40" s="12">
        <f>O39/P28</f>
        <v>42991.494970516826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26966.386554621851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289</v>
      </c>
      <c r="B1" t="s">
        <v>290</v>
      </c>
      <c r="C1" t="s">
        <v>277</v>
      </c>
      <c r="D1" t="s">
        <v>6</v>
      </c>
    </row>
    <row r="2" spans="1:4" x14ac:dyDescent="0.3">
      <c r="A2" t="str">
        <f>'2229'!D8</f>
        <v>N° 12171</v>
      </c>
      <c r="B2" t="str">
        <f>'2229'!C10</f>
        <v>FERNANDO RODRIGUEZ</v>
      </c>
      <c r="C2" s="1">
        <f>'2229'!G10</f>
        <v>45804</v>
      </c>
      <c r="D2" s="61">
        <f>'2229'!H28</f>
        <v>230542.27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45804</v>
      </c>
    </row>
    <row r="6" spans="2:31" ht="16.2" thickBot="1" x14ac:dyDescent="0.35">
      <c r="B6" s="140" t="s">
        <v>2</v>
      </c>
      <c r="C6" s="139" t="str">
        <f>'2229'!C10</f>
        <v>FERNANDO RODRIGUEZ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-11267.786366787439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193733</v>
      </c>
      <c r="E11" s="132">
        <f>D11*0.19</f>
        <v>36809.269999999997</v>
      </c>
      <c r="F11" s="131">
        <f>E11+D11</f>
        <v>230542.27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94722.213633212566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76440.170787439623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76722.213633212566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117292.82921256038</v>
      </c>
      <c r="E13" s="221">
        <f>(D11/D12)-1</f>
        <v>1.5344396539709657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67722.213633212566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28722.213633212559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126126.28179927537</v>
      </c>
      <c r="F15" s="216">
        <f>E15-D12</f>
        <v>49686.111011835746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28722.213633212559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68722.213633212566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16606.079999999998</v>
      </c>
      <c r="E20" s="121">
        <f>D20*0.19</f>
        <v>3155.1551999999997</v>
      </c>
      <c r="F20" s="120">
        <f>SUM(D20:E20)</f>
        <v>19761.235199999999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46606.080000000002</v>
      </c>
      <c r="E21" s="116">
        <f>SUM(E18:E20)</f>
        <v>8855.1551999999992</v>
      </c>
      <c r="F21" s="115">
        <f>SUM(F18:F20)</f>
        <v>55461.235199999996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27954.114799999996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193733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46606.080000000002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117292.82921256038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117292.82921256038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12171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FERNANDO RODRIGUEZ</v>
      </c>
      <c r="D10" s="349"/>
      <c r="E10" s="349"/>
      <c r="F10" s="350" t="s">
        <v>167</v>
      </c>
      <c r="G10" s="351">
        <f>'2229'!G10</f>
        <v>45804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45811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+56 9 4770 0665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FRENTO RECTO</v>
      </c>
      <c r="D22" s="320">
        <f>'2229'!D21*1000</f>
        <v>1000</v>
      </c>
      <c r="E22" s="320">
        <f>'2229'!E21*1000</f>
        <v>600</v>
      </c>
      <c r="F22" s="321" t="str">
        <f>'2229'!F21</f>
        <v>BLANCO OPACO</v>
      </c>
      <c r="G22" s="313">
        <f>'2229'!G21</f>
        <v>42188</v>
      </c>
      <c r="H22" s="322">
        <f>G22*B22</f>
        <v>42188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42188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8015.72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50203.72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FERNANDO RODRIGUEZ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45804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45811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12171</v>
      </c>
      <c r="C2" s="1">
        <f>'NOTA DE VENTA'!$G$10</f>
        <v>45804</v>
      </c>
      <c r="D2" s="1">
        <f>'NOTA DE VENTA'!$G$11</f>
        <v>45811</v>
      </c>
      <c r="E2" t="str">
        <f>'NOTA DE VENTA'!$C$10</f>
        <v>FERNANDO RODRIGUEZ</v>
      </c>
      <c r="F2" t="str">
        <f>'NOTA DE VENTA'!$C$22</f>
        <v>CUB SIN RESPALDO FRENTO RECTO</v>
      </c>
      <c r="G2" t="str">
        <f>'NOTA DE VENTA'!$F$22</f>
        <v>BLANCO OPACO</v>
      </c>
      <c r="H2" s="415">
        <f>'NOTA DE VENTA'!$H$25</f>
        <v>42188</v>
      </c>
      <c r="I2" s="415">
        <f>H2*0.19</f>
        <v>8015.72</v>
      </c>
      <c r="J2" s="415">
        <f>I2+H2</f>
        <v>50203.72</v>
      </c>
      <c r="L2" s="61">
        <f>J2-K2</f>
        <v>50203.72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2026-05-25T15:12:38Z</cp:lastPrinted>
  <dcterms:created xsi:type="dcterms:W3CDTF">2013-03-18T13:35:42Z</dcterms:created>
  <dcterms:modified xsi:type="dcterms:W3CDTF">2026-05-27T21:20:54Z</dcterms:modified>
</cp:coreProperties>
</file>