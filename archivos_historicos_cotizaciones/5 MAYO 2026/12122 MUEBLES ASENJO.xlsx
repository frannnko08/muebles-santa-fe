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B533AE49-52AF-4876-BD28-06391BFB21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L22" i="1"/>
  <c r="M22" i="1"/>
  <c r="N22" i="1"/>
  <c r="B23" i="1"/>
  <c r="O22" i="1" l="1"/>
  <c r="P22" i="1" s="1"/>
  <c r="S22" i="1"/>
  <c r="M21" i="1"/>
  <c r="L21" i="1"/>
  <c r="S21" i="1" l="1"/>
  <c r="N21" i="1" l="1"/>
  <c r="O21" i="1" l="1"/>
  <c r="P21" i="1" s="1"/>
  <c r="P26" i="1" s="1"/>
  <c r="S27" i="1"/>
  <c r="M26" i="1"/>
  <c r="T25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Q21" i="1"/>
  <c r="O40" i="1"/>
  <c r="E15" i="3"/>
  <c r="R22" i="1" l="1"/>
  <c r="H22" i="1"/>
  <c r="R21" i="1"/>
  <c r="H21" i="1" s="1"/>
  <c r="F15" i="3"/>
  <c r="H25" i="1" l="1"/>
  <c r="J30" i="1" s="1"/>
  <c r="H26" i="1"/>
  <c r="H27" i="1" s="1"/>
  <c r="J27" i="1" l="1"/>
  <c r="D11" i="3"/>
  <c r="X9" i="3" s="1"/>
  <c r="X15" i="3" s="1"/>
  <c r="X12" i="3" l="1"/>
  <c r="D13" i="3"/>
  <c r="M42" i="3"/>
  <c r="M46" i="3" s="1"/>
  <c r="M49" i="3" s="1"/>
  <c r="X14" i="3"/>
  <c r="X11" i="3"/>
  <c r="X13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<sst xmlns="http://schemas.openxmlformats.org/spreadsheetml/2006/main" count="232" uniqueCount="175">
  <si>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</si>
  <si>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</si>
  <si>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</si>
  <si>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</si>
  <si>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</si>
  <si>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</si>
  <si>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</si>
  <si>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</si>
  <si>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</si>
  <si>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</si>
  <si>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</si>
  <si>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</si>
  <si>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</si>
  <si>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</si>
  <si>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</si>
  <si>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</si>
  <si>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</si>
  <si>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</si>
  <si>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</si>
  <si>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</si>
  <si>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</si>
  <si>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</si>
  <si>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</si>
  <si>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</si>
  <si>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</si>
  <si>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</si>
  <si>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</si>
  <si>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</si>
  <si>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</si>
  <si>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</si>
  <si>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</si>
  <si>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</si>
  <si>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</si>
  <si>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</si>
  <si>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</si>
  <si>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</si>
  <si>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</si>
  <si>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</si>
  <si>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</si>
  <si>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</si>
  <si>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</si>
  <si>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</si>
  <si>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</si>
  <si>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</si>
  <si>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</si>
  <si>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</si>
  <si>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</si>
  <si>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</si>
  <si>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</si>
  <si>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</si>
  <si>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</si>
  <si>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</si>
  <si>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</si>
  <si>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</si>
  <si>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</si>
  <si>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</si>
  <si>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</si>
  <si>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</si>
  <si>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</si>
  <si>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</si>
  <si>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</si>
  <si>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</si>
  <si>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</si>
  <si>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</si>
  <si>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</si>
  <si>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</si>
  <si>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</si>
  <si>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</si>
  <si>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</si>
  <si>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</si>
  <si>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</si>
  <si>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</si>
  <si>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</si>
  <si>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</si>
  <si>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</si>
  <si>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</si>
  <si>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</si>
  <si>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</si>
  <si>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</si>
  <si>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</si>
  <si>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</si>
  <si>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</si>
  <si>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</si>
  <si>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</si>
  <si>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</si>
  <si>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</si>
  <si>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</si>
  <si>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</si>
  <si>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</si>
  <si>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</si>
  <si>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</si>
  <si>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</si>
  <si>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</si>
  <si>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</si>
  <si>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</si>
  <si>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</si>
  <si>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</si>
  <si>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</si>
  <si>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</si>
  <si>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</si>
  <si>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</si>
  <si>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</si>
  <si>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</si>
  <si>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</si>
  <si>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</si>
  <si>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</si>
  <si>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</si>
  <si>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</si>
  <si>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</si>
  <si>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</si>
  <si>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</si>
  <si>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</si>
  <si>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</si>
  <si>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</si>
  <si>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</si>
  <si>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</si>
  <si>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</si>
  <si>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</si>
  <si>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</si>
  <si>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</si>
  <si>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</si>
  <si>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</si>
  <si>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</si>
  <si>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</si>
  <si>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</si>
  <si>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</si>
  <si>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</si>
  <si>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</si>
  <si>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</si>
  <si>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</si>
  <si>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</si>
  <si>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</si>
  <si>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</si>
  <si>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</si>
  <si>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</si>
  <si>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</si>
  <si>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</si>
  <si>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</si>
  <si>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</si>
  <si>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</si>
  <si>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</si>
  <si>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</si>
  <si>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</si>
  <si>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</si>
  <si>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</si>
  <si>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</si>
  <si>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</si>
  <si>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</si>
  <si>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</si>
  <si>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</si>
  <si>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</si>
  <si>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</si>
  <si>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</si>
  <si>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</si>
  <si>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</si>
  <si>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</si>
  <si>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</si>
  <si>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</si>
  <si>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</si>
  <si>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</si>
  <si>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</si>
  <si>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</si>
  <si>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</si>
  <si>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</si>
  <si>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</si>
  <si>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</si>
  <si>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</si>
  <si>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</si>
  <si>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</si>
  <si>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</si>
  <si>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</si>
  <si>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CUB C/R 90° R8</t>
  </si>
  <si>
    <t>ASTRAL 3030 MT</t>
  </si>
  <si>
    <t>3 DIA HABIL</t>
  </si>
  <si>
    <t>N° 12122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</si>
</sst>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42" fontId="21" fillId="0" borderId="0" xfId="0" applyNumberFormat="1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25913</xdr:rowOff>
    </xdr:from>
    <xdr:to>
      <xdr:col>5</xdr:col>
      <xdr:colOff>1728839</xdr:colOff>
      <xdr:row>27</xdr:row>
      <xdr:rowOff>32775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269784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5" zoomScale="80" zoomScaleNormal="80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46150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93343.921568627469</v>
      </c>
      <c r="R20" s="258">
        <v>13000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171</v>
      </c>
      <c r="D21" s="332">
        <v>1.38</v>
      </c>
      <c r="E21" s="332">
        <v>0.6</v>
      </c>
      <c r="F21" s="330" t="s">
        <v>172</v>
      </c>
      <c r="G21" s="331">
        <v>81769</v>
      </c>
      <c r="H21" s="331">
        <f t="shared" ref="H21" si="1">G21*B21</f>
        <v>81769</v>
      </c>
      <c r="I21" s="320"/>
      <c r="J21" s="265"/>
      <c r="K21" s="47"/>
      <c r="L21" s="47">
        <f>B21</f>
        <v>1</v>
      </c>
      <c r="M21" s="39">
        <f>D21+M$19</f>
        <v>1.46</v>
      </c>
      <c r="N21" s="39">
        <f t="shared" ref="N21" si="2">E21+$N$19</f>
        <v>0.6</v>
      </c>
      <c r="O21" s="261">
        <f t="shared" ref="O21" si="3">M21*N21</f>
        <v>0.876</v>
      </c>
      <c r="P21" s="259">
        <f t="shared" ref="P21" si="4">O21*L21</f>
        <v>0.876</v>
      </c>
      <c r="Q21" s="252">
        <f t="shared" ref="Q21" si="5">Q$20*O21</f>
        <v>81769.275294117659</v>
      </c>
      <c r="R21" s="319">
        <f t="shared" ref="R21" si="6">Q21+R$20</f>
        <v>94769.275294117659</v>
      </c>
      <c r="S21" s="297">
        <f t="shared" ref="S21" si="7">L21*M21</f>
        <v>1.46</v>
      </c>
      <c r="T21" s="46"/>
      <c r="U21" s="9"/>
      <c r="X21" s="4"/>
    </row>
    <row r="22" spans="1:25" ht="17.399999999999999" x14ac:dyDescent="0.3">
      <c r="B22" s="330">
        <v>1</v>
      </c>
      <c r="C22" s="330" t="s">
        <v>171</v>
      </c>
      <c r="D22" s="332">
        <v>2.0299999999999998</v>
      </c>
      <c r="E22" s="332">
        <v>0.6</v>
      </c>
      <c r="F22" s="330" t="s">
        <v>172</v>
      </c>
      <c r="G22" s="331">
        <v>118173</v>
      </c>
      <c r="H22" s="331">
        <f t="shared" ref="H22" si="8">G22*B22</f>
        <v>118173</v>
      </c>
      <c r="I22" s="320"/>
      <c r="J22" s="265"/>
      <c r="K22" s="47"/>
      <c r="L22" s="47">
        <f t="shared" ref="L22" si="9">B22</f>
        <v>1</v>
      </c>
      <c r="M22" s="39">
        <f t="shared" ref="M22" si="10">D22+M$19</f>
        <v>2.11</v>
      </c>
      <c r="N22" s="39">
        <f t="shared" ref="N22" si="11">E22+$N$19</f>
        <v>0.6</v>
      </c>
      <c r="O22" s="261">
        <f t="shared" ref="O22" si="12">M22*N22</f>
        <v>1.2659999999999998</v>
      </c>
      <c r="P22" s="259">
        <f t="shared" ref="P22" si="13">O22*L22</f>
        <v>1.2659999999999998</v>
      </c>
      <c r="Q22" s="252">
        <f t="shared" ref="Q22" si="14">Q$20*O22</f>
        <v>118173.40470588236</v>
      </c>
      <c r="R22" s="319">
        <f t="shared" ref="R22" si="15">Q22+R$20</f>
        <v>131173.40470588236</v>
      </c>
      <c r="S22" s="297">
        <f t="shared" ref="S22" si="16">L22*M22</f>
        <v>2.11</v>
      </c>
      <c r="T22" s="46"/>
      <c r="U22" s="9"/>
      <c r="X22" s="4"/>
    </row>
    <row r="23" spans="1:25" ht="16.2" customHeight="1" x14ac:dyDescent="0.3">
      <c r="B23" s="285">
        <f>SUM(B21:B22)</f>
        <v>2</v>
      </c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6.2" customHeight="1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199942</v>
      </c>
      <c r="I25" s="322"/>
      <c r="J25" s="265">
        <v>1971198</v>
      </c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0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37988.980000000003</v>
      </c>
      <c r="I26" s="322"/>
      <c r="J26" s="265"/>
      <c r="K26" s="47"/>
      <c r="L26" s="47"/>
      <c r="M26" s="39">
        <f>SUM(M21:M25)</f>
        <v>3.57</v>
      </c>
      <c r="N26" s="12"/>
      <c r="O26" s="12"/>
      <c r="P26" s="253">
        <f>SUM(P21:P24)</f>
        <v>2.1419999999999999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237930.98</v>
      </c>
      <c r="I27" s="322"/>
      <c r="J27" s="333">
        <f>H25+J35</f>
        <v>1019942</v>
      </c>
      <c r="K27" s="47"/>
      <c r="L27" s="47"/>
      <c r="M27" s="39"/>
      <c r="N27" s="12"/>
      <c r="O27" s="12"/>
      <c r="P27" s="253">
        <f>P26</f>
        <v>2.1419999999999999</v>
      </c>
      <c r="Q27" s="14"/>
      <c r="R27" s="12"/>
      <c r="S27" s="239">
        <f>SUM(S21:S26)</f>
        <v>3.57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0.4284</v>
      </c>
      <c r="Q28" s="39" t="s">
        <v>130</v>
      </c>
      <c r="R28" s="42"/>
      <c r="S28" s="240">
        <f>S27+T25</f>
        <v>3.57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2.5703999999999998</v>
      </c>
      <c r="Q29" s="14"/>
      <c r="R29" s="14"/>
      <c r="S29" s="238">
        <f>S28*20%</f>
        <v>0.71399999999999997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333">
        <f>H25+J35</f>
        <v>1019942</v>
      </c>
      <c r="K30" s="47"/>
      <c r="L30" s="47"/>
      <c r="M30" s="14"/>
      <c r="N30" s="14"/>
      <c r="O30" s="14"/>
      <c r="P30" s="14"/>
      <c r="Q30" s="14"/>
      <c r="R30" s="14"/>
      <c r="S30" s="240">
        <f>S28+S29</f>
        <v>4.2839999999999998</v>
      </c>
      <c r="T30" s="14"/>
      <c r="U30" s="302" t="s">
        <v>21</v>
      </c>
      <c r="V30" s="299" t="s">
        <v>151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2.5703999999999998</v>
      </c>
      <c r="N31" s="12">
        <v>2000</v>
      </c>
      <c r="O31" s="12">
        <f t="shared" ref="O31:O36" si="17">M31*N31</f>
        <v>5140.7999999999993</v>
      </c>
      <c r="P31" s="14" t="s">
        <v>21</v>
      </c>
      <c r="Q31" s="14"/>
      <c r="R31" s="14"/>
      <c r="S31" s="241"/>
      <c r="T31" s="14"/>
      <c r="U31" s="302" t="s">
        <v>152</v>
      </c>
      <c r="V31" s="299">
        <v>3625</v>
      </c>
      <c r="W31" s="59" t="s">
        <v>153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1</v>
      </c>
      <c r="N32" s="12">
        <v>25000</v>
      </c>
      <c r="O32" s="12">
        <f t="shared" si="17"/>
        <v>25000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154</v>
      </c>
      <c r="X32" s="304"/>
    </row>
    <row r="33" spans="2:24" s="230" customFormat="1" ht="17.399999999999999" x14ac:dyDescent="0.35">
      <c r="B33" s="24" t="s">
        <v>150</v>
      </c>
      <c r="J33" s="262"/>
      <c r="K33" s="232"/>
      <c r="L33" s="250"/>
      <c r="M33" s="14"/>
      <c r="N33" s="250">
        <v>38770</v>
      </c>
      <c r="O33" s="12">
        <f t="shared" si="17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155</v>
      </c>
      <c r="X33" s="59"/>
    </row>
    <row r="34" spans="2:24" s="230" customFormat="1" ht="17.399999999999999" x14ac:dyDescent="0.35">
      <c r="B34" s="24" t="s">
        <v>143</v>
      </c>
      <c r="C34"/>
      <c r="D34"/>
      <c r="E34"/>
      <c r="F34"/>
      <c r="J34" s="262">
        <v>20</v>
      </c>
      <c r="K34" s="232"/>
      <c r="L34" s="250"/>
      <c r="M34" s="14">
        <v>1.5</v>
      </c>
      <c r="N34" s="250">
        <v>41000</v>
      </c>
      <c r="O34" s="12">
        <f t="shared" si="17"/>
        <v>61500</v>
      </c>
      <c r="P34" s="14" t="s">
        <v>170</v>
      </c>
      <c r="Q34" s="17"/>
      <c r="S34" s="238"/>
      <c r="T34" s="256"/>
      <c r="U34" s="59"/>
      <c r="V34" s="59">
        <f>V32+V33</f>
        <v>1087.5</v>
      </c>
      <c r="W34" s="304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>
        <f>J34*N34</f>
        <v>820000</v>
      </c>
      <c r="K35" s="260"/>
      <c r="L35" s="250"/>
      <c r="M35" s="249"/>
      <c r="N35" s="250">
        <v>15700</v>
      </c>
      <c r="O35" s="12">
        <f t="shared" si="17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>
        <v>3.57</v>
      </c>
      <c r="N36" s="12">
        <v>1000</v>
      </c>
      <c r="O36" s="12">
        <f t="shared" si="17"/>
        <v>3570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95210.8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O37*2.1</f>
        <v>199942.68000000002</v>
      </c>
      <c r="P38" s="14" t="s">
        <v>140</v>
      </c>
      <c r="Q38" s="14"/>
      <c r="R38" s="40">
        <f>P29/R37</f>
        <v>0.6930543572044866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L39" s="250"/>
      <c r="M39" s="14"/>
      <c r="N39" s="12"/>
      <c r="O39" s="12">
        <f>O38/P27</f>
        <v>93343.921568627469</v>
      </c>
      <c r="P39" s="45" t="s">
        <v>24</v>
      </c>
      <c r="Q39" s="14"/>
      <c r="R39" s="14"/>
      <c r="S39"/>
      <c r="T39" s="238"/>
      <c r="U39" s="59" t="s">
        <v>157</v>
      </c>
      <c r="V39" s="299">
        <v>43650</v>
      </c>
    </row>
    <row r="40" spans="2:24" s="230" customFormat="1" ht="17.399999999999999" x14ac:dyDescent="0.35">
      <c r="G40"/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159</v>
      </c>
      <c r="V40" s="300" t="s">
        <v>158</v>
      </c>
      <c r="W40" s="59">
        <v>2.4</v>
      </c>
    </row>
    <row r="41" spans="2:24" s="230" customFormat="1" ht="17.399999999999999" x14ac:dyDescent="0.35">
      <c r="G41" s="23"/>
      <c r="J41" s="260"/>
      <c r="L41" s="12"/>
      <c r="T41" s="238"/>
      <c r="U41" s="59" t="s">
        <v>160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46150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12122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-16830.571700120774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199942</v>
      </c>
      <c r="E11" s="132">
        <f>D11*0.19</f>
        <v>37988.980000000003</v>
      </c>
      <c r="F11" s="131">
        <f>E11+D11</f>
        <v>237930.98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89159.428299879219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59974.89078743961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71159.428299879219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139967.1092125604</v>
      </c>
      <c r="E13" s="221">
        <f>(D11/D12)-1</f>
        <v>2.3337618022286311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62159.428299879226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23159.428299879226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98958.569799275356</v>
      </c>
      <c r="F15" s="216">
        <f>E15-D12</f>
        <v>38983.679011835746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23159.428299879226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63159.428299879226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5140.7999999999993</v>
      </c>
      <c r="E20" s="121">
        <f>D20*0.19</f>
        <v>976.75199999999984</v>
      </c>
      <c r="F20" s="120">
        <f>SUM(D20:E20)</f>
        <v>6117.5519999999988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30140.799999999999</v>
      </c>
      <c r="E21" s="116">
        <f>SUM(E18:E20)</f>
        <v>5726.7519999999995</v>
      </c>
      <c r="F21" s="115">
        <f>SUM(F18:F20)</f>
        <v>35867.551999999996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32262.228000000003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199942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30140.799999999999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139967.1092125604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139967.1092125604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2026-05-07T16:40:36Z</cp:lastPrinted>
  <dcterms:created xsi:type="dcterms:W3CDTF">2013-03-18T13:35:42Z</dcterms:created>
  <dcterms:modified xsi:type="dcterms:W3CDTF">2026-05-08T19:04:37Z</dcterms:modified>
</cp:coreProperties>
</file>