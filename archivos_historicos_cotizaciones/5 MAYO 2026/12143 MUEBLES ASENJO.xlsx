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F5B3F9FD-CF7F-4C57-82E4-BF52E5EA82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L22" i="1"/>
  <c r="M22" i="1"/>
  <c r="N22" i="1"/>
  <c r="B23" i="1"/>
  <c r="O22" i="1" l="1"/>
  <c r="P22" i="1" s="1"/>
  <c r="S22" i="1"/>
  <c r="M21" i="1"/>
  <c r="L21" i="1"/>
  <c r="S21" i="1" l="1"/>
  <c r="N21" i="1" l="1"/>
  <c r="O21" i="1" l="1"/>
  <c r="P21" i="1" s="1"/>
  <c r="P26" i="1" s="1"/>
  <c r="S27" i="1"/>
  <c r="M26" i="1"/>
  <c r="T25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Q21" i="1"/>
  <c r="O40" i="1"/>
  <c r="E15" i="3"/>
  <c r="R22" i="1" l="1"/>
  <c r="H22" i="1"/>
  <c r="R21" i="1"/>
  <c r="H21" i="1" s="1"/>
  <c r="F15" i="3"/>
  <c r="H25" i="1" l="1"/>
  <c r="J30" i="1" s="1"/>
  <c r="H26" i="1" l="1"/>
  <c r="H27" i="1" s="1"/>
  <c r="J27" i="1"/>
  <c r="D11" i="3"/>
  <c r="X9" i="3" s="1"/>
  <c r="X15" i="3" s="1"/>
  <c r="X12" i="3" l="1"/>
  <c r="D13" i="3"/>
  <c r="M42" i="3"/>
  <c r="M46" i="3" s="1"/>
  <c r="M49" i="3" s="1"/>
  <c r="X14" i="3"/>
  <c r="X11" i="3"/>
  <c r="X13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<sst xmlns="http://schemas.openxmlformats.org/spreadsheetml/2006/main" count="232" uniqueCount="175">
  <si>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</si>
  <si>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</si>
  <si>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</si>
  <si>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</si>
  <si>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</si>
  <si>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</si>
  <si>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</si>
  <si>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</si>
  <si>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</si>
  <si>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</si>
  <si>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</si>
  <si>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</si>
  <si>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</si>
  <si>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</si>
  <si>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</si>
  <si>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</si>
  <si>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</si>
  <si>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</si>
  <si>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</si>
  <si>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</si>
  <si>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</si>
  <si>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</si>
  <si>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</si>
  <si>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</si>
  <si>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</si>
  <si>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</si>
  <si>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</si>
  <si>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</si>
  <si>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</si>
  <si>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</si>
  <si>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</si>
  <si>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</si>
  <si>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</si>
  <si>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</si>
  <si>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</si>
  <si>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</si>
  <si>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</si>
  <si>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</si>
  <si>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</si>
  <si>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</si>
  <si>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</si>
  <si>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</si>
  <si>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</si>
  <si>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</si>
  <si>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</si>
  <si>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</si>
  <si>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</si>
  <si>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</si>
  <si>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</si>
  <si>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</si>
  <si>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</si>
  <si>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</si>
  <si>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</si>
  <si>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</si>
  <si>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</si>
  <si>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</si>
  <si>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</si>
  <si>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</si>
  <si>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</si>
  <si>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</si>
  <si>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</si>
  <si>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</si>
  <si>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</si>
  <si>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</si>
  <si>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</si>
  <si>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</si>
  <si>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</si>
  <si>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</si>
  <si>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</si>
  <si>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</si>
  <si>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</si>
  <si>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</si>
  <si>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</si>
  <si>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</si>
  <si>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</si>
  <si>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</si>
  <si>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</si>
  <si>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</si>
  <si>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</si>
  <si>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</si>
  <si>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</si>
  <si>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</si>
  <si>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</si>
  <si>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</si>
  <si>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</si>
  <si>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</si>
  <si>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</si>
  <si>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</si>
  <si>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</si>
  <si>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</si>
  <si>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</si>
  <si>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</si>
  <si>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</si>
  <si>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</si>
  <si>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</si>
  <si>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</si>
  <si>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</si>
  <si>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</si>
  <si>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</si>
  <si>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</si>
  <si>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</si>
  <si>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</si>
  <si>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</si>
  <si>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</si>
  <si>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</si>
  <si>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</si>
  <si>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</si>
  <si>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</si>
  <si>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</si>
  <si>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</si>
  <si>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</si>
  <si>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</si>
  <si>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</si>
  <si>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</si>
  <si>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</si>
  <si>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</si>
  <si>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</si>
  <si>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</si>
  <si>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</si>
  <si>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</si>
  <si>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</si>
  <si>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</si>
  <si>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</si>
  <si>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</si>
  <si>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</si>
  <si>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</si>
  <si>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</si>
  <si>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</si>
  <si>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</si>
  <si>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</si>
  <si>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</si>
  <si>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</si>
  <si>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</si>
  <si>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</si>
  <si>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</si>
  <si>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</si>
  <si>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</si>
  <si>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</si>
  <si>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</si>
  <si>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</si>
  <si>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</si>
  <si>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</si>
  <si>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</si>
  <si>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</si>
  <si>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</si>
  <si>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</si>
  <si>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</si>
  <si>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</si>
  <si>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</si>
  <si>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</si>
  <si>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</si>
  <si>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</si>
  <si>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</si>
  <si>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</si>
  <si>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</si>
  <si>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</si>
  <si>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</si>
  <si>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</si>
  <si>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</si>
  <si>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</si>
  <si>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</si>
  <si>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</si>
  <si>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</si>
  <si>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</si>
  <si>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</si>
  <si>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</si>
  <si>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</si>
  <si>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</si>
  <si>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</si>
  <si>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</si>
  <si>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</si>
  <si>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N° 12143</t>
  </si>
  <si>
    <t>7 DIAS HABILES</t>
  </si>
  <si>
    <t>CUB MESA PT 2L</t>
  </si>
  <si>
    <t>HAYA 1750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</si>
</sst>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42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25913</xdr:rowOff>
    </xdr:from>
    <xdr:to>
      <xdr:col>5</xdr:col>
      <xdr:colOff>1728839</xdr:colOff>
      <xdr:row>27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7" zoomScale="80" zoomScaleNormal="80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46157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>
        <v>0.14000000000000001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59449.005628517822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5</v>
      </c>
      <c r="C21" s="330" t="s">
        <v>173</v>
      </c>
      <c r="D21" s="332">
        <v>1.5</v>
      </c>
      <c r="E21" s="332">
        <v>0.7</v>
      </c>
      <c r="F21" s="330" t="s">
        <v>174</v>
      </c>
      <c r="G21" s="331">
        <v>78901</v>
      </c>
      <c r="H21" s="331">
        <f t="shared" ref="H21" si="1">G21*B21</f>
        <v>394505</v>
      </c>
      <c r="I21" s="320"/>
      <c r="J21" s="265"/>
      <c r="K21" s="47"/>
      <c r="L21" s="47">
        <f>B21</f>
        <v>5</v>
      </c>
      <c r="M21" s="39">
        <f>D21+M$19</f>
        <v>1.58</v>
      </c>
      <c r="N21" s="39">
        <f t="shared" ref="N21" si="2">E21+$N$19</f>
        <v>0.84</v>
      </c>
      <c r="O21" s="261">
        <f t="shared" ref="O21" si="3">M21*N21</f>
        <v>1.3271999999999999</v>
      </c>
      <c r="P21" s="259">
        <f t="shared" ref="P21" si="4">O21*L21</f>
        <v>6.6359999999999992</v>
      </c>
      <c r="Q21" s="252">
        <f t="shared" ref="Q21" si="5">Q$20*O21</f>
        <v>78900.720270168851</v>
      </c>
      <c r="R21" s="319">
        <f t="shared" ref="R21" si="6">Q21+R$20</f>
        <v>81900.720270168851</v>
      </c>
      <c r="S21" s="297">
        <f t="shared" ref="S21" si="7">L21*M21</f>
        <v>7.9</v>
      </c>
      <c r="T21" s="46"/>
      <c r="U21" s="9"/>
      <c r="X21" s="4"/>
    </row>
    <row r="22" spans="1:25" ht="17.399999999999999" x14ac:dyDescent="0.3">
      <c r="B22" s="330">
        <v>2</v>
      </c>
      <c r="C22" s="330" t="s">
        <v>173</v>
      </c>
      <c r="D22" s="332">
        <v>1.3</v>
      </c>
      <c r="E22" s="332">
        <v>0.7</v>
      </c>
      <c r="F22" s="330" t="s">
        <v>174</v>
      </c>
      <c r="G22" s="331">
        <v>68913</v>
      </c>
      <c r="H22" s="331">
        <f t="shared" ref="H22" si="8">G22*B22</f>
        <v>137826</v>
      </c>
      <c r="I22" s="320"/>
      <c r="J22" s="265"/>
      <c r="K22" s="47"/>
      <c r="L22" s="47">
        <f t="shared" ref="L22" si="9">B22</f>
        <v>2</v>
      </c>
      <c r="M22" s="39">
        <f t="shared" ref="M22" si="10">D22+M$19</f>
        <v>1.3800000000000001</v>
      </c>
      <c r="N22" s="39">
        <f t="shared" ref="N22" si="11">E22+$N$19</f>
        <v>0.84</v>
      </c>
      <c r="O22" s="261">
        <f t="shared" ref="O22" si="12">M22*N22</f>
        <v>1.1592</v>
      </c>
      <c r="P22" s="259">
        <f t="shared" ref="P22" si="13">O22*L22</f>
        <v>2.3184</v>
      </c>
      <c r="Q22" s="252">
        <f t="shared" ref="Q22" si="14">Q$20*O22</f>
        <v>68913.287324577861</v>
      </c>
      <c r="R22" s="319">
        <f t="shared" ref="R22" si="15">Q22+R$20</f>
        <v>71913.287324577861</v>
      </c>
      <c r="S22" s="297">
        <f t="shared" ref="S22" si="16">L22*M22</f>
        <v>2.7600000000000002</v>
      </c>
      <c r="T22" s="46"/>
      <c r="U22" s="9"/>
      <c r="X22" s="4"/>
    </row>
    <row r="23" spans="1:25" ht="16.2" customHeight="1" x14ac:dyDescent="0.3">
      <c r="B23" s="285">
        <f>SUM(B21:B22)</f>
        <v>7</v>
      </c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6.2" customHeight="1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532331</v>
      </c>
      <c r="I25" s="322"/>
      <c r="J25" s="265">
        <v>1971198</v>
      </c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101142.89</v>
      </c>
      <c r="I26" s="322"/>
      <c r="J26" s="265"/>
      <c r="K26" s="47"/>
      <c r="L26" s="47"/>
      <c r="M26" s="39">
        <f>SUM(M21:M25)</f>
        <v>2.96</v>
      </c>
      <c r="N26" s="12"/>
      <c r="O26" s="12"/>
      <c r="P26" s="253">
        <f>SUM(P21:P24)</f>
        <v>8.9543999999999997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633473.89</v>
      </c>
      <c r="I27" s="322"/>
      <c r="J27" s="333">
        <f>H25+J35</f>
        <v>1152331</v>
      </c>
      <c r="K27" s="47"/>
      <c r="L27" s="47"/>
      <c r="M27" s="39"/>
      <c r="N27" s="12"/>
      <c r="O27" s="12"/>
      <c r="P27" s="253">
        <f>P26</f>
        <v>8.9543999999999997</v>
      </c>
      <c r="Q27" s="14"/>
      <c r="R27" s="12"/>
      <c r="S27" s="239">
        <f>SUM(S21:S26)</f>
        <v>10.66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1.79088</v>
      </c>
      <c r="Q28" s="39" t="s">
        <v>130</v>
      </c>
      <c r="R28" s="42"/>
      <c r="S28" s="240">
        <f>S27+T25</f>
        <v>10.66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10.745279999999999</v>
      </c>
      <c r="Q29" s="14"/>
      <c r="R29" s="14"/>
      <c r="S29" s="238">
        <f>S28*20%</f>
        <v>2.1320000000000001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333">
        <f>H25+J35</f>
        <v>1152331</v>
      </c>
      <c r="K30" s="47"/>
      <c r="L30" s="47"/>
      <c r="M30" s="14"/>
      <c r="N30" s="14"/>
      <c r="O30" s="14"/>
      <c r="P30" s="14"/>
      <c r="Q30" s="14"/>
      <c r="R30" s="14"/>
      <c r="S30" s="240">
        <f>S28+S29</f>
        <v>12.792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10.745279999999999</v>
      </c>
      <c r="N31" s="12">
        <v>2000</v>
      </c>
      <c r="O31" s="12">
        <f t="shared" ref="O31:O36" si="17">M31*N31</f>
        <v>21490.559999999998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2.4</v>
      </c>
      <c r="N32" s="12">
        <v>45000</v>
      </c>
      <c r="O32" s="12">
        <f t="shared" si="17"/>
        <v>108000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38770</v>
      </c>
      <c r="O33" s="12">
        <f t="shared" si="17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>
        <v>20</v>
      </c>
      <c r="K34" s="232"/>
      <c r="L34" s="250"/>
      <c r="M34" s="14">
        <v>4</v>
      </c>
      <c r="N34" s="250">
        <v>31000</v>
      </c>
      <c r="O34" s="12">
        <f t="shared" si="17"/>
        <v>124000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>
        <f>J34*N34</f>
        <v>620000</v>
      </c>
      <c r="K35" s="260"/>
      <c r="L35" s="250"/>
      <c r="M35" s="249"/>
      <c r="N35" s="250">
        <v>15700</v>
      </c>
      <c r="O35" s="12">
        <f t="shared" si="17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1000</v>
      </c>
      <c r="O36" s="12">
        <f t="shared" si="17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253490.56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532330.17599999998</v>
      </c>
      <c r="P38" s="14" t="s">
        <v>140</v>
      </c>
      <c r="Q38" s="14"/>
      <c r="R38" s="40">
        <f>P29/R37</f>
        <v>2.897238999137187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L39" s="250"/>
      <c r="M39" s="14"/>
      <c r="N39" s="12"/>
      <c r="O39" s="12">
        <f>O38/P27</f>
        <v>59449.005628517822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12143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-44907.554366787437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532331</v>
      </c>
      <c r="E11" s="132">
        <f>D11*0.19</f>
        <v>101142.89</v>
      </c>
      <c r="F11" s="131">
        <f>E11+D11</f>
        <v>633473.89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61082.445633212563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159324.6507874396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43082.445633212563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373006.3492125604</v>
      </c>
      <c r="E13" s="221">
        <f>(D11/D12)-1</f>
        <v>2.3411716100994364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34082.445633212563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-4917.5543667874372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262885.67379927536</v>
      </c>
      <c r="F15" s="216">
        <f>E15-D12</f>
        <v>103561.02301183576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-4917.5543667874372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35082.445633212563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108000</v>
      </c>
      <c r="E19" s="123">
        <f>D19*0.19</f>
        <v>20520</v>
      </c>
      <c r="F19" s="120">
        <f>SUM(D19:E19)</f>
        <v>128520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21490.559999999998</v>
      </c>
      <c r="E20" s="121">
        <f>D20*0.19</f>
        <v>4083.2063999999996</v>
      </c>
      <c r="F20" s="120">
        <f>SUM(D20:E20)</f>
        <v>25573.766399999997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129490.56</v>
      </c>
      <c r="E21" s="116">
        <f>SUM(E18:E20)</f>
        <v>24603.206399999999</v>
      </c>
      <c r="F21" s="115">
        <f>SUM(F18:F20)</f>
        <v>154093.76639999999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76539.683600000004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532331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129490.56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373006.3492125604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373006.3492125604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2026-05-07T16:40:36Z</cp:lastPrinted>
  <dcterms:created xsi:type="dcterms:W3CDTF">2013-03-18T13:35:42Z</dcterms:created>
  <dcterms:modified xsi:type="dcterms:W3CDTF">2026-05-15T19:28:36Z</dcterms:modified>
</cp:coreProperties>
</file>