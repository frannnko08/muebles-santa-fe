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9778D20A-A8BE-4CCD-816A-815E8FC69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3" i="1"/>
  <c r="G22" i="1"/>
  <c r="G21" i="1"/>
  <c r="H22" i="1"/>
  <c r="L22" i="1" l="1"/>
  <c r="M22" i="1"/>
  <c r="N22" i="1"/>
  <c r="S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<sst xmlns="http://schemas.openxmlformats.org/spreadsheetml/2006/main" count="488" uniqueCount="294">
  <si>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</si>
  <si>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</si>
  <si>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</si>
  <si>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</si>
  <si>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</si>
  <si>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</si>
  <si>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</si>
  <si>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</si>
  <si>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</si>
  <si>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</si>
  <si>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</si>
  <si>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</si>
  <si>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</si>
  <si>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</si>
  <si>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</si>
  <si>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</si>
  <si>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</si>
  <si>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</si>
  <si>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</si>
  <si>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</si>
  <si>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</si>
  <si>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</si>
  <si>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</si>
  <si>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</si>
  <si>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</si>
  <si>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</si>
  <si>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</si>
  <si>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</si>
  <si>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</si>
  <si>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</si>
  <si>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</si>
  <si>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</si>
  <si>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</si>
  <si>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</si>
  <si>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</si>
  <si>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</si>
  <si>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</si>
  <si>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</si>
  <si>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</si>
  <si>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</si>
  <si>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</si>
  <si>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</si>
  <si>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</si>
  <si>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</si>
  <si>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</si>
  <si>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</si>
  <si>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</si>
  <si>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</si>
  <si>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</si>
  <si>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</si>
  <si>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</si>
  <si>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</si>
  <si>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</si>
  <si>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</si>
  <si>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</si>
  <si>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</si>
  <si>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</si>
  <si>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</si>
  <si>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</si>
  <si>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</si>
  <si>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</si>
  <si>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</si>
  <si>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</si>
  <si>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</si>
  <si>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</si>
  <si>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</si>
  <si>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</si>
  <si>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</si>
  <si>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</si>
  <si>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</si>
  <si>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</si>
  <si>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</si>
  <si>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</si>
  <si>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</si>
  <si>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</si>
  <si>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</si>
  <si>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</si>
  <si>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</si>
  <si>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</si>
  <si>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</si>
  <si>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</si>
  <si>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</si>
  <si>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</si>
  <si>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</si>
  <si>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</si>
  <si>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</si>
  <si>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</si>
  <si>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</si>
  <si>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</si>
  <si>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</si>
  <si>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</si>
  <si>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</si>
  <si>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</si>
  <si>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</si>
  <si>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</si>
  <si>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</si>
  <si>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</si>
  <si>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</si>
  <si>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</si>
  <si>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</si>
  <si>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</si>
  <si>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</si>
  <si>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</si>
  <si>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</si>
  <si>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</si>
  <si>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</si>
  <si>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</si>
  <si>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</si>
  <si>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</si>
  <si>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</si>
  <si>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</si>
  <si>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</si>
  <si>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</si>
  <si>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</si>
  <si>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</si>
  <si>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</si>
  <si>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</si>
  <si>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</si>
  <si>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</si>
  <si>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</si>
  <si>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</si>
  <si>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</si>
  <si>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</si>
  <si>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</si>
  <si>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</si>
  <si>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</si>
  <si>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</si>
  <si>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</si>
  <si>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</si>
  <si>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</si>
  <si>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</si>
  <si>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</si>
  <si>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</si>
  <si>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</si>
  <si>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</si>
  <si>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</si>
  <si>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</si>
  <si>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</si>
  <si>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</si>
  <si>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</si>
  <si>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</si>
  <si>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</si>
  <si>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</si>
  <si>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</si>
  <si>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</si>
  <si>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</si>
  <si>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</si>
  <si>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</si>
  <si>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</si>
  <si>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</si>
  <si>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</si>
  <si>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</si>
  <si>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</si>
  <si>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</si>
  <si>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</si>
  <si>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</si>
  <si>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</si>
  <si>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</si>
  <si>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</si>
  <si>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</si>
  <si>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</si>
  <si>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</si>
  <si>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</si>
  <si>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</si>
  <si>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</si>
  <si>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</si>
  <si>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</si>
  <si>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</si>
  <si>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</si>
  <si>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</si>
  <si>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</si>
  <si>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</si>
  <si>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</si>
  <si>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</si>
  <si>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</si>
  <si>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</si>
  <si>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</si>
  <si>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</si>
  <si>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</si>
  <si>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</si>
  <si>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</si>
  <si>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</si>
  <si>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</si>
  <si>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</si>
  <si>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</si>
  <si>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</si>
  <si>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</si>
  <si>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</si>
  <si>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</si>
  <si>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</si>
  <si>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</si>
  <si>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</si>
  <si>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</si>
  <si>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</si>
  <si>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</si>
  <si>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</si>
  <si>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</si>
  <si>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</si>
  <si>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</si>
  <si>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</si>
  <si>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</si>
  <si>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</si>
  <si>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</si>
  <si>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</si>
  <si>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</si>
  <si>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</si>
  <si>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</si>
  <si>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</si>
  <si>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</si>
  <si>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</si>
  <si>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</si>
  <si>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</si>
  <si>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</si>
  <si>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</si>
  <si>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</si>
  <si>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</si>
  <si>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</si>
  <si>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</si>
  <si>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</si>
  <si>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</si>
  <si>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</si>
  <si>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</si>
  <si>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</si>
  <si>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</si>
  <si>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</si>
  <si>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</si>
  <si>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</si>
  <si>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</si>
  <si>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</si>
  <si>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</si>
  <si>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</si>
  <si>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</si>
  <si>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</si>
  <si>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</si>
  <si>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</si>
  <si>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</si>
  <si>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</si>
  <si>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</si>
  <si>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</si>
  <si>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</si>
  <si>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</si>
  <si>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</si>
  <si>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</si>
  <si>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</si>
  <si>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</si>
  <si>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</si>
  <si>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</si>
  <si>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</si>
  <si>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</si>
  <si>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</si>
  <si>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</si>
  <si>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</si>
  <si>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</si>
  <si>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</si>
  <si>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</si>
  <si>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</si>
  <si>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</si>
  <si>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</si>
  <si>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</si>
  <si>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</si>
  <si>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</si>
  <si>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</si>
  <si>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</si>
  <si>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</si>
  <si>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</si>
  <si>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</si>
  <si>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</si>
  <si>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</si>
  <si>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</si>
  <si>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</si>
  <si>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</si>
  <si>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</si>
  <si>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</si>
  <si>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</si>
  <si>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</si>
  <si>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</si>
  <si>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</si>
  <si>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</si>
  <si>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</si>
  <si>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</si>
  <si>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</si>
  <si>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</si>
  <si>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</si>
  <si>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</si>
  <si>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</si>
  <si>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</si>
  <si>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</si>
  <si>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</si>
  <si>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</si>
  <si>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BLANCO</t>
  </si>
  <si>
    <t>SERVICIO CORTE DESFONDADO PARA LAVAPLATO Y ENCIMERA</t>
  </si>
  <si>
    <t>+56 9 9577 3922</t>
  </si>
  <si>
    <t>N° 12146</t>
  </si>
  <si>
    <t>3 A 5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</si>
</sst>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left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153629</xdr:rowOff>
    </xdr:from>
    <xdr:to>
      <xdr:col>5</xdr:col>
      <xdr:colOff>1736459</xdr:colOff>
      <xdr:row>26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51926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I14" sqref="I14"/>
    </sheetView>
  </sheetViews>
  <sheetFormatPr baseColWidth="10" defaultRowHeight="14.4" x14ac:dyDescent="0.3"/>
  <cols>
    <col min="1" max="1" width="6" customWidth="1"/>
    <col min="2" max="2" width="10.5546875" customWidth="1"/>
    <col min="3" max="3" width="30.109375" customWidth="1"/>
    <col min="4" max="4" width="12.77734375" customWidth="1"/>
    <col min="5" max="5" width="10.5546875" customWidth="1"/>
    <col min="6" max="6" width="31.109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/>
      <c r="D10" s="243"/>
      <c r="E10" s="243"/>
      <c r="F10" s="417" t="s">
        <v>277</v>
      </c>
      <c r="G10" s="275">
        <v>46157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291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69185.401929260435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58" t="s">
        <v>288</v>
      </c>
      <c r="D21" s="459">
        <v>2.16</v>
      </c>
      <c r="E21" s="459">
        <v>0.6</v>
      </c>
      <c r="F21" s="312" t="s">
        <v>289</v>
      </c>
      <c r="G21" s="313">
        <f>Q21</f>
        <v>92985.180192926025</v>
      </c>
      <c r="H21" s="460">
        <f>G21*B21</f>
        <v>92985.180192926025</v>
      </c>
      <c r="I21" s="305"/>
      <c r="J21" s="264"/>
      <c r="K21" s="47"/>
      <c r="L21" s="47">
        <f>B21</f>
        <v>1</v>
      </c>
      <c r="M21" s="39">
        <f>D21+M$19</f>
        <v>2.2400000000000002</v>
      </c>
      <c r="N21" s="39">
        <f>E21+$N$19</f>
        <v>0.6</v>
      </c>
      <c r="O21" s="260">
        <f t="shared" ref="O21" si="0">M21*N21</f>
        <v>1.3440000000000001</v>
      </c>
      <c r="P21" s="258">
        <f t="shared" ref="P21" si="1">O21*L21</f>
        <v>1.3440000000000001</v>
      </c>
      <c r="Q21" s="251">
        <f t="shared" ref="Q21" si="2">Q$20*O21</f>
        <v>92985.180192926025</v>
      </c>
      <c r="R21" s="304">
        <f t="shared" ref="R21" si="3">Q21+R$20</f>
        <v>95985.180192926025</v>
      </c>
      <c r="S21" s="290">
        <f>M21*L21</f>
        <v>2.2400000000000002</v>
      </c>
      <c r="T21" s="46">
        <f>N21*2*L21*2</f>
        <v>2.4</v>
      </c>
      <c r="U21" s="9"/>
      <c r="X21" s="4"/>
    </row>
    <row r="22" spans="1:25" ht="17.399999999999999" x14ac:dyDescent="0.3">
      <c r="B22" s="461">
        <v>1</v>
      </c>
      <c r="C22" s="432" t="s">
        <v>288</v>
      </c>
      <c r="D22" s="433">
        <v>2</v>
      </c>
      <c r="E22" s="433">
        <v>0.55000000000000004</v>
      </c>
      <c r="F22" s="431" t="s">
        <v>289</v>
      </c>
      <c r="G22" s="434">
        <f>Q22</f>
        <v>79148.099807073944</v>
      </c>
      <c r="H22" s="462">
        <f t="shared" ref="H22" si="4">G22*B22</f>
        <v>79148.099807073944</v>
      </c>
      <c r="I22" s="305"/>
      <c r="J22" s="264"/>
      <c r="K22" s="47"/>
      <c r="L22" s="47">
        <f t="shared" ref="L22" si="5">B22</f>
        <v>1</v>
      </c>
      <c r="M22" s="39">
        <f t="shared" ref="M22" si="6">D22+M$19</f>
        <v>2.08</v>
      </c>
      <c r="N22" s="39">
        <f t="shared" ref="N22" si="7">E22+$N$19</f>
        <v>0.55000000000000004</v>
      </c>
      <c r="O22" s="260">
        <f t="shared" ref="O22" si="8">M22*N22</f>
        <v>1.1440000000000001</v>
      </c>
      <c r="P22" s="258">
        <f t="shared" ref="P22" si="9">O22*L22</f>
        <v>1.1440000000000001</v>
      </c>
      <c r="Q22" s="251">
        <f t="shared" ref="Q22" si="10">Q$20*O22</f>
        <v>79148.099807073944</v>
      </c>
      <c r="R22" s="304">
        <f t="shared" ref="R22" si="11">Q22+R$20</f>
        <v>82148.099807073944</v>
      </c>
      <c r="S22" s="290">
        <f t="shared" ref="S22" si="12">M22*L22</f>
        <v>2.08</v>
      </c>
      <c r="T22" s="46"/>
      <c r="U22" s="9"/>
      <c r="X22" s="4"/>
    </row>
    <row r="23" spans="1:25" ht="18" thickBot="1" x14ac:dyDescent="0.35">
      <c r="B23" s="463">
        <v>2</v>
      </c>
      <c r="C23" s="464" t="s">
        <v>290</v>
      </c>
      <c r="D23" s="465"/>
      <c r="E23" s="465"/>
      <c r="F23" s="466"/>
      <c r="G23" s="467">
        <v>10000</v>
      </c>
      <c r="H23" s="468">
        <f>G23*B23</f>
        <v>20000</v>
      </c>
      <c r="I23" s="305"/>
      <c r="J23" s="264"/>
      <c r="K23" s="47"/>
      <c r="L23" s="47"/>
      <c r="M23" s="39"/>
      <c r="N23" s="39"/>
      <c r="O23" s="260"/>
      <c r="P23" s="258"/>
      <c r="Q23" s="251"/>
      <c r="R23" s="304"/>
      <c r="S23" s="290"/>
      <c r="T23" s="46"/>
      <c r="U23" s="9"/>
      <c r="X23" s="4"/>
    </row>
    <row r="24" spans="1:25" ht="18" thickBot="1" x14ac:dyDescent="0.35">
      <c r="B24" s="283"/>
      <c r="C24" s="324"/>
      <c r="D24" s="284"/>
      <c r="E24" s="284"/>
      <c r="F24" s="283"/>
      <c r="G24" s="264"/>
      <c r="H24" s="306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SUM(H21:H23)</f>
        <v>192133.27999999997</v>
      </c>
      <c r="I25" s="307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2.4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36505.323199999992</v>
      </c>
      <c r="I26" s="307"/>
      <c r="J26" s="264"/>
      <c r="K26" s="47"/>
      <c r="L26" s="47"/>
      <c r="M26" s="39">
        <f>SUM(M21:M25)</f>
        <v>4.32</v>
      </c>
      <c r="N26" s="12"/>
      <c r="O26" s="12"/>
      <c r="P26" s="252">
        <f>SUM(P21:P24)</f>
        <v>2.4880000000000004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228638.60319999995</v>
      </c>
      <c r="I27" s="307"/>
      <c r="J27" s="264"/>
      <c r="K27" s="47"/>
      <c r="L27" s="47"/>
      <c r="M27" s="39"/>
      <c r="N27" s="12"/>
      <c r="O27" s="12"/>
      <c r="P27" s="252">
        <f>P26</f>
        <v>2.4880000000000004</v>
      </c>
      <c r="Q27" s="14"/>
      <c r="R27" s="12"/>
      <c r="S27" s="239">
        <f>SUM(S21:S26)</f>
        <v>4.32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0.4976000000000001</v>
      </c>
      <c r="Q28" s="39" t="s">
        <v>129</v>
      </c>
      <c r="R28" s="42"/>
      <c r="S28" s="240">
        <f>S27+T25</f>
        <v>6.7200000000000006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2.9856000000000007</v>
      </c>
      <c r="Q29" s="14"/>
      <c r="R29" s="14"/>
      <c r="S29" s="238">
        <f>S28*20%</f>
        <v>1.3440000000000003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8.0640000000000001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2.9856000000000007</v>
      </c>
      <c r="N31" s="12">
        <v>4000</v>
      </c>
      <c r="O31" s="12">
        <f t="shared" ref="O31:O36" si="13">M31*N31</f>
        <v>11942.400000000003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0.8</v>
      </c>
      <c r="N32" s="12">
        <v>25000</v>
      </c>
      <c r="O32" s="12">
        <f t="shared" si="13"/>
        <v>20000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13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2</v>
      </c>
      <c r="N34" s="249">
        <v>20000</v>
      </c>
      <c r="O34" s="12">
        <f t="shared" si="13"/>
        <v>40000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4.2</v>
      </c>
      <c r="N36" s="12">
        <v>1500</v>
      </c>
      <c r="O36" s="12">
        <f t="shared" si="13"/>
        <v>6300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78242.399999999994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172133.28</v>
      </c>
      <c r="P38" s="14" t="s">
        <v>138</v>
      </c>
      <c r="Q38" s="14"/>
      <c r="R38" s="40">
        <f>P29/R37</f>
        <v>0.80500431406384831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69185.401929260435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46157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12146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-15033.678366787435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192133.27999999997</v>
      </c>
      <c r="E11" s="132">
        <f>D11*0.19</f>
        <v>36505.323199999992</v>
      </c>
      <c r="F11" s="131">
        <f>E11+D11</f>
        <v>228638.60319999995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90956.321633212559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61776.490787439616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72956.321633212559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130356.78921256035</v>
      </c>
      <c r="E13" s="221">
        <f>(D11/D12)-1</f>
        <v>2.1101358712830041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63956.321633212567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24956.321633212567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101931.20979927536</v>
      </c>
      <c r="F15" s="216">
        <f>E15-D12</f>
        <v>40154.719011835739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24956.321633212567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64956.321633212567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11942.400000000003</v>
      </c>
      <c r="E20" s="121">
        <f>D20*0.19</f>
        <v>2269.0560000000005</v>
      </c>
      <c r="F20" s="120">
        <f>SUM(D20:E20)</f>
        <v>14211.456000000004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31942.400000000001</v>
      </c>
      <c r="E21" s="116">
        <f>SUM(E18:E20)</f>
        <v>6069.0560000000005</v>
      </c>
      <c r="F21" s="115">
        <f>SUM(F18:F20)</f>
        <v>38011.456000000006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30436.267199999991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192133.27999999997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31942.400000000001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130356.78921256035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130356.78921256035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12146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/>
      </c>
      <c r="D10" s="349"/>
      <c r="E10" s="349"/>
      <c r="F10" s="350" t="s">
        <v>167</v>
      </c>
      <c r="G10" s="351">
        <f>'2229'!G10</f>
        <v>46157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46164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+56 9 9577 3922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CON RESPALDO FTE 90°</v>
      </c>
      <c r="D22" s="320">
        <f>'2229'!D21*1000</f>
        <v>2160</v>
      </c>
      <c r="E22" s="320">
        <f>'2229'!E21*1000</f>
        <v>600</v>
      </c>
      <c r="F22" s="321" t="str">
        <f>'2229'!F21</f>
        <v>BLANCO</v>
      </c>
      <c r="G22" s="313">
        <f>'2229'!G21</f>
        <v>92985.180192926025</v>
      </c>
      <c r="H22" s="322">
        <f>G22*B22</f>
        <v>92985.180192926025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92985.180192926025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17667.184236655947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110652.36442958197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/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46157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12146</v>
      </c>
      <c r="C2" s="1">
        <f>'NOTA DE VENTA'!$G$10</f>
        <v>46157</v>
      </c>
      <c r="D2" s="1">
        <f>'NOTA DE VENTA'!$G$11</f>
        <v>46164</v>
      </c>
      <c r="E2" t="str">
        <f>'NOTA DE VENTA'!$C$10</f>
        <v/>
      </c>
      <c r="F2" t="str">
        <f>'NOTA DE VENTA'!$C$22</f>
        <v>CUB CON RESPALDO FTE 90°</v>
      </c>
      <c r="G2" t="str">
        <f>'NOTA DE VENTA'!$F$22</f>
        <v>BLANCO</v>
      </c>
      <c r="H2" s="415">
        <f>'NOTA DE VENTA'!$H$25</f>
        <v>92985.180192926025</v>
      </c>
      <c r="I2" s="415">
        <f>H2*0.19</f>
        <v>17667.184236655947</v>
      </c>
      <c r="J2" s="415">
        <f>I2+H2</f>
        <v>110652.36442958197</v>
      </c>
      <c r="L2" s="61">
        <f>J2-K2</f>
        <v>110652.36442958197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2026-05-15T21:11:01Z</cp:lastPrinted>
  <dcterms:created xsi:type="dcterms:W3CDTF">2013-03-18T13:35:42Z</dcterms:created>
  <dcterms:modified xsi:type="dcterms:W3CDTF">2026-05-15T21:11:07Z</dcterms:modified>
</cp:coreProperties>
</file>