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4B6A0939-1A3B-4D20-B423-D79028E1D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<sst xmlns="http://schemas.openxmlformats.org/spreadsheetml/2006/main" count="486" uniqueCount="294">
  <si>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</si>
  <si>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</si>
  <si>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</si>
  <si>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</si>
  <si>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</si>
  <si>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</si>
  <si>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</si>
  <si>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</si>
  <si>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</si>
  <si>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</si>
  <si>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</si>
  <si>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</si>
  <si>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</si>
  <si>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</si>
  <si>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</si>
  <si>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</si>
  <si>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</si>
  <si>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</si>
  <si>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</si>
  <si>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</si>
  <si>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</si>
  <si>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</si>
  <si>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</si>
  <si>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</si>
  <si>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</si>
  <si>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</si>
  <si>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</si>
  <si>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</si>
  <si>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</si>
  <si>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</si>
  <si>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</si>
  <si>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</si>
  <si>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</si>
  <si>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</si>
  <si>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</si>
  <si>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</si>
  <si>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</si>
  <si>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</si>
  <si>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</si>
  <si>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</si>
  <si>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</si>
  <si>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</si>
  <si>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</si>
  <si>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</si>
  <si>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</si>
  <si>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</si>
  <si>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</si>
  <si>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</si>
  <si>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</si>
  <si>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</si>
  <si>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</si>
  <si>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</si>
  <si>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</si>
  <si>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</si>
  <si>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</si>
  <si>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</si>
  <si>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</si>
  <si>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</si>
  <si>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</si>
  <si>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</si>
  <si>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</si>
  <si>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</si>
  <si>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</si>
  <si>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</si>
  <si>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</si>
  <si>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</si>
  <si>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</si>
  <si>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</si>
  <si>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</si>
  <si>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</si>
  <si>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</si>
  <si>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</si>
  <si>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</si>
  <si>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</si>
  <si>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</si>
  <si>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</si>
  <si>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</si>
  <si>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</si>
  <si>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</si>
  <si>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</si>
  <si>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</si>
  <si>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</si>
  <si>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</si>
  <si>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</si>
  <si>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</si>
  <si>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</si>
  <si>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</si>
  <si>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</si>
  <si>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</si>
  <si>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</si>
  <si>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</si>
  <si>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</si>
  <si>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</si>
  <si>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</si>
  <si>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</si>
  <si>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</si>
  <si>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</si>
  <si>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</si>
  <si>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</si>
  <si>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</si>
  <si>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</si>
  <si>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</si>
  <si>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</si>
  <si>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</si>
  <si>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</si>
  <si>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</si>
  <si>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</si>
  <si>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</si>
  <si>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</si>
  <si>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</si>
  <si>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</si>
  <si>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</si>
  <si>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</si>
  <si>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</si>
  <si>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</si>
  <si>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</si>
  <si>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</si>
  <si>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</si>
  <si>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</si>
  <si>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</si>
  <si>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</si>
  <si>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</si>
  <si>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</si>
  <si>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</si>
  <si>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</si>
  <si>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</si>
  <si>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</si>
  <si>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</si>
  <si>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</si>
  <si>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</si>
  <si>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</si>
  <si>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</si>
  <si>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</si>
  <si>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</si>
  <si>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</si>
  <si>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</si>
  <si>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</si>
  <si>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</si>
  <si>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</si>
  <si>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</si>
  <si>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</si>
  <si>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</si>
  <si>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</si>
  <si>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</si>
  <si>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</si>
  <si>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</si>
  <si>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</si>
  <si>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</si>
  <si>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</si>
  <si>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</si>
  <si>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</si>
  <si>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</si>
  <si>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</si>
  <si>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</si>
  <si>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</si>
  <si>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</si>
  <si>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</si>
  <si>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</si>
  <si>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</si>
  <si>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</si>
  <si>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</si>
  <si>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</si>
  <si>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</si>
  <si>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</si>
  <si>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</si>
  <si>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</si>
  <si>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</si>
  <si>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</si>
  <si>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</si>
  <si>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</si>
  <si>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</si>
  <si>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</si>
  <si>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</si>
  <si>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</si>
  <si>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</si>
  <si>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</si>
  <si>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</si>
  <si>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</si>
  <si>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</si>
  <si>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</si>
  <si>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</si>
  <si>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</si>
  <si>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</si>
  <si>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</si>
  <si>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</si>
  <si>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</si>
  <si>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</si>
  <si>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</si>
  <si>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</si>
  <si>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</si>
  <si>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</si>
  <si>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</si>
  <si>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</si>
  <si>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</si>
  <si>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</si>
  <si>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</si>
  <si>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</si>
  <si>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</si>
  <si>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</si>
  <si>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</si>
  <si>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</si>
  <si>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</si>
  <si>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</si>
  <si>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</si>
  <si>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</si>
  <si>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</si>
  <si>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</si>
  <si>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</si>
  <si>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</si>
  <si>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</si>
  <si>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</si>
  <si>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</si>
  <si>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</si>
  <si>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</si>
  <si>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</si>
  <si>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</si>
  <si>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</si>
  <si>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</si>
  <si>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</si>
  <si>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</si>
  <si>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</si>
  <si>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</si>
  <si>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</si>
  <si>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</si>
  <si>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</si>
  <si>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</si>
  <si>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</si>
  <si>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</si>
  <si>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</si>
  <si>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</si>
  <si>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</si>
  <si>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</si>
  <si>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</si>
  <si>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</si>
  <si>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</si>
  <si>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</si>
  <si>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</si>
  <si>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</si>
  <si>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</si>
  <si>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</si>
  <si>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</si>
  <si>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</si>
  <si>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</si>
  <si>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</si>
  <si>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</si>
  <si>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</si>
  <si>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</si>
  <si>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</si>
  <si>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</si>
  <si>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</si>
  <si>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</si>
  <si>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</si>
  <si>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</si>
  <si>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</si>
  <si>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</si>
  <si>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</si>
  <si>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</si>
  <si>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</si>
  <si>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</si>
  <si>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</si>
  <si>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</si>
  <si>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</si>
  <si>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</si>
  <si>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</si>
  <si>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</si>
  <si>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</si>
  <si>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</si>
  <si>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</si>
  <si>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</si>
  <si>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</si>
  <si>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</si>
  <si>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</si>
  <si>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</si>
  <si>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</si>
  <si>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</si>
  <si>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</si>
  <si>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</si>
  <si>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</si>
  <si>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</si>
  <si>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</si>
  <si>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</si>
  <si>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</si>
  <si>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</si>
  <si>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</si>
  <si>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</si>
  <si>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</si>
  <si>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</si>
  <si>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</si>
  <si>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A 5 DÍAS HÁBILES</t>
  </si>
  <si>
    <t>MARCELO</t>
  </si>
  <si>
    <t>N° 12168</t>
  </si>
  <si>
    <t>+569 9965 7489</t>
  </si>
  <si>
    <t>NEGRO OPACO</t>
  </si>
  <si>
    <t>CUB SIN RESPALDO FRENTE RECTO MDF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</si>
</sst>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baseline="0"/>
            <a:t>CUBIERTA DE 1,102x0,550 LLEVA REGRUESO DE 2cm EN CADA LADO.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G17" zoomScale="93" zoomScaleNormal="93" workbookViewId="0">
      <selection activeCell="N33" sqref="N33"/>
    </sheetView>
  </sheetViews>
  <sheetFormatPr baseColWidth="10" defaultRowHeight="14.4" x14ac:dyDescent="0.3"/>
  <cols>
    <col min="1" max="1" width="6" customWidth="1"/>
    <col min="2" max="2" width="10.5546875" customWidth="1"/>
    <col min="3" max="3" width="39.66406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46168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/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149074.88095238095</v>
      </c>
      <c r="R20" s="257">
        <v>10000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1" t="s">
        <v>293</v>
      </c>
      <c r="D21" s="432">
        <v>3.2</v>
      </c>
      <c r="E21" s="432">
        <v>0.42</v>
      </c>
      <c r="F21" s="312" t="s">
        <v>292</v>
      </c>
      <c r="G21" s="313">
        <f>Q21</f>
        <v>200356.64</v>
      </c>
      <c r="H21" s="433">
        <f>G21*B21</f>
        <v>200356.64</v>
      </c>
      <c r="I21" s="305"/>
      <c r="J21" s="264"/>
      <c r="K21" s="47"/>
      <c r="L21" s="47">
        <f>B21</f>
        <v>1</v>
      </c>
      <c r="M21" s="39">
        <f>D21+M$19</f>
        <v>3.2</v>
      </c>
      <c r="N21" s="39">
        <f>E21+$N$19</f>
        <v>0.42</v>
      </c>
      <c r="O21" s="260">
        <f t="shared" ref="O21" si="0">M21*N21</f>
        <v>1.3440000000000001</v>
      </c>
      <c r="P21" s="258">
        <f>O21*L21</f>
        <v>1.3440000000000001</v>
      </c>
      <c r="Q21" s="251">
        <f t="shared" ref="Q21" si="1">Q$20*O21</f>
        <v>200356.64</v>
      </c>
      <c r="R21" s="304">
        <f t="shared" ref="R21" si="2">Q21+R$20</f>
        <v>210356.64</v>
      </c>
      <c r="S21" s="290">
        <f>M21*L21</f>
        <v>3.2</v>
      </c>
      <c r="T21" s="46">
        <f>N21*2*L21*2</f>
        <v>1.68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SUM(H21:H23)</f>
        <v>200356.64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1.68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38067.761600000005</v>
      </c>
      <c r="I25" s="307"/>
      <c r="J25" s="264"/>
      <c r="K25" s="47"/>
      <c r="L25" s="47"/>
      <c r="M25" s="39">
        <f>SUM(M21:M24)</f>
        <v>3.2</v>
      </c>
      <c r="N25" s="12"/>
      <c r="O25" s="12"/>
      <c r="P25" s="252">
        <f>SUM(P21:P23)</f>
        <v>1.3440000000000001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238424.40160000001</v>
      </c>
      <c r="I26" s="307"/>
      <c r="J26" s="264"/>
      <c r="K26" s="47"/>
      <c r="L26" s="47"/>
      <c r="M26" s="39"/>
      <c r="N26" s="12"/>
      <c r="O26" s="12"/>
      <c r="P26" s="252">
        <f>P25</f>
        <v>1.3440000000000001</v>
      </c>
      <c r="Q26" s="14"/>
      <c r="R26" s="12"/>
      <c r="S26" s="239">
        <f>SUM(S21:S25)</f>
        <v>3.2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0.26880000000000004</v>
      </c>
      <c r="Q27" s="39" t="s">
        <v>129</v>
      </c>
      <c r="R27" s="42"/>
      <c r="S27" s="240">
        <f>S26+T24</f>
        <v>4.88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1.6128</v>
      </c>
      <c r="Q28" s="14"/>
      <c r="R28" s="14"/>
      <c r="S28" s="238">
        <f>S27*20%</f>
        <v>0.97599999999999998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5.8559999999999999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1.6128</v>
      </c>
      <c r="N30" s="12">
        <v>4000</v>
      </c>
      <c r="O30" s="12">
        <f t="shared" ref="O30:O35" si="3">M30*N30</f>
        <v>6451.2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38500</v>
      </c>
      <c r="O31" s="12">
        <f t="shared" si="3"/>
        <v>19250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65370</v>
      </c>
      <c r="O32" s="12">
        <f t="shared" si="3"/>
        <v>65370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/>
      <c r="O33" s="12">
        <f t="shared" si="3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3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2000</v>
      </c>
      <c r="O35" s="12">
        <f t="shared" si="3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91071.2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200356.64</v>
      </c>
      <c r="P37" s="14" t="s">
        <v>138</v>
      </c>
      <c r="Q37" s="14"/>
      <c r="R37" s="40">
        <f>P28/R36</f>
        <v>0.43485763589301119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77790</v>
      </c>
      <c r="L38" s="249"/>
      <c r="M38" s="14"/>
      <c r="N38" s="12"/>
      <c r="O38" s="12">
        <f>O37/P26</f>
        <v>149074.88095238095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65369.747899159665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46168</v>
      </c>
    </row>
    <row r="6" spans="2:31" ht="16.2" thickBot="1" x14ac:dyDescent="0.35">
      <c r="B6" s="140" t="s">
        <v>2</v>
      </c>
      <c r="C6" s="139" t="str">
        <f>'2229'!C10</f>
        <v>MARCELO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-143.81836678744003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200356.64</v>
      </c>
      <c r="E11" s="132">
        <f>D11*0.19</f>
        <v>38067.761600000005</v>
      </c>
      <c r="F11" s="131">
        <f>E11+D11</f>
        <v>238424.40160000001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105846.18163321256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120905.29078743962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87846.18163321256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79451.349212560395</v>
      </c>
      <c r="E13" s="221">
        <f>(D11/D12)-1</f>
        <v>0.65713707559945989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78846.18163321256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39846.18163321256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199493.72979927537</v>
      </c>
      <c r="F15" s="216">
        <f>E15-D12</f>
        <v>78588.439011835755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39846.18163321256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79846.18163321256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65370</v>
      </c>
      <c r="E18" s="123">
        <f>D18*0.19</f>
        <v>12420.3</v>
      </c>
      <c r="F18" s="120">
        <f>SUM(D18:E18)</f>
        <v>77790.3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19250</v>
      </c>
      <c r="E19" s="123">
        <f>D19*0.19</f>
        <v>3657.5</v>
      </c>
      <c r="F19" s="120">
        <f>SUM(D19:E19)</f>
        <v>22907.5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6451.2</v>
      </c>
      <c r="E20" s="121">
        <f>D20*0.19</f>
        <v>1225.7280000000001</v>
      </c>
      <c r="F20" s="120">
        <f>SUM(D20:E20)</f>
        <v>7676.9279999999999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91071.2</v>
      </c>
      <c r="E21" s="116">
        <f>SUM(E18:E20)</f>
        <v>17303.527999999998</v>
      </c>
      <c r="F21" s="115">
        <f>SUM(F18:F20)</f>
        <v>108374.728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20764.233600000007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200356.64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91071.2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79451.349212560395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79451.349212560395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12168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MARCELO</v>
      </c>
      <c r="D10" s="349"/>
      <c r="E10" s="349"/>
      <c r="F10" s="350" t="s">
        <v>167</v>
      </c>
      <c r="G10" s="351">
        <f>'2229'!G10</f>
        <v>46168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46175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+569 9965 7489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SIN RESPALDO FRENTE RECTO MDF 25MM</v>
      </c>
      <c r="D22" s="320">
        <f>'2229'!D21*1000</f>
        <v>3200</v>
      </c>
      <c r="E22" s="320">
        <f>'2229'!E21*1000</f>
        <v>420</v>
      </c>
      <c r="F22" s="321" t="str">
        <f>'2229'!F21</f>
        <v>NEGRO OPACO</v>
      </c>
      <c r="G22" s="313">
        <f>'2229'!G21</f>
        <v>200356.64</v>
      </c>
      <c r="H22" s="322">
        <f>G22*B22</f>
        <v>200356.64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200356.64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38067.761600000005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238424.40160000001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0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MARCELO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46168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12168</v>
      </c>
      <c r="C2" s="1">
        <f>'NOTA DE VENTA'!$G$10</f>
        <v>46168</v>
      </c>
      <c r="D2" s="1">
        <f>'NOTA DE VENTA'!$G$11</f>
        <v>46175</v>
      </c>
      <c r="E2" t="str">
        <f>'NOTA DE VENTA'!$C$10</f>
        <v>MARCELO</v>
      </c>
      <c r="F2" t="str">
        <f>'NOTA DE VENTA'!$C$22</f>
        <v>CUB SIN RESPALDO FRENTE RECTO MDF 25MM</v>
      </c>
      <c r="G2" t="str">
        <f>'NOTA DE VENTA'!$F$22</f>
        <v>NEGRO OPACO</v>
      </c>
      <c r="H2" s="415">
        <f>'NOTA DE VENTA'!$H$25</f>
        <v>200356.64</v>
      </c>
      <c r="I2" s="415">
        <f>H2*0.19</f>
        <v>38067.761600000005</v>
      </c>
      <c r="J2" s="415">
        <f>I2+H2</f>
        <v>238424.40160000001</v>
      </c>
      <c r="L2" s="61">
        <f>J2-K2</f>
        <v>238424.40160000001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2026-05-26T14:11:22Z</cp:lastPrinted>
  <dcterms:created xsi:type="dcterms:W3CDTF">2013-03-18T13:35:42Z</dcterms:created>
  <dcterms:modified xsi:type="dcterms:W3CDTF">2026-05-27T19:15:00Z</dcterms:modified>
</cp:coreProperties>
</file>