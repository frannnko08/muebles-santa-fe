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5 MAYO 2026\"/>
    </mc:Choice>
  </mc:AlternateContent>
  <xr:revisionPtr revIDLastSave="0" documentId="13_ncr:1_{6418BD0D-CBD0-4300-A065-96039757F4A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" i="1" l="1"/>
  <c r="H23" i="1"/>
  <c r="H22" i="1"/>
  <c r="L21" i="1"/>
  <c r="M21" i="1"/>
  <c r="N21" i="1"/>
  <c r="T21" i="1" l="1"/>
  <c r="S21" i="1"/>
  <c r="O21" i="1"/>
  <c r="P21" i="1" s="1"/>
  <c r="P26" i="1" s="1"/>
  <c r="N5" i="6"/>
  <c r="A2" i="7"/>
  <c r="S27" i="1" l="1"/>
  <c r="C7" i="6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K21" i="6" l="1"/>
  <c r="K14" i="6"/>
  <c r="J21" i="6"/>
  <c r="J14" i="6"/>
  <c r="F14" i="6"/>
  <c r="D5" i="6"/>
  <c r="G11" i="4"/>
  <c r="D7" i="6"/>
  <c r="I14" i="6"/>
  <c r="B14" i="6" s="1"/>
  <c r="B21" i="6"/>
  <c r="K5" i="6" l="1"/>
  <c r="D14" i="6"/>
  <c r="E14" i="6"/>
  <c r="E21" i="6"/>
  <c r="D21" i="6"/>
  <c r="L5" i="6"/>
  <c r="M5" i="6"/>
  <c r="D2" i="7"/>
  <c r="D8" i="6"/>
  <c r="M26" i="1"/>
  <c r="L26" i="1" s="1"/>
  <c r="T25" i="1" l="1"/>
  <c r="S28" i="1" s="1"/>
  <c r="K40" i="1"/>
  <c r="S29" i="1" l="1"/>
  <c r="S30" i="1" s="1"/>
  <c r="V33" i="1"/>
  <c r="V34" i="1" s="1"/>
  <c r="P27" i="1" l="1"/>
  <c r="N20" i="1"/>
  <c r="L20" i="1"/>
  <c r="P28" i="1" l="1"/>
  <c r="P29" i="1" s="1"/>
  <c r="M31" i="1" s="1"/>
  <c r="O33" i="1"/>
  <c r="R37" i="1"/>
  <c r="R38" i="1" l="1"/>
  <c r="O32" i="1" s="1"/>
  <c r="O34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6" i="1"/>
  <c r="O35" i="1"/>
  <c r="F18" i="3" l="1"/>
  <c r="O31" i="1" l="1"/>
  <c r="O37" i="1" s="1"/>
  <c r="O38" i="1" s="1"/>
  <c r="D20" i="3" l="1"/>
  <c r="E20" i="3" s="1"/>
  <c r="E21" i="3" s="1"/>
  <c r="O39" i="1" l="1"/>
  <c r="Q20" i="1" s="1"/>
  <c r="D21" i="3"/>
  <c r="M43" i="3" s="1"/>
  <c r="D12" i="3" s="1"/>
  <c r="F20" i="3"/>
  <c r="F21" i="3" s="1"/>
  <c r="Q21" i="1" l="1"/>
  <c r="O40" i="1"/>
  <c r="E15" i="3"/>
  <c r="R21" i="1" l="1"/>
  <c r="H21" i="1"/>
  <c r="F15" i="3"/>
  <c r="H26" i="1" l="1"/>
  <c r="H27" i="1" s="1"/>
  <c r="G22" i="4"/>
  <c r="H22" i="4" s="1"/>
  <c r="H25" i="4" s="1"/>
  <c r="D11" i="3" l="1"/>
  <c r="X9" i="3" s="1"/>
  <c r="X15" i="3" s="1"/>
  <c r="H2" i="7"/>
  <c r="I2" i="7" s="1"/>
  <c r="J2" i="7" s="1"/>
  <c r="L2" i="7" s="1"/>
  <c r="H26" i="4"/>
  <c r="H27" i="4" s="1"/>
  <c r="X16" i="3"/>
  <c r="E11" i="3"/>
  <c r="D40" i="3" s="1"/>
  <c r="X13" i="3"/>
  <c r="E13" i="3" l="1"/>
  <c r="M42" i="3"/>
  <c r="M46" i="3" s="1"/>
  <c r="M49" i="3" s="1"/>
  <c r="X14" i="3"/>
  <c r="D13" i="3"/>
  <c r="X12" i="3"/>
  <c r="X11" i="3"/>
  <c r="F11" i="3"/>
</calcChain>
</file>

<file path=xl/sharedStrings.xml><?xml version="1.0" encoding="utf-8"?>
<sst xmlns="http://schemas.openxmlformats.org/spreadsheetml/2006/main" count="493" uniqueCount="299">
  <si>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</si>
  <si>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</si>
  <si>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</si>
  <si>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</si>
  <si>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</si>
  <si>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</si>
  <si>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</si>
  <si>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</si>
  <si>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</si>
  <si>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</si>
  <si>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</si>
  <si>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</si>
  <si>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</si>
  <si>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</si>
  <si>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</si>
  <si>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</si>
  <si>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</si>
  <si>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</si>
  <si>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</si>
  <si>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</si>
  <si>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</si>
  <si>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</si>
  <si>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</si>
  <si>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</si>
  <si>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</si>
  <si>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</si>
  <si>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</si>
  <si>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</si>
  <si>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</si>
  <si>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</si>
  <si>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</si>
  <si>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</si>
  <si>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</si>
  <si>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</si>
  <si>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</si>
  <si>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</si>
  <si>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</si>
  <si>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</si>
  <si>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</si>
  <si>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</si>
  <si>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</si>
  <si>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</si>
  <si>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</si>
  <si>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</si>
  <si>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</si>
  <si>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</si>
  <si>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</si>
  <si>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</si>
  <si>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</si>
  <si>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</si>
  <si>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</si>
  <si>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</si>
  <si>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</si>
  <si>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</si>
  <si>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</si>
  <si>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</si>
  <si>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</si>
  <si>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</si>
  <si>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</si>
  <si>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</si>
  <si>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</si>
  <si>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</si>
  <si>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</si>
  <si>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</si>
  <si>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</si>
  <si>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</si>
  <si>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</si>
  <si>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</si>
  <si>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</si>
  <si>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</si>
  <si>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</si>
  <si>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</si>
  <si>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</si>
  <si>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</si>
  <si>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</si>
  <si>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</si>
  <si>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</si>
  <si>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</si>
  <si>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</si>
  <si>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</si>
  <si>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</si>
  <si>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</si>
  <si>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</si>
  <si>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</si>
  <si>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</si>
  <si>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</si>
  <si>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</si>
  <si>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</si>
  <si>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</si>
  <si>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</si>
  <si>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</si>
  <si>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</si>
  <si>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</si>
  <si>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</si>
  <si>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</si>
  <si>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</si>
  <si>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</si>
  <si>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</si>
  <si>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</si>
  <si>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</si>
  <si>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</si>
  <si>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</si>
  <si>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</si>
  <si>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</si>
  <si>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</si>
  <si>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</si>
  <si>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</si>
  <si>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</si>
  <si>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</si>
  <si>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</si>
  <si>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</si>
  <si>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</si>
  <si>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</si>
  <si>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</si>
  <si>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</si>
  <si>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</si>
  <si>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</si>
  <si>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</si>
  <si>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</si>
  <si>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</si>
  <si>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</si>
  <si>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</si>
  <si>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</si>
  <si>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</si>
  <si>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</si>
  <si>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</si>
  <si>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</si>
  <si>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</si>
  <si>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</si>
  <si>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</si>
  <si>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</si>
  <si>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</si>
  <si>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</si>
  <si>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</si>
  <si>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</si>
  <si>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</si>
  <si>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</si>
  <si>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</si>
  <si>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</si>
  <si>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</si>
  <si>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</si>
  <si>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</si>
  <si>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</si>
  <si>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</si>
  <si>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</si>
  <si>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</si>
  <si>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</si>
  <si>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</si>
  <si>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</si>
  <si>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</si>
  <si>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</si>
  <si>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</si>
  <si>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</si>
  <si>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</si>
  <si>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</si>
  <si>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</si>
  <si>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</si>
  <si>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</si>
  <si>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</si>
  <si>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</si>
  <si>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</si>
  <si>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</si>
  <si>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</si>
  <si>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</si>
  <si>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</si>
  <si>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</si>
  <si>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</si>
  <si>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</si>
  <si>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</si>
  <si>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</si>
  <si>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</si>
  <si>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</si>
  <si>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</si>
  <si>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</si>
  <si>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</si>
  <si>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</si>
  <si>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</si>
  <si>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</si>
  <si>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</si>
  <si>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</si>
  <si>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</si>
  <si>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</si>
  <si>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</si>
  <si>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</si>
  <si>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</si>
  <si>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</si>
  <si>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</si>
  <si>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</si>
  <si>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</si>
  <si>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</si>
  <si>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</si>
  <si>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</si>
  <si>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</si>
  <si>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</si>
  <si>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</si>
  <si>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</si>
  <si>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</si>
  <si>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</si>
  <si>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</si>
  <si>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</si>
  <si>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</si>
  <si>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</si>
  <si>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</si>
  <si>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</si>
  <si>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</si>
  <si>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</si>
  <si>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</si>
  <si>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</si>
  <si>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</si>
  <si>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</si>
  <si>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</si>
  <si>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</si>
  <si>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</si>
  <si>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</si>
  <si>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</si>
  <si>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</si>
  <si>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</si>
  <si>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</si>
  <si>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</si>
  <si>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</si>
  <si>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</si>
  <si>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</si>
  <si>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</si>
  <si>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</si>
  <si>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</si>
  <si>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</si>
  <si>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</si>
  <si>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</si>
  <si>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</si>
  <si>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</si>
  <si>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</si>
  <si>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</si>
  <si>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</si>
  <si>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</si>
  <si>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</si>
  <si>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</si>
  <si>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</si>
  <si>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</si>
  <si>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</si>
  <si>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</si>
  <si>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</si>
  <si>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</si>
  <si>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</si>
  <si>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</si>
  <si>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</si>
  <si>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</si>
  <si>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</si>
  <si>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</si>
  <si>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</si>
  <si>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</si>
  <si>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</si>
  <si>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</si>
  <si>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</si>
  <si>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</si>
  <si>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</si>
  <si>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</si>
  <si>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</si>
  <si>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</si>
  <si>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</si>
  <si>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</si>
  <si>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</si>
  <si>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</si>
  <si>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</si>
  <si>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</si>
  <si>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</si>
  <si>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</si>
  <si>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</si>
  <si>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</si>
  <si>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</si>
  <si>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</si>
  <si>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</si>
  <si>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</si>
  <si>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</si>
  <si>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</si>
  <si>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</si>
  <si>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</si>
  <si>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</si>
  <si>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</si>
  <si>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</si>
  <si>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</si>
  <si>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</si>
  <si>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</si>
  <si>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</si>
  <si>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</si>
  <si>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</si>
  <si>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</si>
  <si>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MDF 25MM</t>
  </si>
  <si>
    <t>LAMINA DE 153X366</t>
  </si>
  <si>
    <t>LAMINA 305*123</t>
  </si>
  <si>
    <t>SI</t>
  </si>
  <si>
    <t>10 DIAS HABILES</t>
  </si>
  <si>
    <t>BANCA  POR 350 AMBOS LADOS</t>
  </si>
  <si>
    <t>96.913-350-4</t>
  </si>
  <si>
    <t>QCLASS S.A.</t>
  </si>
  <si>
    <t>CONTRUCCION</t>
  </si>
  <si>
    <t>N° 12114</t>
  </si>
  <si>
    <t>BLANCO BRILLO</t>
  </si>
  <si>
    <t>ANGEL ZUÑIGA</t>
  </si>
  <si>
    <t>9 2764 3089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</si>
</sst>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  <font>
      <sz val="12"/>
      <color rgb="FF3D85C6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60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7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39" fillId="0" borderId="0" xfId="0" applyFont="1" applyAlignment="1">
      <alignment horizontal="left" vertical="center"/>
    </xf>
    <xf numFmtId="0" fontId="40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1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3" fillId="20" borderId="40" xfId="0" applyFont="1" applyFill="1" applyBorder="1" applyAlignment="1">
      <alignment horizontal="center" vertical="center"/>
    </xf>
    <xf numFmtId="0" fontId="43" fillId="20" borderId="39" xfId="0" applyFont="1" applyFill="1" applyBorder="1" applyAlignment="1">
      <alignment horizontal="center" vertical="center"/>
    </xf>
    <xf numFmtId="0" fontId="43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4" fillId="21" borderId="1" xfId="0" applyFont="1" applyFill="1" applyBorder="1" applyAlignment="1">
      <alignment horizontal="center"/>
    </xf>
    <xf numFmtId="0" fontId="44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5" fillId="0" borderId="0" xfId="0" applyFont="1" applyAlignment="1">
      <alignment horizontal="left" indent="1"/>
    </xf>
    <xf numFmtId="0" fontId="35" fillId="8" borderId="0" xfId="0" applyFont="1" applyFill="1" applyAlignment="1">
      <alignment horizontal="left" indent="1"/>
    </xf>
    <xf numFmtId="0" fontId="36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6" fillId="0" borderId="0" xfId="0" applyFont="1"/>
    <xf numFmtId="0" fontId="36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6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6" fillId="0" borderId="2" xfId="0" applyFont="1" applyBorder="1"/>
    <xf numFmtId="0" fontId="36" fillId="0" borderId="9" xfId="0" applyFont="1" applyBorder="1"/>
    <xf numFmtId="0" fontId="36" fillId="0" borderId="3" xfId="0" applyFont="1" applyBorder="1"/>
    <xf numFmtId="0" fontId="36" fillId="0" borderId="1" xfId="0" applyFont="1" applyBorder="1" applyAlignment="1">
      <alignment horizontal="center" vertical="center"/>
    </xf>
    <xf numFmtId="14" fontId="35" fillId="0" borderId="0" xfId="0" applyNumberFormat="1" applyFont="1" applyAlignment="1">
      <alignment horizontal="left" indent="1"/>
    </xf>
    <xf numFmtId="0" fontId="36" fillId="0" borderId="61" xfId="0" applyFont="1" applyBorder="1" applyAlignment="1">
      <alignment horizontal="center"/>
    </xf>
    <xf numFmtId="0" fontId="36" fillId="0" borderId="1" xfId="0" applyFont="1" applyBorder="1" applyAlignment="1">
      <alignment horizontal="center"/>
    </xf>
    <xf numFmtId="0" fontId="36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5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5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6" fillId="20" borderId="2" xfId="0" applyFont="1" applyFill="1" applyBorder="1" applyAlignment="1">
      <alignment horizontal="left" indent="1"/>
    </xf>
    <xf numFmtId="0" fontId="47" fillId="20" borderId="9" xfId="0" applyFont="1" applyFill="1" applyBorder="1"/>
    <xf numFmtId="0" fontId="46" fillId="20" borderId="3" xfId="0" applyFont="1" applyFill="1" applyBorder="1" applyAlignment="1">
      <alignment horizontal="center"/>
    </xf>
    <xf numFmtId="0" fontId="48" fillId="20" borderId="40" xfId="0" applyFont="1" applyFill="1" applyBorder="1" applyAlignment="1">
      <alignment horizontal="center" vertical="center"/>
    </xf>
    <xf numFmtId="0" fontId="48" fillId="20" borderId="39" xfId="0" applyFont="1" applyFill="1" applyBorder="1" applyAlignment="1">
      <alignment horizontal="center" vertical="center"/>
    </xf>
    <xf numFmtId="0" fontId="48" fillId="20" borderId="43" xfId="0" applyFont="1" applyFill="1" applyBorder="1" applyAlignment="1">
      <alignment horizontal="center" vertical="center"/>
    </xf>
    <xf numFmtId="0" fontId="34" fillId="24" borderId="0" xfId="0" applyFont="1" applyFill="1" applyAlignment="1">
      <alignment horizontal="center"/>
    </xf>
    <xf numFmtId="0" fontId="34" fillId="24" borderId="0" xfId="0" applyFont="1" applyFill="1" applyAlignment="1">
      <alignment horizontal="left"/>
    </xf>
    <xf numFmtId="42" fontId="34" fillId="24" borderId="0" xfId="8" applyFont="1" applyFill="1" applyAlignment="1">
      <alignment horizontal="center"/>
    </xf>
    <xf numFmtId="42" fontId="0" fillId="0" borderId="0" xfId="8" applyFont="1"/>
    <xf numFmtId="0" fontId="49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45" fillId="8" borderId="46" xfId="0" applyFont="1" applyFill="1" applyBorder="1"/>
    <xf numFmtId="165" fontId="0" fillId="0" borderId="0" xfId="0" applyNumberFormat="1"/>
    <xf numFmtId="0" fontId="30" fillId="0" borderId="19" xfId="0" applyFont="1" applyBorder="1" applyAlignment="1">
      <alignment horizontal="center" vertical="center"/>
    </xf>
    <xf numFmtId="0" fontId="30" fillId="0" borderId="18" xfId="0" applyFont="1" applyBorder="1" applyAlignment="1">
      <alignment horizontal="center" vertical="center"/>
    </xf>
    <xf numFmtId="167" fontId="11" fillId="0" borderId="18" xfId="2" applyNumberFormat="1" applyFont="1" applyFill="1" applyBorder="1" applyAlignment="1">
      <alignment horizontal="center" vertical="center"/>
    </xf>
    <xf numFmtId="167" fontId="11" fillId="0" borderId="7" xfId="2" applyNumberFormat="1" applyFont="1" applyFill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166" fontId="30" fillId="0" borderId="6" xfId="0" applyNumberFormat="1" applyFont="1" applyBorder="1" applyAlignment="1">
      <alignment horizontal="center" vertical="center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2" fillId="17" borderId="37" xfId="0" applyFont="1" applyFill="1" applyBorder="1" applyAlignment="1">
      <alignment horizontal="left"/>
    </xf>
    <xf numFmtId="0" fontId="42" fillId="17" borderId="56" xfId="0" applyFont="1" applyFill="1" applyBorder="1" applyAlignment="1">
      <alignment horizontal="left"/>
    </xf>
    <xf numFmtId="0" fontId="36" fillId="8" borderId="2" xfId="0" applyFont="1" applyFill="1" applyBorder="1" applyAlignment="1">
      <alignment horizontal="center" vertical="center"/>
    </xf>
    <xf numFmtId="0" fontId="36" fillId="8" borderId="9" xfId="0" applyFont="1" applyFill="1" applyBorder="1" applyAlignment="1">
      <alignment horizontal="center" vertical="center"/>
    </xf>
    <xf numFmtId="0" fontId="36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6" fillId="8" borderId="60" xfId="0" applyFont="1" applyFill="1" applyBorder="1" applyAlignment="1">
      <alignment horizontal="left" vertical="top" indent="28"/>
    </xf>
    <xf numFmtId="0" fontId="36" fillId="8" borderId="61" xfId="0" applyFont="1" applyFill="1" applyBorder="1" applyAlignment="1">
      <alignment horizontal="left" vertical="top" indent="28"/>
    </xf>
    <xf numFmtId="0" fontId="36" fillId="8" borderId="62" xfId="0" applyFont="1" applyFill="1" applyBorder="1" applyAlignment="1">
      <alignment horizontal="left" vertical="top" indent="28"/>
    </xf>
    <xf numFmtId="0" fontId="36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6" fillId="0" borderId="0" xfId="0" applyFont="1" applyAlignment="1">
      <alignment horizontal="center"/>
    </xf>
    <xf numFmtId="0" fontId="50" fillId="0" borderId="0" xfId="0" applyFont="1" applyAlignment="1">
      <alignment horizontal="left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8194</xdr:rowOff>
    </xdr:from>
    <xdr:to>
      <xdr:col>8</xdr:col>
      <xdr:colOff>8193</xdr:colOff>
      <xdr:row>31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1745226</xdr:colOff>
      <xdr:row>31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215079</xdr:rowOff>
    </xdr:from>
    <xdr:to>
      <xdr:col>5</xdr:col>
      <xdr:colOff>1732649</xdr:colOff>
      <xdr:row>26</xdr:row>
      <xdr:rowOff>219320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5479434"/>
          <a:ext cx="6331278" cy="65972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</a:t>
          </a:r>
          <a:r>
            <a:rPr lang="es-CL" sz="1200" b="1" baseline="0"/>
            <a:t> BANCAS SE ENTREGAN CORTADAS A LA MEDIDA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MELAMIL  18MM TRASCARA BLANCA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franc/Dropbox/PC/Desktop/POSTFORMADO%202020/NOTAS%20DE%20VENTAS%20TOPMOBILI/12%20DICIEMBRE%202025/7332%20FMR%20MAKING%20SPA.xlsx" TargetMode="External"/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2"/>
  <sheetViews>
    <sheetView tabSelected="1" topLeftCell="A4" zoomScale="93" zoomScaleNormal="93" workbookViewId="0">
      <selection activeCell="I17" sqref="I17"/>
    </sheetView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138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135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139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159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122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7" t="s">
        <v>124</v>
      </c>
      <c r="C8" s="408"/>
      <c r="D8" s="409" t="s">
        <v>295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157</v>
      </c>
      <c r="C10" s="428" t="s">
        <v>293</v>
      </c>
      <c r="D10" s="243"/>
      <c r="E10" s="243"/>
      <c r="F10" s="418" t="s">
        <v>275</v>
      </c>
      <c r="G10" s="275">
        <v>46146</v>
      </c>
      <c r="H10" s="244"/>
      <c r="K10" s="1"/>
      <c r="R10" s="2"/>
      <c r="S10" s="3"/>
      <c r="T10" s="3"/>
      <c r="U10" s="4"/>
      <c r="V10" s="2"/>
      <c r="W10" s="3"/>
    </row>
    <row r="11" spans="2:24" x14ac:dyDescent="0.3">
      <c r="B11" s="419" t="s">
        <v>12</v>
      </c>
      <c r="C11" t="s">
        <v>292</v>
      </c>
      <c r="F11" s="29" t="s">
        <v>284</v>
      </c>
      <c r="G11" s="420" t="s">
        <v>290</v>
      </c>
      <c r="H11" s="421"/>
      <c r="Q11" s="19"/>
      <c r="R11" s="25" t="s">
        <v>18</v>
      </c>
      <c r="S11" s="19"/>
    </row>
    <row r="12" spans="2:24" x14ac:dyDescent="0.3">
      <c r="B12" s="245" t="s">
        <v>140</v>
      </c>
      <c r="C12" s="417" t="s">
        <v>294</v>
      </c>
      <c r="D12" s="246"/>
      <c r="E12" s="246"/>
      <c r="F12" s="301" t="s">
        <v>125</v>
      </c>
      <c r="G12" s="276" t="s">
        <v>132</v>
      </c>
      <c r="H12" s="247"/>
      <c r="Q12" s="19"/>
      <c r="R12" s="25"/>
      <c r="S12" s="19"/>
    </row>
    <row r="13" spans="2:24" x14ac:dyDescent="0.3">
      <c r="B13" s="419" t="s">
        <v>141</v>
      </c>
      <c r="C13" t="s">
        <v>297</v>
      </c>
      <c r="F13" s="29" t="s">
        <v>133</v>
      </c>
      <c r="G13" s="422" t="s">
        <v>289</v>
      </c>
      <c r="H13" s="421"/>
      <c r="Q13" s="19"/>
      <c r="R13" s="25"/>
      <c r="S13" s="19"/>
    </row>
    <row r="14" spans="2:24" x14ac:dyDescent="0.3">
      <c r="B14" s="245" t="s">
        <v>136</v>
      </c>
      <c r="C14" s="427"/>
      <c r="D14" s="246"/>
      <c r="E14" s="246"/>
      <c r="F14" s="301" t="s">
        <v>283</v>
      </c>
      <c r="G14" s="285" t="s">
        <v>132</v>
      </c>
      <c r="H14" s="247"/>
      <c r="K14" s="29"/>
      <c r="Q14" s="20"/>
      <c r="R14" s="26" t="s">
        <v>17</v>
      </c>
      <c r="S14" s="20"/>
    </row>
    <row r="15" spans="2:24" ht="15.6" x14ac:dyDescent="0.3">
      <c r="B15" s="419" t="s">
        <v>4</v>
      </c>
      <c r="C15" s="459" t="s">
        <v>298</v>
      </c>
      <c r="D15" s="423"/>
      <c r="F15" s="29" t="s">
        <v>282</v>
      </c>
      <c r="G15" s="75" t="s">
        <v>132</v>
      </c>
      <c r="H15" s="421"/>
    </row>
    <row r="16" spans="2:24" ht="16.8" x14ac:dyDescent="0.4">
      <c r="B16" s="302" t="s">
        <v>3</v>
      </c>
      <c r="C16" s="298"/>
      <c r="D16" s="246"/>
      <c r="E16" s="246"/>
      <c r="F16" s="303" t="s">
        <v>127</v>
      </c>
      <c r="G16" s="304" t="s">
        <v>158</v>
      </c>
      <c r="H16" s="247"/>
    </row>
    <row r="17" spans="1:25" ht="15" thickBot="1" x14ac:dyDescent="0.35">
      <c r="B17" s="424" t="s">
        <v>13</v>
      </c>
      <c r="C17" s="299" t="s">
        <v>285</v>
      </c>
      <c r="D17" s="300"/>
      <c r="E17" s="119"/>
      <c r="F17" s="425" t="s">
        <v>177</v>
      </c>
      <c r="G17" s="425" t="s">
        <v>178</v>
      </c>
      <c r="H17" s="426"/>
      <c r="I17" s="262"/>
      <c r="J17" s="262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436" t="s">
        <v>94</v>
      </c>
      <c r="C19" s="437"/>
      <c r="D19" s="437"/>
      <c r="E19" s="437"/>
      <c r="F19" s="437"/>
      <c r="G19" s="437"/>
      <c r="H19" s="438"/>
      <c r="I19" s="263"/>
      <c r="J19" s="263"/>
      <c r="K19" s="5"/>
      <c r="L19" s="249"/>
      <c r="M19" s="14">
        <v>0.05</v>
      </c>
      <c r="N19" s="14"/>
      <c r="O19" s="14"/>
      <c r="P19" s="250" t="s">
        <v>6</v>
      </c>
      <c r="Q19" s="36" t="s">
        <v>20</v>
      </c>
      <c r="R19" s="37" t="s">
        <v>131</v>
      </c>
      <c r="S19" s="10" t="s">
        <v>134</v>
      </c>
      <c r="U19" s="9"/>
      <c r="V19" s="9"/>
      <c r="X19" s="6"/>
      <c r="Y19" s="6"/>
    </row>
    <row r="20" spans="1:25" ht="18" thickBot="1" x14ac:dyDescent="0.35">
      <c r="B20" s="410" t="s">
        <v>7</v>
      </c>
      <c r="C20" s="411" t="s">
        <v>1</v>
      </c>
      <c r="D20" s="411" t="s">
        <v>10</v>
      </c>
      <c r="E20" s="411" t="s">
        <v>11</v>
      </c>
      <c r="F20" s="411" t="s">
        <v>8</v>
      </c>
      <c r="G20" s="411" t="s">
        <v>5</v>
      </c>
      <c r="H20" s="412" t="s">
        <v>6</v>
      </c>
      <c r="I20" s="264"/>
      <c r="J20" s="264"/>
      <c r="K20" s="47"/>
      <c r="L20" s="267" t="str">
        <f>B20</f>
        <v>UNIDAD</v>
      </c>
      <c r="M20" s="266" t="s">
        <v>129</v>
      </c>
      <c r="N20" s="39" t="str">
        <f>E20</f>
        <v>ANCHO</v>
      </c>
      <c r="O20" s="260" t="s">
        <v>130</v>
      </c>
      <c r="P20" s="258" t="s">
        <v>16</v>
      </c>
      <c r="Q20" s="251">
        <f>O39</f>
        <v>139931.11111111112</v>
      </c>
      <c r="R20" s="257">
        <v>3000</v>
      </c>
      <c r="S20" s="38"/>
      <c r="T20" s="14" t="s">
        <v>126</v>
      </c>
      <c r="U20" s="9"/>
      <c r="X20" s="4"/>
    </row>
    <row r="21" spans="1:25" ht="18" thickBot="1" x14ac:dyDescent="0.35">
      <c r="B21" s="430">
        <v>9</v>
      </c>
      <c r="C21" s="434" t="s">
        <v>291</v>
      </c>
      <c r="D21" s="435">
        <v>1</v>
      </c>
      <c r="E21" s="435">
        <v>0.3</v>
      </c>
      <c r="F21" s="431" t="s">
        <v>296</v>
      </c>
      <c r="G21" s="432">
        <v>139843</v>
      </c>
      <c r="H21" s="433">
        <f>G21*B21</f>
        <v>1258587</v>
      </c>
      <c r="I21" s="306"/>
      <c r="J21" s="264"/>
      <c r="K21" s="47"/>
      <c r="L21" s="47">
        <f t="shared" ref="L21" si="0">B21</f>
        <v>9</v>
      </c>
      <c r="M21" s="39">
        <f t="shared" ref="M21" si="1">D21+M$19</f>
        <v>1.05</v>
      </c>
      <c r="N21" s="39">
        <f t="shared" ref="N21" si="2">E21+$N$19</f>
        <v>0.3</v>
      </c>
      <c r="O21" s="260">
        <f t="shared" ref="O21" si="3">M21*N21</f>
        <v>0.315</v>
      </c>
      <c r="P21" s="258">
        <f t="shared" ref="P21" si="4">O21*L21</f>
        <v>2.835</v>
      </c>
      <c r="Q21" s="251">
        <f t="shared" ref="Q21" si="5">Q$20*O21</f>
        <v>44078.3</v>
      </c>
      <c r="R21" s="305">
        <f t="shared" ref="R21" si="6">Q21+R$20</f>
        <v>47078.3</v>
      </c>
      <c r="S21" s="290">
        <f>M21*L21*2</f>
        <v>18.900000000000002</v>
      </c>
      <c r="T21" s="46">
        <f>N21*L21*2</f>
        <v>5.3999999999999995</v>
      </c>
      <c r="U21" s="9"/>
      <c r="X21" s="4"/>
    </row>
    <row r="22" spans="1:25" ht="18" thickBot="1" x14ac:dyDescent="0.35">
      <c r="B22" s="430">
        <v>1</v>
      </c>
      <c r="C22" s="434" t="s">
        <v>291</v>
      </c>
      <c r="D22" s="435">
        <v>1.1000000000000001</v>
      </c>
      <c r="E22" s="435">
        <v>0.3</v>
      </c>
      <c r="F22" s="431" t="s">
        <v>296</v>
      </c>
      <c r="G22" s="432">
        <v>153828</v>
      </c>
      <c r="H22" s="433">
        <f>G22*B22</f>
        <v>153828</v>
      </c>
      <c r="I22" s="306"/>
      <c r="J22" s="264"/>
      <c r="K22" s="47"/>
      <c r="L22" s="47"/>
      <c r="M22" s="39"/>
      <c r="N22" s="39"/>
      <c r="O22" s="260"/>
      <c r="P22" s="258"/>
      <c r="Q22" s="251"/>
      <c r="R22" s="305"/>
      <c r="S22" s="290"/>
      <c r="T22" s="46"/>
      <c r="U22" s="9"/>
      <c r="X22" s="4"/>
    </row>
    <row r="23" spans="1:25" ht="18" thickBot="1" x14ac:dyDescent="0.35">
      <c r="B23" s="430">
        <v>2</v>
      </c>
      <c r="C23" s="434" t="s">
        <v>291</v>
      </c>
      <c r="D23" s="435">
        <v>1.35</v>
      </c>
      <c r="E23" s="435">
        <v>0.3</v>
      </c>
      <c r="F23" s="431" t="s">
        <v>296</v>
      </c>
      <c r="G23" s="432">
        <v>188788</v>
      </c>
      <c r="H23" s="433">
        <f>G23*B23</f>
        <v>377576</v>
      </c>
      <c r="I23" s="306"/>
      <c r="J23" s="264"/>
      <c r="K23" s="47"/>
      <c r="L23" s="47"/>
      <c r="M23" s="39"/>
      <c r="N23" s="39"/>
      <c r="O23" s="260"/>
      <c r="P23" s="258"/>
      <c r="Q23" s="251"/>
      <c r="R23" s="305"/>
      <c r="S23" s="290"/>
      <c r="T23" s="46"/>
      <c r="U23" s="9"/>
      <c r="X23" s="4"/>
    </row>
    <row r="24" spans="1:25" ht="18" thickBot="1" x14ac:dyDescent="0.35">
      <c r="B24" s="283"/>
      <c r="C24" s="325"/>
      <c r="D24" s="284"/>
      <c r="E24" s="284"/>
      <c r="F24" s="283"/>
      <c r="G24" s="264"/>
      <c r="H24" s="307"/>
      <c r="I24" s="309"/>
      <c r="J24" s="233"/>
      <c r="K24" s="47"/>
      <c r="L24" s="47"/>
      <c r="M24" s="39"/>
      <c r="N24" s="39"/>
      <c r="O24" s="260"/>
      <c r="P24" s="258"/>
      <c r="Q24" s="251"/>
      <c r="R24" s="257"/>
      <c r="S24" s="290"/>
      <c r="T24" s="14"/>
      <c r="U24" s="9"/>
      <c r="X24" s="4"/>
    </row>
    <row r="25" spans="1:25" ht="17.399999999999999" x14ac:dyDescent="0.3">
      <c r="B25" s="283"/>
      <c r="C25" s="283"/>
      <c r="D25" s="284"/>
      <c r="E25" s="284"/>
      <c r="F25" s="283"/>
      <c r="G25" s="310" t="s">
        <v>28</v>
      </c>
      <c r="H25" s="311">
        <f>SUM(H21:H23)</f>
        <v>1789991</v>
      </c>
      <c r="I25" s="308"/>
      <c r="J25" s="264"/>
      <c r="K25" s="47"/>
      <c r="L25" s="47"/>
      <c r="M25" s="39"/>
      <c r="N25" s="39"/>
      <c r="O25" s="260"/>
      <c r="P25" s="258"/>
      <c r="Q25" s="251"/>
      <c r="R25" s="257"/>
      <c r="S25" s="290"/>
      <c r="T25" s="46">
        <f>SUM(T21:T21)</f>
        <v>5.3999999999999995</v>
      </c>
      <c r="U25" s="9"/>
      <c r="X25" s="4"/>
    </row>
    <row r="26" spans="1:25" ht="17.399999999999999" x14ac:dyDescent="0.3">
      <c r="B26" s="277"/>
      <c r="C26" s="280"/>
      <c r="D26" s="281"/>
      <c r="E26" s="281"/>
      <c r="F26" s="282"/>
      <c r="G26" s="289" t="s">
        <v>50</v>
      </c>
      <c r="H26" s="287">
        <f>H25*19%</f>
        <v>340098.29</v>
      </c>
      <c r="I26" s="308"/>
      <c r="J26" s="264"/>
      <c r="K26" s="47"/>
      <c r="L26" s="429">
        <f>M26*10</f>
        <v>10.5</v>
      </c>
      <c r="M26" s="39">
        <f>SUM(M21:M25)</f>
        <v>1.05</v>
      </c>
      <c r="N26" s="12"/>
      <c r="O26" s="12"/>
      <c r="P26" s="252">
        <f>SUM(P21:P21)</f>
        <v>2.835</v>
      </c>
      <c r="Q26" s="14"/>
      <c r="R26" s="12"/>
      <c r="S26" s="239"/>
      <c r="T26" s="46"/>
      <c r="U26" s="9"/>
      <c r="X26" s="4"/>
    </row>
    <row r="27" spans="1:25" ht="18" thickBot="1" x14ac:dyDescent="0.35">
      <c r="B27" s="274"/>
      <c r="C27" s="279"/>
      <c r="D27" s="271"/>
      <c r="E27" s="271"/>
      <c r="F27" s="272"/>
      <c r="G27" s="278" t="s">
        <v>6</v>
      </c>
      <c r="H27" s="288">
        <f>H25+H26</f>
        <v>2130089.29</v>
      </c>
      <c r="I27" s="308"/>
      <c r="J27" s="264"/>
      <c r="K27" s="47"/>
      <c r="L27" s="47"/>
      <c r="M27" s="39"/>
      <c r="N27" s="12"/>
      <c r="O27" s="12"/>
      <c r="P27" s="252">
        <f>P26</f>
        <v>2.835</v>
      </c>
      <c r="Q27" s="14"/>
      <c r="R27" s="12"/>
      <c r="S27" s="239">
        <f>SUM(S21:S26)</f>
        <v>18.900000000000002</v>
      </c>
      <c r="T27" s="46"/>
      <c r="U27" s="9"/>
      <c r="X27" s="4"/>
    </row>
    <row r="28" spans="1:25" ht="17.399999999999999" x14ac:dyDescent="0.3">
      <c r="B28" s="274"/>
      <c r="C28" s="270"/>
      <c r="D28" s="271"/>
      <c r="E28" s="271"/>
      <c r="F28" s="272"/>
      <c r="J28" s="264"/>
      <c r="K28" s="47"/>
      <c r="L28" s="47"/>
      <c r="M28" s="14"/>
      <c r="N28" s="12"/>
      <c r="O28" s="12"/>
      <c r="P28" s="39">
        <f>P27*20%</f>
        <v>0.56700000000000006</v>
      </c>
      <c r="Q28" s="39" t="s">
        <v>128</v>
      </c>
      <c r="R28" s="42"/>
      <c r="S28" s="240">
        <f>S27+T25</f>
        <v>24.3</v>
      </c>
      <c r="T28" s="14"/>
      <c r="U28" s="9"/>
      <c r="X28" s="4"/>
    </row>
    <row r="29" spans="1:25" ht="17.399999999999999" x14ac:dyDescent="0.35">
      <c r="B29" s="268"/>
      <c r="C29" s="230"/>
      <c r="D29" s="230"/>
      <c r="E29" s="233"/>
      <c r="F29" s="234"/>
      <c r="G29" s="230"/>
      <c r="H29" s="273"/>
      <c r="I29" s="273"/>
      <c r="J29" s="264"/>
      <c r="K29" s="47"/>
      <c r="L29" s="47"/>
      <c r="M29" s="14"/>
      <c r="N29" s="12"/>
      <c r="O29" s="12"/>
      <c r="P29" s="46">
        <f>P27+P28</f>
        <v>3.4020000000000001</v>
      </c>
      <c r="Q29" s="14"/>
      <c r="R29" s="14"/>
      <c r="S29" s="238">
        <f>S28*20%</f>
        <v>4.8600000000000003</v>
      </c>
      <c r="T29" s="14"/>
      <c r="U29" s="9"/>
      <c r="X29" s="4"/>
    </row>
    <row r="30" spans="1:25" ht="17.399999999999999" x14ac:dyDescent="0.35">
      <c r="B30" s="235"/>
      <c r="C30" s="236"/>
      <c r="D30" s="237"/>
      <c r="E30" s="235"/>
      <c r="F30" s="230"/>
      <c r="G30" s="230"/>
      <c r="I30" s="273"/>
      <c r="J30" s="264"/>
      <c r="K30" s="47"/>
      <c r="L30" s="47"/>
      <c r="M30" s="14"/>
      <c r="N30" s="14"/>
      <c r="O30" s="14"/>
      <c r="P30" s="14"/>
      <c r="Q30" s="14"/>
      <c r="R30" s="14"/>
      <c r="S30" s="240">
        <f>S28+S29</f>
        <v>29.16</v>
      </c>
      <c r="T30" s="14"/>
      <c r="U30" s="294" t="s">
        <v>21</v>
      </c>
      <c r="V30" s="291" t="s">
        <v>147</v>
      </c>
      <c r="W30" s="295">
        <v>44971</v>
      </c>
      <c r="X30" s="296"/>
    </row>
    <row r="31" spans="1:25" ht="17.399999999999999" x14ac:dyDescent="0.35">
      <c r="B31" s="230"/>
      <c r="C31" s="230"/>
      <c r="D31" s="230"/>
      <c r="E31" s="230"/>
      <c r="F31" s="230"/>
      <c r="G31" s="230"/>
      <c r="J31" s="264"/>
      <c r="K31" s="47"/>
      <c r="L31" s="47"/>
      <c r="M31" s="39">
        <f>P29</f>
        <v>3.4020000000000001</v>
      </c>
      <c r="N31" s="12">
        <v>3500</v>
      </c>
      <c r="O31" s="12">
        <f t="shared" ref="O31:O36" si="7">M31*N31</f>
        <v>11907</v>
      </c>
      <c r="P31" s="14" t="s">
        <v>21</v>
      </c>
      <c r="Q31" s="14"/>
      <c r="R31" s="14"/>
      <c r="S31" s="241"/>
      <c r="T31" s="14"/>
      <c r="U31" s="294" t="s">
        <v>148</v>
      </c>
      <c r="V31" s="291">
        <v>3625</v>
      </c>
      <c r="W31" s="59" t="s">
        <v>149</v>
      </c>
      <c r="X31" s="296"/>
    </row>
    <row r="32" spans="1:25" ht="17.399999999999999" x14ac:dyDescent="0.35">
      <c r="A32" s="230"/>
      <c r="B32" s="230"/>
      <c r="C32" s="230"/>
      <c r="D32" s="230"/>
      <c r="E32" s="230"/>
      <c r="F32" s="230"/>
      <c r="G32" s="230"/>
      <c r="H32" s="230"/>
      <c r="J32" s="264"/>
      <c r="K32" s="47"/>
      <c r="L32" s="47"/>
      <c r="M32" s="248">
        <v>2</v>
      </c>
      <c r="N32" s="12">
        <v>42000</v>
      </c>
      <c r="O32" s="12">
        <f t="shared" si="7"/>
        <v>84000</v>
      </c>
      <c r="P32" s="39" t="s">
        <v>286</v>
      </c>
      <c r="Q32" s="42"/>
      <c r="R32" s="14"/>
      <c r="S32" s="240"/>
      <c r="T32" s="14"/>
      <c r="U32" s="294"/>
      <c r="V32" s="59">
        <v>906.25</v>
      </c>
      <c r="W32" s="59" t="s">
        <v>150</v>
      </c>
      <c r="X32" s="296"/>
    </row>
    <row r="33" spans="1:24" s="230" customFormat="1" ht="17.399999999999999" x14ac:dyDescent="0.35">
      <c r="B33" s="24" t="s">
        <v>146</v>
      </c>
      <c r="J33" s="261"/>
      <c r="K33" s="232"/>
      <c r="L33" s="249"/>
      <c r="M33" s="14"/>
      <c r="N33" s="249">
        <v>33975</v>
      </c>
      <c r="O33" s="12">
        <f t="shared" si="7"/>
        <v>0</v>
      </c>
      <c r="P33" s="39" t="s">
        <v>287</v>
      </c>
      <c r="Q33" s="42"/>
      <c r="S33" s="240"/>
      <c r="T33" s="255"/>
      <c r="U33" s="59"/>
      <c r="V33" s="59">
        <f>V32*20%</f>
        <v>181.25</v>
      </c>
      <c r="W33" s="296" t="s">
        <v>151</v>
      </c>
      <c r="X33" s="59"/>
    </row>
    <row r="34" spans="1:24" s="230" customFormat="1" ht="17.399999999999999" x14ac:dyDescent="0.35">
      <c r="B34" s="24" t="s">
        <v>160</v>
      </c>
      <c r="C34"/>
      <c r="D34"/>
      <c r="E34"/>
      <c r="F34"/>
      <c r="J34" s="261"/>
      <c r="K34" s="232"/>
      <c r="L34" s="249"/>
      <c r="M34" s="14">
        <v>3</v>
      </c>
      <c r="N34" s="249">
        <v>31000</v>
      </c>
      <c r="O34" s="12">
        <f t="shared" si="7"/>
        <v>93000</v>
      </c>
      <c r="P34" s="14" t="s">
        <v>288</v>
      </c>
      <c r="Q34" s="17"/>
      <c r="S34" s="238"/>
      <c r="T34" s="255"/>
      <c r="U34" s="59"/>
      <c r="V34" s="59">
        <f>V32+V33</f>
        <v>1087.5</v>
      </c>
      <c r="W34" s="296" t="s">
        <v>152</v>
      </c>
      <c r="X34" s="59"/>
    </row>
    <row r="35" spans="1:24" s="230" customFormat="1" ht="17.399999999999999" x14ac:dyDescent="0.35">
      <c r="A35" s="230" t="s">
        <v>281</v>
      </c>
      <c r="B35" s="29" t="s">
        <v>123</v>
      </c>
      <c r="C35"/>
      <c r="D35"/>
      <c r="E35"/>
      <c r="F35" s="229" t="s">
        <v>15</v>
      </c>
      <c r="J35" s="261"/>
      <c r="K35" s="259"/>
      <c r="L35" s="249"/>
      <c r="M35" s="248"/>
      <c r="N35" s="249">
        <v>900</v>
      </c>
      <c r="O35" s="12">
        <f t="shared" si="7"/>
        <v>0</v>
      </c>
      <c r="P35" s="14" t="s">
        <v>31</v>
      </c>
      <c r="Q35" s="14"/>
      <c r="R35" s="230">
        <v>1.52</v>
      </c>
      <c r="S35" s="238"/>
      <c r="T35" s="238"/>
    </row>
    <row r="36" spans="1:24" s="230" customFormat="1" ht="17.399999999999999" x14ac:dyDescent="0.35">
      <c r="J36" s="286"/>
      <c r="K36" s="259"/>
      <c r="L36" s="249"/>
      <c r="M36" s="265"/>
      <c r="N36" s="12">
        <v>1500</v>
      </c>
      <c r="O36" s="12">
        <f t="shared" si="7"/>
        <v>0</v>
      </c>
      <c r="P36" s="14" t="s">
        <v>22</v>
      </c>
      <c r="Q36" s="14"/>
      <c r="R36">
        <v>2.44</v>
      </c>
      <c r="S36"/>
      <c r="T36" s="238"/>
      <c r="X36" s="231"/>
    </row>
    <row r="37" spans="1:24" s="230" customFormat="1" ht="17.399999999999999" x14ac:dyDescent="0.35">
      <c r="K37" s="259"/>
      <c r="L37" s="249"/>
      <c r="M37" s="14"/>
      <c r="N37" s="12"/>
      <c r="O37" s="12">
        <f>SUM(O31:O36)</f>
        <v>188907</v>
      </c>
      <c r="P37" s="39" t="s">
        <v>23</v>
      </c>
      <c r="Q37" s="14"/>
      <c r="R37">
        <f>R35*R36</f>
        <v>3.7088000000000001</v>
      </c>
      <c r="S37"/>
      <c r="T37" s="238"/>
      <c r="X37" s="231"/>
    </row>
    <row r="38" spans="1:24" s="230" customFormat="1" ht="17.399999999999999" x14ac:dyDescent="0.35">
      <c r="L38" s="249"/>
      <c r="M38" s="253" t="s">
        <v>32</v>
      </c>
      <c r="N38" s="12"/>
      <c r="O38" s="254">
        <f>O37*2.1</f>
        <v>396704.7</v>
      </c>
      <c r="P38" s="14" t="s">
        <v>137</v>
      </c>
      <c r="Q38" s="14"/>
      <c r="R38" s="40">
        <f>P29/R37</f>
        <v>0.91727782571182059</v>
      </c>
      <c r="S38"/>
      <c r="T38" s="256"/>
    </row>
    <row r="39" spans="1:24" s="230" customFormat="1" ht="17.399999999999999" x14ac:dyDescent="0.35">
      <c r="G39"/>
      <c r="H39" s="259"/>
      <c r="I39" s="259"/>
      <c r="J39" s="259"/>
      <c r="K39" s="230">
        <v>51290</v>
      </c>
      <c r="L39" s="249"/>
      <c r="M39" s="14"/>
      <c r="N39" s="12"/>
      <c r="O39" s="12">
        <f>O38/P27</f>
        <v>139931.11111111112</v>
      </c>
      <c r="P39" s="45" t="s">
        <v>24</v>
      </c>
      <c r="Q39" s="14"/>
      <c r="R39" s="14"/>
      <c r="S39"/>
      <c r="T39" s="238"/>
      <c r="U39" s="59" t="s">
        <v>153</v>
      </c>
      <c r="V39" s="291">
        <v>43650</v>
      </c>
    </row>
    <row r="40" spans="1:24" s="230" customFormat="1" ht="17.399999999999999" x14ac:dyDescent="0.35">
      <c r="G40"/>
      <c r="K40" s="230">
        <f>K39/1.19</f>
        <v>43100.840336134454</v>
      </c>
      <c r="L40" s="249"/>
      <c r="M40" s="13"/>
      <c r="N40" s="14"/>
      <c r="O40" s="17">
        <f>O38/O37</f>
        <v>2.1</v>
      </c>
      <c r="P40" s="15"/>
      <c r="Q40"/>
      <c r="R40"/>
      <c r="S40"/>
      <c r="T40" s="238"/>
      <c r="U40" s="59" t="s">
        <v>155</v>
      </c>
      <c r="V40" s="292" t="s">
        <v>154</v>
      </c>
      <c r="W40" s="59">
        <v>2.4</v>
      </c>
    </row>
    <row r="41" spans="1:24" s="230" customFormat="1" ht="17.399999999999999" x14ac:dyDescent="0.35">
      <c r="G41" s="23"/>
      <c r="L41" s="12"/>
      <c r="T41" s="238"/>
      <c r="U41" s="59" t="s">
        <v>156</v>
      </c>
      <c r="V41" s="293">
        <v>395.37</v>
      </c>
    </row>
    <row r="42" spans="1:24" s="230" customFormat="1" ht="17.399999999999999" x14ac:dyDescent="0.35">
      <c r="B42"/>
      <c r="C42" s="228"/>
      <c r="D42" s="22"/>
      <c r="E42" s="22"/>
      <c r="F42" s="21"/>
      <c r="G42" s="23"/>
      <c r="L42" s="12"/>
      <c r="T42" s="238"/>
      <c r="U42" s="59" t="s">
        <v>151</v>
      </c>
      <c r="V42" s="59">
        <v>474.45</v>
      </c>
    </row>
    <row r="43" spans="1:24" ht="14.4" customHeight="1" x14ac:dyDescent="0.3">
      <c r="L43" s="12"/>
      <c r="U43" s="59"/>
      <c r="V43" s="59"/>
    </row>
    <row r="44" spans="1:24" x14ac:dyDescent="0.3">
      <c r="L44" s="249"/>
    </row>
    <row r="45" spans="1:24" x14ac:dyDescent="0.3">
      <c r="L45" s="249"/>
      <c r="T45" s="269"/>
    </row>
    <row r="46" spans="1:24" x14ac:dyDescent="0.3">
      <c r="L46" s="249"/>
    </row>
    <row r="47" spans="1:24" ht="15" customHeight="1" x14ac:dyDescent="0.3"/>
    <row r="49" spans="15:20" x14ac:dyDescent="0.3">
      <c r="O49">
        <v>40935</v>
      </c>
      <c r="P49" t="s">
        <v>16</v>
      </c>
      <c r="Q49" t="s">
        <v>26</v>
      </c>
    </row>
    <row r="51" spans="15:20" x14ac:dyDescent="0.3">
      <c r="O51" s="54"/>
      <c r="P51" s="54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3" spans="15:20" x14ac:dyDescent="0.3">
      <c r="O63" s="43"/>
    </row>
    <row r="64" spans="15:20" x14ac:dyDescent="0.3">
      <c r="O64" s="43"/>
    </row>
    <row r="65" spans="3:15" x14ac:dyDescent="0.3">
      <c r="O65" s="6"/>
    </row>
    <row r="66" spans="3:15" x14ac:dyDescent="0.3">
      <c r="O66" s="6"/>
    </row>
    <row r="74" spans="3:15" x14ac:dyDescent="0.3">
      <c r="C74" t="s">
        <v>143</v>
      </c>
    </row>
    <row r="75" spans="3:15" x14ac:dyDescent="0.3">
      <c r="C75" t="s">
        <v>142</v>
      </c>
    </row>
    <row r="78" spans="3:15" x14ac:dyDescent="0.3">
      <c r="C78" t="s">
        <v>142</v>
      </c>
    </row>
    <row r="155" spans="3:3" x14ac:dyDescent="0.3">
      <c r="C155" t="s">
        <v>142</v>
      </c>
    </row>
    <row r="156" spans="3:3" x14ac:dyDescent="0.3">
      <c r="C156" t="s">
        <v>144</v>
      </c>
    </row>
    <row r="157" spans="3:3" x14ac:dyDescent="0.3">
      <c r="C157" t="s">
        <v>145</v>
      </c>
    </row>
    <row r="582" spans="3:3" x14ac:dyDescent="0.3">
      <c r="C582" t="s">
        <v>142</v>
      </c>
    </row>
  </sheetData>
  <mergeCells count="1">
    <mergeCell ref="B19:H19"/>
  </mergeCells>
  <phoneticPr fontId="32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104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46146</v>
      </c>
    </row>
    <row r="6" spans="2:31" ht="16.2" thickBot="1" x14ac:dyDescent="0.35">
      <c r="B6" s="140" t="s">
        <v>2</v>
      </c>
      <c r="C6" s="139" t="str">
        <f>'2229'!C10</f>
        <v>QCLASS S.A.</v>
      </c>
      <c r="D6" s="138"/>
      <c r="E6" s="138"/>
      <c r="F6" s="138"/>
      <c r="N6" s="75" t="s">
        <v>103</v>
      </c>
      <c r="O6" s="75"/>
      <c r="P6" s="142" t="s">
        <v>102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40" t="s">
        <v>97</v>
      </c>
      <c r="I7" s="441"/>
      <c r="J7" s="441"/>
      <c r="K7" s="442"/>
      <c r="N7" s="75"/>
      <c r="O7" s="439" t="s">
        <v>101</v>
      </c>
      <c r="P7" s="141" t="s">
        <v>100</v>
      </c>
      <c r="Q7" s="141"/>
    </row>
    <row r="8" spans="2:31" ht="16.2" thickBot="1" x14ac:dyDescent="0.35">
      <c r="B8" s="140" t="s">
        <v>99</v>
      </c>
      <c r="C8" s="139" t="str">
        <f>'2229'!D8</f>
        <v>N° 12114</v>
      </c>
      <c r="D8" s="138"/>
      <c r="E8" s="138"/>
      <c r="F8" s="138"/>
      <c r="H8" s="182" t="s">
        <v>116</v>
      </c>
      <c r="I8" s="154" t="s">
        <v>115</v>
      </c>
      <c r="J8" s="227" t="s">
        <v>94</v>
      </c>
      <c r="K8" s="135" t="s">
        <v>6</v>
      </c>
      <c r="L8" s="134" t="s">
        <v>6</v>
      </c>
      <c r="N8" s="75"/>
      <c r="O8" s="439"/>
      <c r="P8" s="75" t="s">
        <v>98</v>
      </c>
      <c r="Q8" s="75"/>
      <c r="X8">
        <f>SUM(Q11:Q16)</f>
        <v>6</v>
      </c>
    </row>
    <row r="9" spans="2:31" ht="15" thickBot="1" x14ac:dyDescent="0.35">
      <c r="H9" s="197" t="s">
        <v>95</v>
      </c>
      <c r="I9" s="198" t="s">
        <v>114</v>
      </c>
      <c r="J9" s="183" t="s">
        <v>91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-263753.03336678742</v>
      </c>
    </row>
    <row r="10" spans="2:31" ht="16.2" thickBot="1" x14ac:dyDescent="0.35">
      <c r="D10" s="218" t="s">
        <v>28</v>
      </c>
      <c r="E10" s="219" t="s">
        <v>50</v>
      </c>
      <c r="F10" s="220" t="s">
        <v>6</v>
      </c>
      <c r="H10" s="190">
        <v>3</v>
      </c>
      <c r="I10" s="204">
        <v>350</v>
      </c>
      <c r="J10" s="201" t="s">
        <v>31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92</v>
      </c>
      <c r="D11" s="133">
        <f>'2229'!H25</f>
        <v>1789991</v>
      </c>
      <c r="E11" s="132">
        <f>D11*0.19</f>
        <v>340098.29</v>
      </c>
      <c r="F11" s="131">
        <f>E11+D11</f>
        <v>2130089.29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34</v>
      </c>
      <c r="S11" s="51">
        <v>2.8</v>
      </c>
      <c r="T11" s="51">
        <v>0.62</v>
      </c>
      <c r="U11" s="7" t="s">
        <v>37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-157763.03336678742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96</v>
      </c>
      <c r="D12" s="136">
        <f>SUM(M43:M45)</f>
        <v>125741.09078743961</v>
      </c>
      <c r="F12" s="61"/>
      <c r="H12" s="191">
        <v>0</v>
      </c>
      <c r="I12" s="174">
        <v>7500</v>
      </c>
      <c r="J12" s="150" t="s">
        <v>110</v>
      </c>
      <c r="K12" s="158">
        <f t="shared" si="0"/>
        <v>0</v>
      </c>
      <c r="L12" s="61"/>
      <c r="Q12" s="7">
        <v>1</v>
      </c>
      <c r="R12" s="7" t="s">
        <v>34</v>
      </c>
      <c r="S12" s="51">
        <v>2.2999999999999998</v>
      </c>
      <c r="T12" s="51">
        <v>0.62</v>
      </c>
      <c r="U12" s="7" t="s">
        <v>37</v>
      </c>
      <c r="V12" s="55">
        <v>87990</v>
      </c>
      <c r="W12" s="49">
        <f t="shared" si="1"/>
        <v>87990</v>
      </c>
      <c r="X12" s="176">
        <f t="shared" si="2"/>
        <v>-175763.03336678742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90</v>
      </c>
      <c r="D13" s="217">
        <f>D11-D12</f>
        <v>1664249.9092125604</v>
      </c>
      <c r="E13" s="221">
        <f>(D11/D12)-1</f>
        <v>13.235529442208433</v>
      </c>
      <c r="H13" s="191">
        <v>0</v>
      </c>
      <c r="I13" s="174">
        <v>50</v>
      </c>
      <c r="J13" s="150" t="s">
        <v>111</v>
      </c>
      <c r="K13" s="158">
        <f t="shared" si="0"/>
        <v>0</v>
      </c>
      <c r="L13" s="61"/>
      <c r="Q13" s="7">
        <v>1</v>
      </c>
      <c r="R13" s="7" t="s">
        <v>34</v>
      </c>
      <c r="S13" s="51">
        <v>2.0299999999999998</v>
      </c>
      <c r="T13" s="51">
        <v>0.62</v>
      </c>
      <c r="U13" s="7" t="s">
        <v>37</v>
      </c>
      <c r="V13" s="55">
        <v>78990</v>
      </c>
      <c r="W13" s="49">
        <f t="shared" si="1"/>
        <v>78990</v>
      </c>
      <c r="X13" s="176">
        <f t="shared" si="2"/>
        <v>-184763.03336678742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121</v>
      </c>
      <c r="E14" s="179" t="s">
        <v>28</v>
      </c>
      <c r="F14" s="178" t="s">
        <v>109</v>
      </c>
      <c r="H14" s="191">
        <v>0</v>
      </c>
      <c r="I14" s="174">
        <v>50</v>
      </c>
      <c r="J14" s="150" t="s">
        <v>112</v>
      </c>
      <c r="K14" s="158">
        <f t="shared" si="0"/>
        <v>0</v>
      </c>
      <c r="L14" s="61"/>
      <c r="P14" s="126"/>
      <c r="Q14" s="7">
        <v>1</v>
      </c>
      <c r="R14" s="7" t="s">
        <v>34</v>
      </c>
      <c r="S14" s="51">
        <v>1.08</v>
      </c>
      <c r="T14" s="51">
        <v>0.62</v>
      </c>
      <c r="U14" s="7" t="s">
        <v>37</v>
      </c>
      <c r="V14" s="55">
        <v>39990</v>
      </c>
      <c r="W14" s="49">
        <f t="shared" si="1"/>
        <v>39990</v>
      </c>
      <c r="X14" s="176">
        <f t="shared" si="2"/>
        <v>-223763.03336678742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120</v>
      </c>
      <c r="D15" s="214">
        <v>0.65</v>
      </c>
      <c r="E15" s="215">
        <f>(100%+D15)*D12</f>
        <v>207472.79979927535</v>
      </c>
      <c r="F15" s="216">
        <f>E15-D12</f>
        <v>81731.709011835745</v>
      </c>
      <c r="H15" s="191">
        <v>0</v>
      </c>
      <c r="I15" s="174">
        <v>10</v>
      </c>
      <c r="J15" s="150" t="s">
        <v>113</v>
      </c>
      <c r="K15" s="158">
        <f t="shared" si="0"/>
        <v>0</v>
      </c>
      <c r="L15" s="61"/>
      <c r="Q15" s="7">
        <v>1</v>
      </c>
      <c r="R15" s="7" t="s">
        <v>34</v>
      </c>
      <c r="S15" s="51">
        <v>1.08</v>
      </c>
      <c r="T15" s="51">
        <v>0.62</v>
      </c>
      <c r="U15" s="7" t="s">
        <v>37</v>
      </c>
      <c r="V15" s="55">
        <v>39990</v>
      </c>
      <c r="W15" s="49">
        <f t="shared" si="1"/>
        <v>39990</v>
      </c>
      <c r="X15" s="176">
        <f t="shared" si="2"/>
        <v>-223763.03336678742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89</v>
      </c>
      <c r="K16" s="158">
        <f t="shared" si="0"/>
        <v>0</v>
      </c>
      <c r="L16" s="61"/>
      <c r="Q16" s="7">
        <v>1</v>
      </c>
      <c r="R16" s="7" t="s">
        <v>34</v>
      </c>
      <c r="S16" s="51">
        <v>2.06</v>
      </c>
      <c r="T16" s="51">
        <v>0.62</v>
      </c>
      <c r="U16" s="7" t="s">
        <v>37</v>
      </c>
      <c r="V16" s="55">
        <v>79990</v>
      </c>
      <c r="W16" s="49">
        <f t="shared" si="1"/>
        <v>79990</v>
      </c>
      <c r="X16" s="176">
        <f t="shared" si="2"/>
        <v>-183763.03336678742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87</v>
      </c>
      <c r="C17" s="129" t="s">
        <v>86</v>
      </c>
      <c r="D17" s="129" t="s">
        <v>28</v>
      </c>
      <c r="E17" s="128" t="s">
        <v>50</v>
      </c>
      <c r="F17" s="127" t="s">
        <v>6</v>
      </c>
      <c r="H17" s="193">
        <v>1</v>
      </c>
      <c r="I17" s="202"/>
      <c r="J17" s="188" t="s">
        <v>88</v>
      </c>
      <c r="K17" s="158">
        <f t="shared" si="0"/>
        <v>0</v>
      </c>
      <c r="L17" s="61"/>
      <c r="Q17" s="7">
        <v>6</v>
      </c>
      <c r="R17" s="7" t="s">
        <v>35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84</v>
      </c>
      <c r="D18" s="122">
        <f>'2229'!O33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85</v>
      </c>
      <c r="K18" s="158">
        <f t="shared" si="0"/>
        <v>0</v>
      </c>
      <c r="L18" s="61"/>
      <c r="Q18" s="7">
        <v>1</v>
      </c>
      <c r="R18" s="56" t="s">
        <v>36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30</v>
      </c>
      <c r="D19" s="122">
        <f>'2229'!O32</f>
        <v>84000</v>
      </c>
      <c r="E19" s="123">
        <f>D19*0.19</f>
        <v>15960</v>
      </c>
      <c r="F19" s="120">
        <f>SUM(D19:E19)</f>
        <v>99960</v>
      </c>
      <c r="H19" s="192">
        <v>1</v>
      </c>
      <c r="I19" s="202"/>
      <c r="J19" s="184" t="s">
        <v>83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'2229'!O31</f>
        <v>11907</v>
      </c>
      <c r="E20" s="121">
        <f>D20*0.19</f>
        <v>2262.33</v>
      </c>
      <c r="F20" s="120">
        <f>SUM(D20:E20)</f>
        <v>14169.33</v>
      </c>
      <c r="H20" s="192">
        <v>1</v>
      </c>
      <c r="I20" s="202"/>
      <c r="J20" s="184" t="s">
        <v>82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95907</v>
      </c>
      <c r="E21" s="116">
        <f>SUM(E18:E20)</f>
        <v>18222.330000000002</v>
      </c>
      <c r="F21" s="115">
        <f>SUM(F18:F20)</f>
        <v>114129.33</v>
      </c>
      <c r="H21" s="192">
        <v>1</v>
      </c>
      <c r="I21" s="202"/>
      <c r="J21" s="184" t="s">
        <v>81</v>
      </c>
      <c r="K21" s="158">
        <f t="shared" si="0"/>
        <v>0</v>
      </c>
      <c r="M21" s="153">
        <f>B32/9</f>
        <v>2318.840579710145</v>
      </c>
      <c r="Q21" s="50" t="s">
        <v>38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79</v>
      </c>
      <c r="C22" s="113" t="s">
        <v>78</v>
      </c>
      <c r="D22" s="112" t="s">
        <v>77</v>
      </c>
      <c r="E22" s="111" t="s">
        <v>76</v>
      </c>
      <c r="F22" s="110" t="s">
        <v>6</v>
      </c>
      <c r="H22" s="192">
        <v>1</v>
      </c>
      <c r="I22" s="202"/>
      <c r="J22" s="148" t="s">
        <v>80</v>
      </c>
      <c r="K22" s="158">
        <f t="shared" si="0"/>
        <v>0</v>
      </c>
      <c r="M22" s="105"/>
      <c r="N22" s="58"/>
      <c r="Q22" s="50" t="s">
        <v>33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75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73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116</v>
      </c>
      <c r="I24" s="155" t="s">
        <v>114</v>
      </c>
      <c r="J24" s="181" t="s">
        <v>74</v>
      </c>
      <c r="K24" s="152" t="s">
        <v>93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72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107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70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71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69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68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67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105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66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117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118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64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119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63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40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39</v>
      </c>
      <c r="K33" s="97">
        <f t="shared" si="5"/>
        <v>0</v>
      </c>
    </row>
    <row r="34" spans="2:16" ht="15" thickBot="1" x14ac:dyDescent="0.35">
      <c r="B34" s="83" t="s">
        <v>62</v>
      </c>
      <c r="C34" s="82" t="s">
        <v>61</v>
      </c>
      <c r="D34" s="81">
        <f>L9</f>
        <v>2550</v>
      </c>
      <c r="H34" s="192">
        <v>1</v>
      </c>
      <c r="I34" s="174"/>
      <c r="J34" s="148" t="s">
        <v>106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60</v>
      </c>
      <c r="D35" s="78">
        <f>L24</f>
        <v>0</v>
      </c>
      <c r="H35" s="194">
        <v>6</v>
      </c>
      <c r="I35" s="206"/>
      <c r="J35" s="180" t="s">
        <v>108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58</v>
      </c>
      <c r="D36" s="78">
        <f>L36</f>
        <v>18467.665666666668</v>
      </c>
      <c r="E36" s="58"/>
      <c r="H36" s="151" t="s">
        <v>95</v>
      </c>
      <c r="I36" s="155" t="s">
        <v>114</v>
      </c>
      <c r="J36" s="189" t="s">
        <v>65</v>
      </c>
      <c r="K36" s="152" t="s">
        <v>93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41</v>
      </c>
      <c r="D37" s="73"/>
      <c r="H37" s="199">
        <f>$E$33</f>
        <v>3.9000000000000004</v>
      </c>
      <c r="I37" s="204">
        <f>32609.69/9</f>
        <v>3623.2988888888885</v>
      </c>
      <c r="J37" s="187" t="s">
        <v>44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42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43</v>
      </c>
      <c r="K39" s="84">
        <f>I39*H39</f>
        <v>565.5</v>
      </c>
    </row>
    <row r="40" spans="2:16" ht="15" thickBot="1" x14ac:dyDescent="0.35">
      <c r="B40" s="68" t="s">
        <v>51</v>
      </c>
      <c r="C40" s="67" t="s">
        <v>50</v>
      </c>
      <c r="D40" s="66">
        <f>E11-E21</f>
        <v>321875.95999999996</v>
      </c>
    </row>
    <row r="41" spans="2:16" ht="15" thickBot="1" x14ac:dyDescent="0.35">
      <c r="H41" s="443" t="s">
        <v>59</v>
      </c>
      <c r="I41" s="444"/>
      <c r="J41" s="444"/>
      <c r="K41" s="444"/>
      <c r="L41" s="444"/>
      <c r="M41" s="445"/>
    </row>
    <row r="42" spans="2:16" ht="15" thickBot="1" x14ac:dyDescent="0.35">
      <c r="B42" s="75" t="s">
        <v>45</v>
      </c>
      <c r="C42" s="75"/>
      <c r="D42" s="207">
        <f>E33</f>
        <v>3.9000000000000004</v>
      </c>
      <c r="H42" s="77" t="s">
        <v>57</v>
      </c>
      <c r="I42" s="159" t="s">
        <v>56</v>
      </c>
      <c r="J42" s="160"/>
      <c r="K42" s="160"/>
      <c r="L42" s="161"/>
      <c r="M42" s="76">
        <f>D11</f>
        <v>1789991</v>
      </c>
    </row>
    <row r="43" spans="2:16" ht="15" thickBot="1" x14ac:dyDescent="0.35">
      <c r="D43" s="57"/>
      <c r="H43" s="72" t="s">
        <v>55</v>
      </c>
      <c r="I43" s="162" t="s">
        <v>54</v>
      </c>
      <c r="J43" s="163"/>
      <c r="K43" s="163"/>
      <c r="L43" s="164"/>
      <c r="M43" s="64">
        <f>D21</f>
        <v>95907</v>
      </c>
    </row>
    <row r="44" spans="2:16" x14ac:dyDescent="0.3">
      <c r="D44" s="57"/>
      <c r="I44" s="165" t="s">
        <v>53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52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49</v>
      </c>
      <c r="J46" s="172"/>
      <c r="K46" s="172"/>
      <c r="L46" s="173"/>
      <c r="M46" s="62">
        <f>M42-(SUM(M43:M45))</f>
        <v>1664249.9092125604</v>
      </c>
    </row>
    <row r="47" spans="2:16" x14ac:dyDescent="0.3">
      <c r="I47" s="162" t="s">
        <v>48</v>
      </c>
      <c r="J47" s="163"/>
      <c r="K47" s="163"/>
      <c r="L47" s="164"/>
      <c r="M47" s="64"/>
    </row>
    <row r="48" spans="2:16" ht="15" thickBot="1" x14ac:dyDescent="0.35">
      <c r="D48" s="60"/>
      <c r="I48" s="168" t="s">
        <v>47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46</v>
      </c>
      <c r="J49" s="172"/>
      <c r="K49" s="172"/>
      <c r="L49" s="173"/>
      <c r="M49" s="62">
        <f>M46-SUM(M47:M48)</f>
        <v>1664249.9092125604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138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135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139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161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162</v>
      </c>
      <c r="G7" s="138"/>
      <c r="H7" s="138"/>
      <c r="I7" s="138"/>
    </row>
    <row r="8" spans="1:17" ht="16.2" thickBot="1" x14ac:dyDescent="0.35">
      <c r="A8" s="138"/>
      <c r="B8" s="315" t="s">
        <v>124</v>
      </c>
      <c r="C8" s="316"/>
      <c r="D8" s="317" t="str">
        <f>'2229'!D8</f>
        <v>N° 12114</v>
      </c>
      <c r="E8" s="138"/>
      <c r="F8" s="318" t="s">
        <v>163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164</v>
      </c>
      <c r="C10" s="350" t="str">
        <f>IF('2229'!C10="","",'2229'!C10)</f>
        <v>QCLASS S.A.</v>
      </c>
      <c r="D10" s="350"/>
      <c r="E10" s="350"/>
      <c r="F10" s="351" t="s">
        <v>165</v>
      </c>
      <c r="G10" s="352">
        <f>'2229'!G10</f>
        <v>46146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>96.913-350-4</v>
      </c>
      <c r="D11" s="345"/>
      <c r="E11" s="345"/>
      <c r="F11" s="345" t="s">
        <v>166</v>
      </c>
      <c r="G11" s="340">
        <f>WORKDAY(G10,5)</f>
        <v>46153</v>
      </c>
      <c r="H11" s="341"/>
      <c r="I11" s="138"/>
    </row>
    <row r="12" spans="1:17" ht="15.6" x14ac:dyDescent="0.3">
      <c r="A12" s="138"/>
      <c r="B12" s="354" t="s">
        <v>167</v>
      </c>
      <c r="C12" s="355" t="str">
        <f>IF('2229'!C12="","",'2229'!C12)</f>
        <v>CONTRUCCION</v>
      </c>
      <c r="D12" s="355"/>
      <c r="E12" s="355"/>
      <c r="F12" s="355" t="s">
        <v>179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141</v>
      </c>
      <c r="C13" s="246" t="str">
        <f>IF('2229'!C13="","",'2229'!C13)</f>
        <v>ANGEL ZUÑIGA</v>
      </c>
      <c r="D13" s="246"/>
      <c r="E13" s="246"/>
      <c r="F13" s="246" t="s">
        <v>168</v>
      </c>
      <c r="G13" s="346"/>
      <c r="H13" s="247"/>
      <c r="I13" s="138"/>
    </row>
    <row r="14" spans="1:17" ht="15.6" x14ac:dyDescent="0.3">
      <c r="A14" s="138"/>
      <c r="B14" s="354" t="s">
        <v>136</v>
      </c>
      <c r="C14" s="355" t="str">
        <f>IF('2229'!C14="","",'2229'!C14)</f>
        <v/>
      </c>
      <c r="D14" s="355"/>
      <c r="E14" s="355"/>
      <c r="F14" s="355" t="s">
        <v>169</v>
      </c>
      <c r="G14" s="357" t="s">
        <v>170</v>
      </c>
      <c r="H14" s="356"/>
      <c r="I14" s="138"/>
    </row>
    <row r="15" spans="1:17" ht="15.6" x14ac:dyDescent="0.3">
      <c r="A15" s="138"/>
      <c r="B15" s="339" t="s">
        <v>4</v>
      </c>
      <c r="C15" s="246" t="str">
        <f>IF('2229'!C15="","",'2229'!C15)</f>
        <v>9 2764 3089</v>
      </c>
      <c r="D15" s="347"/>
      <c r="E15" s="345"/>
      <c r="F15" s="345" t="s">
        <v>171</v>
      </c>
      <c r="G15" s="345" t="str">
        <f>'2229'!G12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/>
      </c>
      <c r="D16" s="355"/>
      <c r="E16" s="355"/>
      <c r="F16" s="355" t="s">
        <v>172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46" t="s">
        <v>173</v>
      </c>
      <c r="G17" s="446"/>
      <c r="H17" s="447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8" t="s">
        <v>174</v>
      </c>
      <c r="C20" s="449"/>
      <c r="D20" s="449"/>
      <c r="E20" s="449"/>
      <c r="F20" s="449"/>
      <c r="G20" s="449"/>
      <c r="H20" s="450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 t="e">
        <f>'2229'!#REF!</f>
        <v>#REF!</v>
      </c>
      <c r="C22" s="313" t="e">
        <f>'2229'!#REF!</f>
        <v>#REF!</v>
      </c>
      <c r="D22" s="321" t="e">
        <f>'2229'!#REF!*1000</f>
        <v>#REF!</v>
      </c>
      <c r="E22" s="321" t="e">
        <f>'2229'!#REF!*1000</f>
        <v>#REF!</v>
      </c>
      <c r="F22" s="322" t="e">
        <f>'2229'!#REF!</f>
        <v>#REF!</v>
      </c>
      <c r="G22" s="314" t="e">
        <f>'2229'!#REF!</f>
        <v>#REF!</v>
      </c>
      <c r="H22" s="323" t="e">
        <f>G22*B22</f>
        <v>#REF!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 t="e">
        <f>SUM(H22:H24)</f>
        <v>#REF!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 t="e">
        <f>H25*19%</f>
        <v>#REF!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 t="e">
        <f>H25+H26</f>
        <v>#REF!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175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176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123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51" t="s">
        <v>180</v>
      </c>
      <c r="C2" s="451"/>
      <c r="D2" s="451"/>
      <c r="E2" s="361"/>
      <c r="G2" s="451" t="s">
        <v>181</v>
      </c>
      <c r="H2" s="451"/>
      <c r="I2" s="451"/>
      <c r="P2" s="452" t="s">
        <v>182</v>
      </c>
      <c r="Q2" s="452"/>
      <c r="R2" s="452"/>
    </row>
    <row r="3" spans="2:18" x14ac:dyDescent="0.3">
      <c r="B3" s="363" t="s">
        <v>129</v>
      </c>
      <c r="C3" s="363" t="s">
        <v>11</v>
      </c>
      <c r="D3" s="363" t="s">
        <v>1</v>
      </c>
      <c r="E3" s="364"/>
      <c r="G3" s="363" t="s">
        <v>129</v>
      </c>
      <c r="H3" s="363" t="s">
        <v>11</v>
      </c>
      <c r="I3" s="363" t="s">
        <v>1</v>
      </c>
      <c r="P3" s="363" t="s">
        <v>129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183</v>
      </c>
      <c r="E4" s="246" t="s">
        <v>184</v>
      </c>
      <c r="G4" s="362">
        <v>50</v>
      </c>
      <c r="H4" s="362">
        <v>100</v>
      </c>
      <c r="I4" s="367" t="s">
        <v>183</v>
      </c>
      <c r="J4" s="54" t="s">
        <v>185</v>
      </c>
      <c r="K4" s="54"/>
      <c r="L4" s="54"/>
      <c r="M4" s="54"/>
      <c r="P4">
        <v>50</v>
      </c>
      <c r="Q4">
        <v>-30</v>
      </c>
      <c r="R4" t="s">
        <v>186</v>
      </c>
    </row>
    <row r="5" spans="2:18" x14ac:dyDescent="0.3">
      <c r="B5" s="365">
        <v>40</v>
      </c>
      <c r="C5" s="365">
        <v>90</v>
      </c>
      <c r="D5" s="366" t="s">
        <v>187</v>
      </c>
      <c r="E5" s="246" t="s">
        <v>188</v>
      </c>
      <c r="G5" s="362">
        <v>50</v>
      </c>
      <c r="H5" s="362"/>
      <c r="I5" s="367" t="s">
        <v>189</v>
      </c>
      <c r="J5" s="54" t="s">
        <v>190</v>
      </c>
      <c r="K5" s="54"/>
      <c r="L5" s="54"/>
      <c r="M5" s="54"/>
      <c r="P5">
        <v>50</v>
      </c>
      <c r="Q5">
        <v>-30</v>
      </c>
      <c r="R5" t="s">
        <v>186</v>
      </c>
    </row>
    <row r="6" spans="2:18" x14ac:dyDescent="0.3">
      <c r="B6" s="365">
        <v>40</v>
      </c>
      <c r="C6" s="365">
        <v>100</v>
      </c>
      <c r="D6" s="366" t="s">
        <v>191</v>
      </c>
      <c r="E6" s="246" t="s">
        <v>192</v>
      </c>
      <c r="G6" s="365">
        <v>50</v>
      </c>
      <c r="H6" s="365">
        <v>100</v>
      </c>
      <c r="I6" s="366" t="s">
        <v>191</v>
      </c>
      <c r="P6">
        <v>50</v>
      </c>
      <c r="Q6">
        <v>-30</v>
      </c>
      <c r="R6" t="s">
        <v>193</v>
      </c>
    </row>
    <row r="7" spans="2:18" x14ac:dyDescent="0.3">
      <c r="B7" s="365">
        <v>40</v>
      </c>
      <c r="C7" s="365">
        <v>150</v>
      </c>
      <c r="D7" s="366" t="s">
        <v>194</v>
      </c>
      <c r="E7" s="246" t="s">
        <v>195</v>
      </c>
      <c r="G7" s="365">
        <v>50</v>
      </c>
      <c r="H7" s="365"/>
      <c r="I7" s="366" t="s">
        <v>194</v>
      </c>
      <c r="P7">
        <v>50</v>
      </c>
      <c r="Q7">
        <v>-30</v>
      </c>
      <c r="R7" t="s">
        <v>196</v>
      </c>
    </row>
    <row r="8" spans="2:18" x14ac:dyDescent="0.3">
      <c r="B8" s="365">
        <v>40</v>
      </c>
      <c r="C8" s="365">
        <v>100</v>
      </c>
      <c r="D8" s="366" t="s">
        <v>197</v>
      </c>
      <c r="E8" s="246" t="s">
        <v>198</v>
      </c>
      <c r="G8" s="365">
        <v>50</v>
      </c>
      <c r="H8" s="365">
        <v>100</v>
      </c>
      <c r="I8" s="366" t="s">
        <v>197</v>
      </c>
      <c r="L8" s="452" t="s">
        <v>182</v>
      </c>
      <c r="M8" s="452"/>
      <c r="N8" s="452"/>
      <c r="P8">
        <v>50</v>
      </c>
      <c r="Q8">
        <v>-30</v>
      </c>
      <c r="R8" t="s">
        <v>199</v>
      </c>
    </row>
    <row r="9" spans="2:18" x14ac:dyDescent="0.3">
      <c r="B9" s="365">
        <v>40</v>
      </c>
      <c r="C9" s="365">
        <v>50</v>
      </c>
      <c r="D9" s="366" t="s">
        <v>200</v>
      </c>
      <c r="E9" s="246" t="s">
        <v>201</v>
      </c>
      <c r="G9" s="365">
        <v>50</v>
      </c>
      <c r="H9" s="365">
        <v>100</v>
      </c>
      <c r="I9" s="366" t="s">
        <v>202</v>
      </c>
      <c r="L9" s="363" t="s">
        <v>129</v>
      </c>
      <c r="M9" s="363" t="s">
        <v>11</v>
      </c>
      <c r="N9" s="363" t="s">
        <v>1</v>
      </c>
      <c r="P9">
        <v>50</v>
      </c>
      <c r="Q9">
        <v>0</v>
      </c>
      <c r="R9" t="s">
        <v>203</v>
      </c>
    </row>
    <row r="10" spans="2:18" x14ac:dyDescent="0.3">
      <c r="B10" s="365">
        <v>40</v>
      </c>
      <c r="C10" s="365">
        <v>80</v>
      </c>
      <c r="D10" s="366" t="s">
        <v>204</v>
      </c>
      <c r="E10" s="246" t="s">
        <v>205</v>
      </c>
      <c r="G10" s="365">
        <v>50</v>
      </c>
      <c r="H10" s="365"/>
      <c r="I10" s="366" t="s">
        <v>206</v>
      </c>
      <c r="L10" s="365">
        <v>50</v>
      </c>
      <c r="M10" s="365">
        <v>-30</v>
      </c>
      <c r="N10" s="366" t="s">
        <v>186</v>
      </c>
      <c r="P10">
        <v>50</v>
      </c>
      <c r="Q10">
        <v>0</v>
      </c>
      <c r="R10" t="s">
        <v>207</v>
      </c>
    </row>
    <row r="11" spans="2:18" x14ac:dyDescent="0.3">
      <c r="B11" s="365">
        <v>40</v>
      </c>
      <c r="C11" s="365">
        <v>60</v>
      </c>
      <c r="D11" s="366" t="s">
        <v>208</v>
      </c>
      <c r="E11" s="246" t="s">
        <v>209</v>
      </c>
      <c r="G11" s="365">
        <v>50</v>
      </c>
      <c r="H11" s="365">
        <v>100</v>
      </c>
      <c r="I11" s="366" t="s">
        <v>200</v>
      </c>
      <c r="L11" s="365">
        <v>50</v>
      </c>
      <c r="M11" s="365">
        <v>0</v>
      </c>
      <c r="N11" s="366" t="s">
        <v>210</v>
      </c>
      <c r="P11">
        <v>50</v>
      </c>
      <c r="Q11">
        <v>0</v>
      </c>
      <c r="R11" t="s">
        <v>211</v>
      </c>
    </row>
    <row r="12" spans="2:18" x14ac:dyDescent="0.3">
      <c r="B12" s="365">
        <v>40</v>
      </c>
      <c r="C12" s="365">
        <v>100</v>
      </c>
      <c r="D12" s="366" t="s">
        <v>212</v>
      </c>
      <c r="E12" s="246" t="s">
        <v>213</v>
      </c>
      <c r="G12" s="365">
        <v>50</v>
      </c>
      <c r="H12" s="365"/>
      <c r="I12" s="366" t="s">
        <v>204</v>
      </c>
      <c r="L12" s="365">
        <v>50</v>
      </c>
      <c r="M12" s="365">
        <v>-2</v>
      </c>
      <c r="N12" s="366" t="s">
        <v>214</v>
      </c>
      <c r="P12">
        <v>50</v>
      </c>
      <c r="Q12">
        <v>0</v>
      </c>
      <c r="R12" t="s">
        <v>215</v>
      </c>
    </row>
    <row r="13" spans="2:18" x14ac:dyDescent="0.3">
      <c r="B13" s="365">
        <v>40</v>
      </c>
      <c r="C13" s="365">
        <v>130</v>
      </c>
      <c r="D13" s="366" t="s">
        <v>216</v>
      </c>
      <c r="E13" s="246" t="s">
        <v>217</v>
      </c>
      <c r="G13" s="365">
        <v>50</v>
      </c>
      <c r="H13" s="365">
        <v>-30</v>
      </c>
      <c r="I13" s="366" t="s">
        <v>186</v>
      </c>
      <c r="P13">
        <v>50</v>
      </c>
      <c r="Q13">
        <v>0</v>
      </c>
      <c r="R13" t="s">
        <v>218</v>
      </c>
    </row>
    <row r="14" spans="2:18" x14ac:dyDescent="0.3">
      <c r="B14" s="365">
        <v>40</v>
      </c>
      <c r="C14" s="365">
        <v>150</v>
      </c>
      <c r="D14" s="366" t="s">
        <v>193</v>
      </c>
      <c r="E14" s="246"/>
      <c r="G14" s="365">
        <v>50</v>
      </c>
      <c r="H14" s="365">
        <v>-30</v>
      </c>
      <c r="I14" s="366" t="s">
        <v>193</v>
      </c>
    </row>
    <row r="15" spans="2:18" x14ac:dyDescent="0.3">
      <c r="B15" s="365">
        <v>40</v>
      </c>
      <c r="C15" s="365">
        <v>150</v>
      </c>
      <c r="D15" s="366" t="s">
        <v>219</v>
      </c>
      <c r="E15" s="246" t="s">
        <v>220</v>
      </c>
      <c r="G15" s="365">
        <v>50</v>
      </c>
      <c r="H15" s="365">
        <v>-30</v>
      </c>
      <c r="I15" s="366" t="s">
        <v>196</v>
      </c>
      <c r="P15">
        <v>50</v>
      </c>
      <c r="Q15">
        <v>0</v>
      </c>
      <c r="R15" t="s">
        <v>221</v>
      </c>
    </row>
    <row r="16" spans="2:18" x14ac:dyDescent="0.3">
      <c r="B16" s="365">
        <v>40</v>
      </c>
      <c r="C16" s="365">
        <v>130</v>
      </c>
      <c r="D16" s="366" t="s">
        <v>222</v>
      </c>
      <c r="E16" s="246" t="s">
        <v>223</v>
      </c>
      <c r="G16" s="365">
        <v>50</v>
      </c>
      <c r="H16" s="365">
        <v>-30</v>
      </c>
      <c r="I16" s="366" t="s">
        <v>224</v>
      </c>
      <c r="P16">
        <v>50</v>
      </c>
      <c r="Q16">
        <v>0</v>
      </c>
      <c r="R16" t="s">
        <v>225</v>
      </c>
    </row>
    <row r="17" spans="2:18" x14ac:dyDescent="0.3">
      <c r="B17" s="365">
        <v>40</v>
      </c>
      <c r="C17" s="365">
        <v>150</v>
      </c>
      <c r="D17" s="366" t="s">
        <v>211</v>
      </c>
      <c r="E17" s="246" t="s">
        <v>226</v>
      </c>
      <c r="G17" s="365">
        <v>50</v>
      </c>
      <c r="H17" s="365"/>
      <c r="I17" s="366" t="s">
        <v>211</v>
      </c>
      <c r="P17">
        <v>50</v>
      </c>
      <c r="Q17">
        <v>0</v>
      </c>
      <c r="R17" t="s">
        <v>227</v>
      </c>
    </row>
    <row r="18" spans="2:18" x14ac:dyDescent="0.3">
      <c r="B18" s="365">
        <v>140</v>
      </c>
      <c r="C18" s="365">
        <v>150</v>
      </c>
      <c r="D18" s="366" t="s">
        <v>215</v>
      </c>
      <c r="E18" s="246" t="s">
        <v>228</v>
      </c>
      <c r="G18" s="365">
        <v>50</v>
      </c>
      <c r="H18" s="365"/>
      <c r="I18" s="366" t="s">
        <v>215</v>
      </c>
      <c r="P18">
        <v>50</v>
      </c>
      <c r="Q18">
        <v>0</v>
      </c>
      <c r="R18" t="s">
        <v>229</v>
      </c>
    </row>
    <row r="19" spans="2:18" x14ac:dyDescent="0.3">
      <c r="B19" s="365">
        <v>150</v>
      </c>
      <c r="C19" s="365">
        <v>150</v>
      </c>
      <c r="D19" s="366" t="s">
        <v>218</v>
      </c>
      <c r="E19" s="246" t="s">
        <v>230</v>
      </c>
      <c r="G19" s="365">
        <v>50</v>
      </c>
      <c r="H19" s="365"/>
      <c r="I19" s="366" t="s">
        <v>218</v>
      </c>
      <c r="P19">
        <v>50</v>
      </c>
      <c r="Q19">
        <v>0</v>
      </c>
      <c r="R19" t="s">
        <v>231</v>
      </c>
    </row>
    <row r="20" spans="2:18" x14ac:dyDescent="0.3">
      <c r="B20" s="365">
        <v>40</v>
      </c>
      <c r="C20" s="365">
        <v>100</v>
      </c>
      <c r="D20" s="366" t="s">
        <v>232</v>
      </c>
      <c r="E20" s="246" t="s">
        <v>233</v>
      </c>
      <c r="G20" s="365">
        <v>50</v>
      </c>
      <c r="H20" s="365">
        <v>0</v>
      </c>
      <c r="I20" s="366" t="s">
        <v>232</v>
      </c>
      <c r="J20" s="54" t="s">
        <v>234</v>
      </c>
      <c r="K20" s="54"/>
      <c r="L20" s="54"/>
      <c r="M20" s="54"/>
      <c r="P20">
        <v>50</v>
      </c>
      <c r="Q20">
        <v>0</v>
      </c>
      <c r="R20" t="s">
        <v>235</v>
      </c>
    </row>
    <row r="21" spans="2:18" x14ac:dyDescent="0.3">
      <c r="B21" s="365">
        <v>100</v>
      </c>
      <c r="C21" s="365">
        <v>100</v>
      </c>
      <c r="D21" s="366" t="s">
        <v>236</v>
      </c>
      <c r="E21" s="246" t="s">
        <v>237</v>
      </c>
      <c r="G21" s="365">
        <v>50</v>
      </c>
      <c r="H21" s="365">
        <v>0</v>
      </c>
      <c r="I21" s="366" t="s">
        <v>236</v>
      </c>
      <c r="P21">
        <v>50</v>
      </c>
      <c r="Q21">
        <v>0</v>
      </c>
      <c r="R21" t="s">
        <v>238</v>
      </c>
    </row>
    <row r="22" spans="2:18" x14ac:dyDescent="0.3">
      <c r="B22" s="365">
        <v>100</v>
      </c>
      <c r="C22" s="365">
        <v>100</v>
      </c>
      <c r="D22" s="366" t="s">
        <v>221</v>
      </c>
      <c r="E22" s="246" t="s">
        <v>239</v>
      </c>
      <c r="G22" s="362"/>
      <c r="H22" s="362"/>
      <c r="I22" s="367" t="s">
        <v>221</v>
      </c>
      <c r="P22">
        <v>50</v>
      </c>
      <c r="Q22">
        <v>0</v>
      </c>
      <c r="R22" t="s">
        <v>240</v>
      </c>
    </row>
    <row r="23" spans="2:18" x14ac:dyDescent="0.3">
      <c r="B23" s="365">
        <v>40</v>
      </c>
      <c r="C23" s="365">
        <v>150</v>
      </c>
      <c r="D23" s="366" t="s">
        <v>225</v>
      </c>
      <c r="E23" s="246" t="s">
        <v>241</v>
      </c>
      <c r="G23" s="365">
        <v>50</v>
      </c>
      <c r="H23" s="365"/>
      <c r="I23" s="366" t="s">
        <v>225</v>
      </c>
      <c r="R23" t="s">
        <v>242</v>
      </c>
    </row>
    <row r="24" spans="2:18" x14ac:dyDescent="0.3">
      <c r="B24" s="365">
        <v>140</v>
      </c>
      <c r="C24" s="365">
        <v>150</v>
      </c>
      <c r="D24" s="366" t="s">
        <v>227</v>
      </c>
      <c r="E24" s="246" t="s">
        <v>243</v>
      </c>
      <c r="G24" s="365">
        <v>50</v>
      </c>
      <c r="H24" s="365"/>
      <c r="I24" s="366" t="s">
        <v>227</v>
      </c>
      <c r="R24" t="s">
        <v>244</v>
      </c>
    </row>
    <row r="25" spans="2:18" x14ac:dyDescent="0.3">
      <c r="B25" s="365">
        <v>150</v>
      </c>
      <c r="C25" s="365">
        <v>150</v>
      </c>
      <c r="D25" s="366" t="s">
        <v>229</v>
      </c>
      <c r="E25" s="246" t="s">
        <v>245</v>
      </c>
      <c r="G25" s="365">
        <v>50</v>
      </c>
      <c r="H25" s="365"/>
      <c r="I25" s="366" t="s">
        <v>229</v>
      </c>
      <c r="R25" t="s">
        <v>191</v>
      </c>
    </row>
    <row r="26" spans="2:18" x14ac:dyDescent="0.3">
      <c r="B26" s="365">
        <v>40</v>
      </c>
      <c r="C26" s="365">
        <v>77</v>
      </c>
      <c r="D26" s="366" t="s">
        <v>231</v>
      </c>
      <c r="E26" s="246" t="s">
        <v>246</v>
      </c>
      <c r="G26" s="365">
        <v>50</v>
      </c>
      <c r="H26" s="365"/>
      <c r="I26" s="366" t="s">
        <v>231</v>
      </c>
      <c r="R26" t="s">
        <v>194</v>
      </c>
    </row>
    <row r="27" spans="2:18" x14ac:dyDescent="0.3">
      <c r="B27" s="365">
        <v>110</v>
      </c>
      <c r="C27" s="365">
        <v>77</v>
      </c>
      <c r="D27" s="366" t="s">
        <v>235</v>
      </c>
      <c r="E27" s="246" t="s">
        <v>247</v>
      </c>
      <c r="G27" s="365">
        <v>50</v>
      </c>
      <c r="H27" s="365"/>
      <c r="I27" s="366" t="s">
        <v>235</v>
      </c>
      <c r="R27" t="s">
        <v>197</v>
      </c>
    </row>
    <row r="28" spans="2:18" x14ac:dyDescent="0.3">
      <c r="B28" s="365">
        <v>120</v>
      </c>
      <c r="C28" s="365">
        <v>77</v>
      </c>
      <c r="D28" s="366" t="s">
        <v>238</v>
      </c>
      <c r="E28" s="246" t="s">
        <v>248</v>
      </c>
      <c r="G28" s="365">
        <v>50</v>
      </c>
      <c r="H28" s="365"/>
      <c r="I28" s="366" t="s">
        <v>238</v>
      </c>
      <c r="R28" t="s">
        <v>202</v>
      </c>
    </row>
    <row r="29" spans="2:18" x14ac:dyDescent="0.3">
      <c r="B29" s="365">
        <v>40</v>
      </c>
      <c r="C29" s="365">
        <v>50</v>
      </c>
      <c r="D29" s="366" t="s">
        <v>240</v>
      </c>
      <c r="E29" s="246" t="s">
        <v>249</v>
      </c>
      <c r="G29" s="365">
        <v>50</v>
      </c>
      <c r="H29" s="365"/>
      <c r="I29" s="366" t="s">
        <v>240</v>
      </c>
      <c r="R29" t="s">
        <v>206</v>
      </c>
    </row>
    <row r="30" spans="2:18" x14ac:dyDescent="0.3">
      <c r="B30" s="365">
        <v>40</v>
      </c>
      <c r="C30" s="365">
        <v>60</v>
      </c>
      <c r="D30" s="366" t="s">
        <v>250</v>
      </c>
      <c r="E30" s="246" t="s">
        <v>251</v>
      </c>
      <c r="G30" s="365">
        <v>50</v>
      </c>
      <c r="H30" s="365"/>
      <c r="I30" s="366" t="s">
        <v>207</v>
      </c>
      <c r="R30" t="s">
        <v>200</v>
      </c>
    </row>
    <row r="31" spans="2:18" x14ac:dyDescent="0.3">
      <c r="B31" s="365">
        <v>40</v>
      </c>
      <c r="C31" s="365">
        <v>100</v>
      </c>
      <c r="D31" s="366" t="s">
        <v>203</v>
      </c>
      <c r="E31" s="246" t="s">
        <v>252</v>
      </c>
      <c r="G31" s="365">
        <v>50</v>
      </c>
      <c r="H31" s="365"/>
      <c r="I31" s="366" t="s">
        <v>203</v>
      </c>
      <c r="R31" t="s">
        <v>204</v>
      </c>
    </row>
    <row r="32" spans="2:18" x14ac:dyDescent="0.3">
      <c r="B32" s="365">
        <v>40</v>
      </c>
      <c r="C32" s="365">
        <v>60</v>
      </c>
      <c r="D32" s="366" t="s">
        <v>253</v>
      </c>
      <c r="E32" s="246" t="s">
        <v>254</v>
      </c>
      <c r="G32" s="365">
        <v>50</v>
      </c>
      <c r="H32" s="365"/>
      <c r="I32" s="366" t="s">
        <v>253</v>
      </c>
      <c r="R32" t="s">
        <v>255</v>
      </c>
    </row>
    <row r="33" spans="2:18" x14ac:dyDescent="0.3">
      <c r="B33" s="365">
        <v>40</v>
      </c>
      <c r="C33" s="365">
        <v>90</v>
      </c>
      <c r="D33" s="366" t="s">
        <v>256</v>
      </c>
      <c r="E33" s="246" t="s">
        <v>257</v>
      </c>
      <c r="G33" s="365">
        <v>50</v>
      </c>
      <c r="H33" s="365">
        <v>-2</v>
      </c>
      <c r="I33" s="366" t="s">
        <v>256</v>
      </c>
      <c r="R33" t="s">
        <v>258</v>
      </c>
    </row>
    <row r="34" spans="2:18" x14ac:dyDescent="0.3">
      <c r="B34" s="365">
        <v>40</v>
      </c>
      <c r="C34" s="365">
        <v>90</v>
      </c>
      <c r="D34" s="366" t="s">
        <v>259</v>
      </c>
      <c r="E34" s="246"/>
      <c r="G34" s="365">
        <v>50</v>
      </c>
      <c r="H34" s="365">
        <v>-2</v>
      </c>
      <c r="I34" s="366" t="s">
        <v>259</v>
      </c>
    </row>
    <row r="35" spans="2:18" x14ac:dyDescent="0.3">
      <c r="B35" s="365">
        <v>40</v>
      </c>
      <c r="C35" s="365">
        <v>90</v>
      </c>
      <c r="D35" s="366" t="s">
        <v>255</v>
      </c>
      <c r="E35" s="246" t="s">
        <v>260</v>
      </c>
      <c r="G35" s="365">
        <v>50</v>
      </c>
      <c r="H35" s="365">
        <v>-2</v>
      </c>
      <c r="I35" s="366" t="s">
        <v>255</v>
      </c>
      <c r="R35" t="s">
        <v>261</v>
      </c>
    </row>
    <row r="36" spans="2:18" x14ac:dyDescent="0.3">
      <c r="B36" s="368">
        <v>40</v>
      </c>
      <c r="C36" s="368">
        <v>90</v>
      </c>
      <c r="D36" s="369" t="s">
        <v>258</v>
      </c>
      <c r="G36" s="365">
        <v>50</v>
      </c>
      <c r="H36" s="365">
        <v>-2</v>
      </c>
      <c r="I36" s="366" t="s">
        <v>258</v>
      </c>
      <c r="R36" t="s">
        <v>256</v>
      </c>
    </row>
    <row r="37" spans="2:18" x14ac:dyDescent="0.3">
      <c r="B37" s="368">
        <v>40</v>
      </c>
      <c r="C37" s="368">
        <v>90</v>
      </c>
      <c r="D37" s="369" t="s">
        <v>261</v>
      </c>
      <c r="G37" s="365">
        <v>50</v>
      </c>
      <c r="H37" s="365">
        <v>-2</v>
      </c>
      <c r="I37" s="366" t="s">
        <v>261</v>
      </c>
      <c r="R37" t="s">
        <v>259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262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7" t="s">
        <v>263</v>
      </c>
      <c r="L3" s="457"/>
      <c r="M3" s="457" t="s">
        <v>264</v>
      </c>
      <c r="N3" s="457"/>
    </row>
    <row r="4" spans="1:14" ht="15.75" customHeight="1" x14ac:dyDescent="0.3">
      <c r="A4" s="138"/>
      <c r="B4" s="138"/>
      <c r="C4" s="370" t="s">
        <v>163</v>
      </c>
      <c r="D4" s="140" t="str">
        <f>IF('NOTA DE VENTA'!$G$8="","",'NOTA DE VENTA'!$G$8)</f>
        <v/>
      </c>
      <c r="E4" s="138"/>
      <c r="F4" s="138"/>
      <c r="G4" s="138"/>
      <c r="K4" t="s">
        <v>129</v>
      </c>
      <c r="L4" t="s">
        <v>11</v>
      </c>
      <c r="M4" t="s">
        <v>129</v>
      </c>
      <c r="N4" t="s">
        <v>11</v>
      </c>
    </row>
    <row r="5" spans="1:14" ht="18" customHeight="1" x14ac:dyDescent="0.3">
      <c r="A5" s="138"/>
      <c r="B5" s="138"/>
      <c r="C5" s="371" t="s">
        <v>265</v>
      </c>
      <c r="D5" s="372" t="str">
        <f>'NOTA DE VENTA'!$C$10</f>
        <v>QCLASS S.A.</v>
      </c>
      <c r="E5" s="320"/>
      <c r="F5" s="320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6">
        <f>'NOTA DE VENTA'!$G$10</f>
        <v>46146</v>
      </c>
      <c r="E7" s="138"/>
      <c r="F7" s="138"/>
      <c r="G7" s="138"/>
    </row>
    <row r="8" spans="1:14" ht="15.6" x14ac:dyDescent="0.3">
      <c r="A8" s="138"/>
      <c r="B8" s="138"/>
      <c r="C8" s="370" t="s">
        <v>266</v>
      </c>
      <c r="D8" s="405">
        <f>'NOTA DE VENTA'!$G$11</f>
        <v>46153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8" t="s">
        <v>263</v>
      </c>
      <c r="B10" s="458"/>
      <c r="C10" s="458"/>
      <c r="D10" s="458"/>
      <c r="E10" s="458"/>
      <c r="F10" s="458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129</v>
      </c>
      <c r="E12" s="333" t="s">
        <v>11</v>
      </c>
      <c r="F12" s="138"/>
      <c r="G12" s="138"/>
    </row>
    <row r="13" spans="1:14" ht="15.6" x14ac:dyDescent="0.3">
      <c r="A13" s="333" t="s">
        <v>86</v>
      </c>
      <c r="B13" s="377" t="s">
        <v>95</v>
      </c>
      <c r="C13" s="377" t="s">
        <v>25</v>
      </c>
      <c r="D13" s="378">
        <v>80</v>
      </c>
      <c r="E13" s="378">
        <v>-30</v>
      </c>
      <c r="F13" s="377" t="s">
        <v>267</v>
      </c>
      <c r="G13" s="138"/>
      <c r="J13" s="379" t="s">
        <v>129</v>
      </c>
      <c r="K13" s="379" t="s">
        <v>11</v>
      </c>
    </row>
    <row r="14" spans="1:14" ht="15.6" x14ac:dyDescent="0.3">
      <c r="A14" s="380" t="s">
        <v>30</v>
      </c>
      <c r="B14" s="381">
        <f t="shared" ref="B14" si="0">I14</f>
        <v>1</v>
      </c>
      <c r="C14" s="381"/>
      <c r="D14" s="381">
        <f>LOOKUP(F14,REGLAS!$I$4:$I$37,REGLAS!$G$4:$G$37)+J14</f>
        <v>1850</v>
      </c>
      <c r="E14" s="382">
        <f>LOOKUP(F14,REGLAS!$I$4:$I$37,REGLAS!$H$4:$H$37)+K14</f>
        <v>470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8" t="s">
        <v>264</v>
      </c>
      <c r="B17" s="458"/>
      <c r="C17" s="458"/>
      <c r="D17" s="458"/>
      <c r="E17" s="458"/>
      <c r="F17" s="458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129</v>
      </c>
      <c r="E19" s="333" t="s">
        <v>11</v>
      </c>
      <c r="F19" s="138"/>
      <c r="G19" s="138"/>
    </row>
    <row r="20" spans="1:11" ht="15.6" x14ac:dyDescent="0.3">
      <c r="A20" s="333" t="s">
        <v>86</v>
      </c>
      <c r="B20" s="387" t="s">
        <v>95</v>
      </c>
      <c r="C20" s="387" t="s">
        <v>25</v>
      </c>
      <c r="D20" s="388">
        <v>40</v>
      </c>
      <c r="E20" s="388">
        <v>130</v>
      </c>
      <c r="F20" s="387" t="s">
        <v>267</v>
      </c>
      <c r="G20" s="138"/>
      <c r="J20" s="379" t="s">
        <v>129</v>
      </c>
      <c r="K20" s="379" t="s">
        <v>11</v>
      </c>
    </row>
    <row r="21" spans="1:11" ht="15.6" x14ac:dyDescent="0.3">
      <c r="A21" s="380" t="s">
        <v>268</v>
      </c>
      <c r="B21" s="389">
        <f t="shared" ref="B21" si="2">I21</f>
        <v>1</v>
      </c>
      <c r="C21" s="389"/>
      <c r="D21" s="389">
        <f>LOOKUP(F14,REGLAS!$D$4:$D$37,REGLAS!$B$4:$B$37)+J21</f>
        <v>1840</v>
      </c>
      <c r="E21" s="389">
        <f>LOOKUP(F14,REGLAS!$D$4:$D$37,REGLAS!$C$4:$C$37)+K21</f>
        <v>630</v>
      </c>
      <c r="F21" s="390" t="str">
        <f>C27</f>
        <v>CUB C/R R8</v>
      </c>
      <c r="G21" s="138"/>
      <c r="I21" s="384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269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86</v>
      </c>
      <c r="B26" s="395" t="s">
        <v>95</v>
      </c>
      <c r="C26" s="395" t="s">
        <v>267</v>
      </c>
      <c r="D26" s="395" t="s">
        <v>129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30</v>
      </c>
      <c r="B27" s="381">
        <f>'[1]4637'!B21</f>
        <v>1</v>
      </c>
      <c r="C27" s="383" t="str">
        <f>'[1]4637'!C21</f>
        <v>CUB C/R R8</v>
      </c>
      <c r="D27" s="381">
        <f>'[1]4637'!D21</f>
        <v>1800</v>
      </c>
      <c r="E27" s="381">
        <f>'[1]4637'!E21</f>
        <v>500</v>
      </c>
      <c r="F27" s="381" t="str">
        <f>'[1]4637'!F21</f>
        <v>LATE 2167 MT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163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265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8" t="s">
        <v>270</v>
      </c>
      <c r="B45" s="458"/>
      <c r="C45" s="458"/>
      <c r="D45" s="458"/>
      <c r="E45" s="458"/>
      <c r="F45" s="458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3" t="s">
        <v>94</v>
      </c>
      <c r="C47" s="454"/>
      <c r="D47" s="455"/>
      <c r="E47" s="455"/>
      <c r="F47" s="456"/>
      <c r="G47" s="138"/>
    </row>
    <row r="48" spans="1:7" s="59" customFormat="1" ht="12.75" customHeight="1" x14ac:dyDescent="0.3">
      <c r="A48" s="138"/>
      <c r="B48" s="387" t="s">
        <v>95</v>
      </c>
      <c r="C48" s="397" t="s">
        <v>25</v>
      </c>
      <c r="D48" s="398" t="s">
        <v>129</v>
      </c>
      <c r="E48" s="398" t="s">
        <v>11</v>
      </c>
      <c r="F48" s="399" t="s">
        <v>271</v>
      </c>
      <c r="G48" s="138"/>
    </row>
    <row r="49" spans="1:7" s="59" customFormat="1" ht="15" customHeight="1" x14ac:dyDescent="0.3">
      <c r="A49" s="380" t="s">
        <v>272</v>
      </c>
      <c r="B49" s="400">
        <f>'[1]4637'!B21</f>
        <v>1</v>
      </c>
      <c r="C49" s="401" t="str">
        <f>'[1]4637'!C21</f>
        <v>CUB C/R R8</v>
      </c>
      <c r="D49" s="402">
        <f>'[1]4637'!D21</f>
        <v>1800</v>
      </c>
      <c r="E49" s="402">
        <f>'[1]4637'!E21</f>
        <v>500</v>
      </c>
      <c r="F49" s="400" t="str">
        <f>'[1]4637'!F21</f>
        <v>LATE 2167 MT</v>
      </c>
      <c r="G49" s="138"/>
    </row>
    <row r="50" spans="1:7" s="59" customFormat="1" ht="15" customHeight="1" x14ac:dyDescent="0.3">
      <c r="A50" s="391"/>
      <c r="B50" s="333"/>
      <c r="C50" s="403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4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6"/>
  </cols>
  <sheetData>
    <row r="1" spans="1:13" x14ac:dyDescent="0.3">
      <c r="A1" s="413" t="s">
        <v>273</v>
      </c>
      <c r="B1" s="414" t="s">
        <v>274</v>
      </c>
      <c r="C1" s="413" t="s">
        <v>275</v>
      </c>
      <c r="D1" s="413" t="s">
        <v>276</v>
      </c>
      <c r="E1" s="413" t="s">
        <v>277</v>
      </c>
      <c r="F1" s="413" t="s">
        <v>94</v>
      </c>
      <c r="G1" s="413" t="s">
        <v>8</v>
      </c>
      <c r="H1" s="415" t="s">
        <v>28</v>
      </c>
      <c r="I1" s="415" t="s">
        <v>50</v>
      </c>
      <c r="J1" s="415" t="s">
        <v>6</v>
      </c>
      <c r="K1" s="415" t="s">
        <v>278</v>
      </c>
      <c r="L1" s="415" t="s">
        <v>279</v>
      </c>
      <c r="M1" s="413" t="s">
        <v>280</v>
      </c>
    </row>
    <row r="2" spans="1:13" x14ac:dyDescent="0.3">
      <c r="A2">
        <f>'NOTA DE VENTA'!$G$8</f>
        <v>0</v>
      </c>
      <c r="B2" t="str">
        <f>'NOTA DE VENTA'!$D$8</f>
        <v>N° 12114</v>
      </c>
      <c r="C2" s="1">
        <f>'NOTA DE VENTA'!$G$10</f>
        <v>46146</v>
      </c>
      <c r="D2" s="1">
        <f>'NOTA DE VENTA'!$G$11</f>
        <v>46153</v>
      </c>
      <c r="E2" t="str">
        <f>'NOTA DE VENTA'!$C$10</f>
        <v>QCLASS S.A.</v>
      </c>
      <c r="F2" t="e">
        <f>'NOTA DE VENTA'!$C$22</f>
        <v>#REF!</v>
      </c>
      <c r="G2" t="e">
        <f>'NOTA DE VENTA'!$F$22</f>
        <v>#REF!</v>
      </c>
      <c r="H2" s="416" t="e">
        <f>'NOTA DE VENTA'!$H$25</f>
        <v>#REF!</v>
      </c>
      <c r="I2" s="416" t="e">
        <f>H2*0.19</f>
        <v>#REF!</v>
      </c>
      <c r="J2" s="416" t="e">
        <f>I2+H2</f>
        <v>#REF!</v>
      </c>
      <c r="L2" s="61" t="e">
        <f>J2-K2</f>
        <v>#REF!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Luis Donoso</cp:lastModifiedBy>
  <cp:lastPrinted>2026-04-06T13:39:12Z</cp:lastPrinted>
  <dcterms:created xsi:type="dcterms:W3CDTF">2013-03-18T13:35:42Z</dcterms:created>
  <dcterms:modified xsi:type="dcterms:W3CDTF">2026-05-04T13:28:02Z</dcterms:modified>
</cp:coreProperties>
</file>