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495ACB0-3C94-49AE-8FFF-B9D70B6C1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O39" i="1"/>
  <c r="E15" i="3"/>
  <c r="R22" i="1" l="1"/>
  <c r="G22" i="1"/>
  <c r="H22" i="1" s="1"/>
  <c r="Q21" i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<sst xmlns="http://schemas.openxmlformats.org/spreadsheetml/2006/main" count="488" uniqueCount="294">
  <si>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</si>
  <si>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</si>
  <si>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</si>
  <si>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</si>
  <si>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</si>
  <si>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</si>
  <si>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</si>
  <si>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</si>
  <si>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</si>
  <si>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</si>
  <si>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</si>
  <si>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</si>
  <si>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</si>
  <si>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</si>
  <si>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</si>
  <si>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</si>
  <si>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</si>
  <si>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</si>
  <si>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</si>
  <si>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</si>
  <si>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</si>
  <si>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</si>
  <si>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</si>
  <si>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</si>
  <si>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</si>
  <si>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</si>
  <si>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</si>
  <si>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</si>
  <si>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</si>
  <si>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</si>
  <si>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</si>
  <si>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</si>
  <si>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</si>
  <si>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</si>
  <si>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</si>
  <si>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</si>
  <si>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</si>
  <si>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</si>
  <si>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</si>
  <si>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</si>
  <si>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</si>
  <si>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</si>
  <si>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</si>
  <si>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</si>
  <si>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</si>
  <si>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</si>
  <si>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</si>
  <si>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</si>
  <si>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</si>
  <si>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</si>
  <si>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</si>
  <si>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</si>
  <si>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</si>
  <si>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</si>
  <si>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</si>
  <si>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</si>
  <si>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</si>
  <si>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</si>
  <si>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</si>
  <si>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</si>
  <si>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</si>
  <si>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</si>
  <si>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</si>
  <si>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</si>
  <si>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</si>
  <si>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</si>
  <si>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</si>
  <si>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</si>
  <si>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</si>
  <si>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</si>
  <si>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</si>
  <si>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</si>
  <si>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</si>
  <si>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</si>
  <si>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</si>
  <si>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</si>
  <si>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</si>
  <si>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</si>
  <si>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</si>
  <si>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</si>
  <si>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</si>
  <si>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</si>
  <si>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</si>
  <si>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</si>
  <si>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</si>
  <si>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</si>
  <si>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</si>
  <si>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</si>
  <si>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</si>
  <si>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</si>
  <si>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</si>
  <si>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</si>
  <si>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</si>
  <si>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</si>
  <si>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</si>
  <si>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</si>
  <si>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</si>
  <si>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</si>
  <si>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</si>
  <si>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</si>
  <si>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</si>
  <si>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</si>
  <si>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</si>
  <si>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</si>
  <si>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</si>
  <si>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</si>
  <si>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</si>
  <si>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</si>
  <si>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</si>
  <si>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</si>
  <si>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</si>
  <si>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</si>
  <si>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</si>
  <si>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</si>
  <si>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</si>
  <si>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</si>
  <si>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</si>
  <si>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</si>
  <si>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</si>
  <si>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</si>
  <si>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</si>
  <si>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</si>
  <si>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</si>
  <si>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</si>
  <si>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</si>
  <si>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</si>
  <si>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</si>
  <si>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</si>
  <si>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</si>
  <si>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</si>
  <si>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</si>
  <si>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</si>
  <si>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</si>
  <si>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</si>
  <si>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</si>
  <si>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</si>
  <si>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</si>
  <si>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</si>
  <si>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</si>
  <si>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</si>
  <si>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</si>
  <si>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</si>
  <si>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</si>
  <si>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</si>
  <si>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</si>
  <si>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</si>
  <si>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</si>
  <si>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</si>
  <si>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</si>
  <si>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</si>
  <si>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</si>
  <si>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</si>
  <si>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</si>
  <si>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</si>
  <si>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</si>
  <si>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</si>
  <si>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</si>
  <si>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</si>
  <si>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</si>
  <si>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</si>
  <si>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</si>
  <si>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</si>
  <si>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</si>
  <si>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</si>
  <si>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</si>
  <si>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</si>
  <si>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</si>
  <si>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</si>
  <si>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</si>
  <si>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</si>
  <si>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</si>
  <si>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</si>
  <si>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</si>
  <si>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</si>
  <si>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</si>
  <si>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</si>
  <si>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</si>
  <si>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</si>
  <si>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</si>
  <si>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</si>
  <si>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</si>
  <si>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</si>
  <si>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</si>
  <si>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</si>
  <si>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</si>
  <si>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</si>
  <si>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</si>
  <si>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</si>
  <si>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</si>
  <si>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</si>
  <si>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</si>
  <si>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</si>
  <si>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</si>
  <si>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</si>
  <si>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</si>
  <si>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</si>
  <si>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</si>
  <si>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</si>
  <si>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</si>
  <si>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</si>
  <si>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</si>
  <si>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</si>
  <si>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</si>
  <si>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</si>
  <si>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</si>
  <si>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</si>
  <si>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</si>
  <si>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</si>
  <si>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</si>
  <si>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</si>
  <si>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</si>
  <si>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</si>
  <si>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</si>
  <si>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</si>
  <si>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</si>
  <si>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</si>
  <si>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</si>
  <si>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</si>
  <si>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</si>
  <si>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</si>
  <si>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</si>
  <si>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</si>
  <si>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</si>
  <si>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</si>
  <si>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</si>
  <si>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</si>
  <si>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</si>
  <si>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</si>
  <si>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</si>
  <si>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</si>
  <si>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</si>
  <si>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</si>
  <si>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</si>
  <si>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</si>
  <si>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</si>
  <si>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</si>
  <si>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</si>
  <si>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</si>
  <si>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</si>
  <si>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</si>
  <si>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</si>
  <si>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</si>
  <si>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</si>
  <si>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</si>
  <si>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</si>
  <si>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</si>
  <si>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</si>
  <si>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</si>
  <si>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</si>
  <si>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</si>
  <si>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</si>
  <si>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</si>
  <si>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</si>
  <si>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</si>
  <si>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</si>
  <si>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</si>
  <si>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</si>
  <si>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</si>
  <si>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</si>
  <si>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</si>
  <si>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</si>
  <si>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</si>
  <si>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</si>
  <si>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</si>
  <si>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</si>
  <si>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</si>
  <si>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</si>
  <si>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</si>
  <si>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</si>
  <si>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</si>
  <si>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</si>
  <si>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</si>
  <si>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</si>
  <si>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</si>
  <si>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</si>
  <si>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</si>
  <si>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</si>
  <si>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</si>
  <si>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</si>
  <si>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</si>
  <si>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</si>
  <si>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</si>
  <si>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</si>
  <si>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</si>
  <si>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</si>
  <si>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</si>
  <si>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</si>
  <si>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</si>
  <si>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</si>
  <si>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SANTIAGO</t>
  </si>
  <si>
    <t>NICOLAS SEPULVEDA</t>
  </si>
  <si>
    <t>+56 9 8497 6580</t>
  </si>
  <si>
    <t>N° 12137</t>
  </si>
  <si>
    <t>GRANITO KOMBI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</si>
</sst>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F23" sqref="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289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73931.48803329865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288</v>
      </c>
      <c r="D21" s="431">
        <v>0.92200000000000004</v>
      </c>
      <c r="E21" s="431">
        <v>0.55000000000000004</v>
      </c>
      <c r="F21" s="312" t="s">
        <v>293</v>
      </c>
      <c r="G21" s="313">
        <f>Q21</f>
        <v>40743.643055150889</v>
      </c>
      <c r="H21" s="432">
        <f>G21*B21</f>
        <v>40743.643055150889</v>
      </c>
      <c r="I21" s="305"/>
      <c r="J21" s="264"/>
      <c r="K21" s="47"/>
      <c r="L21" s="47">
        <f>B21</f>
        <v>1</v>
      </c>
      <c r="M21" s="39">
        <f>D21+M$19</f>
        <v>1.002</v>
      </c>
      <c r="N21" s="39">
        <f>E21+$N$19</f>
        <v>0.55000000000000004</v>
      </c>
      <c r="O21" s="260">
        <f t="shared" ref="O21" si="0">M21*N21</f>
        <v>0.55110000000000003</v>
      </c>
      <c r="P21" s="258">
        <f t="shared" ref="P21" si="1">O21*L21</f>
        <v>0.55110000000000003</v>
      </c>
      <c r="Q21" s="251">
        <f t="shared" ref="Q21" si="2">Q$20*O21</f>
        <v>40743.643055150889</v>
      </c>
      <c r="R21" s="304">
        <f t="shared" ref="R21" si="3">Q21+R$20</f>
        <v>43743.643055150889</v>
      </c>
      <c r="S21" s="290">
        <f>M21*L21</f>
        <v>1.002</v>
      </c>
      <c r="T21" s="46">
        <f>N21*2*L21*2</f>
        <v>2.2000000000000002</v>
      </c>
      <c r="U21" s="9"/>
      <c r="X21" s="4"/>
    </row>
    <row r="22" spans="1:25" ht="18" thickBot="1" x14ac:dyDescent="0.35">
      <c r="B22" s="434">
        <v>1</v>
      </c>
      <c r="C22" s="435" t="s">
        <v>288</v>
      </c>
      <c r="D22" s="436">
        <v>0.84</v>
      </c>
      <c r="E22" s="436">
        <v>0.55000000000000004</v>
      </c>
      <c r="F22" s="437" t="s">
        <v>293</v>
      </c>
      <c r="G22" s="438">
        <f t="shared" ref="G22" si="4">Q22</f>
        <v>37409.33294484912</v>
      </c>
      <c r="H22" s="439">
        <f t="shared" ref="H22" si="5">G22*B22</f>
        <v>37409.33294484912</v>
      </c>
      <c r="I22" s="305"/>
      <c r="J22" s="264"/>
      <c r="K22" s="47"/>
      <c r="L22" s="47">
        <f t="shared" ref="L22" si="6">B22</f>
        <v>1</v>
      </c>
      <c r="M22" s="39">
        <f t="shared" ref="M22" si="7">D22+M$19</f>
        <v>0.91999999999999993</v>
      </c>
      <c r="N22" s="39">
        <f t="shared" ref="N22" si="8">E22+$N$19</f>
        <v>0.55000000000000004</v>
      </c>
      <c r="O22" s="260">
        <f t="shared" ref="O22" si="9">M22*N22</f>
        <v>0.50600000000000001</v>
      </c>
      <c r="P22" s="258">
        <f t="shared" ref="P22" si="10">O22*L22</f>
        <v>0.50600000000000001</v>
      </c>
      <c r="Q22" s="251">
        <f t="shared" ref="Q22" si="11">Q$20*O22</f>
        <v>37409.33294484912</v>
      </c>
      <c r="R22" s="304">
        <f t="shared" ref="R22" si="12">Q22+R$20</f>
        <v>40409.33294484912</v>
      </c>
      <c r="S22" s="290">
        <f t="shared" ref="S22" si="13">M22*L22</f>
        <v>0.91999999999999993</v>
      </c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SUM(H21:H22)</f>
        <v>78152.97600000001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14849.065440000002</v>
      </c>
      <c r="I25" s="307"/>
      <c r="J25" s="264"/>
      <c r="K25" s="47"/>
      <c r="L25" s="47"/>
      <c r="M25" s="39">
        <f>SUM(M21:M24)</f>
        <v>1.9219999999999999</v>
      </c>
      <c r="N25" s="12"/>
      <c r="O25" s="12"/>
      <c r="P25" s="252">
        <f>SUM(P21:P23)</f>
        <v>1.0571000000000002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93002.041440000015</v>
      </c>
      <c r="I26" s="307"/>
      <c r="J26" s="264"/>
      <c r="K26" s="47"/>
      <c r="L26" s="47"/>
      <c r="M26" s="39"/>
      <c r="N26" s="12"/>
      <c r="O26" s="12"/>
      <c r="P26" s="252">
        <f>P25</f>
        <v>1.0571000000000002</v>
      </c>
      <c r="Q26" s="14"/>
      <c r="R26" s="12"/>
      <c r="S26" s="239">
        <f>SUM(S21:S25)</f>
        <v>1.9219999999999999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0.21142000000000005</v>
      </c>
      <c r="Q27" s="39" t="s">
        <v>129</v>
      </c>
      <c r="R27" s="42"/>
      <c r="S27" s="240">
        <f>S26+T24</f>
        <v>4.1219999999999999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1.2685200000000001</v>
      </c>
      <c r="Q28" s="14"/>
      <c r="R28" s="14"/>
      <c r="S28" s="238">
        <f>S27*20%</f>
        <v>0.82440000000000002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4.9463999999999997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1.2685200000000001</v>
      </c>
      <c r="N30" s="12">
        <v>4000</v>
      </c>
      <c r="O30" s="12">
        <f t="shared" ref="O30:O35" si="14">M30*N30</f>
        <v>5074.08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0.35</v>
      </c>
      <c r="N31" s="12">
        <v>25000</v>
      </c>
      <c r="O31" s="12">
        <f t="shared" si="14"/>
        <v>8750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1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19000</v>
      </c>
      <c r="O33" s="12">
        <f t="shared" si="14"/>
        <v>19000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1.8</v>
      </c>
      <c r="N35" s="12">
        <v>1500</v>
      </c>
      <c r="O35" s="12">
        <f t="shared" si="14"/>
        <v>2700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35524.080000000002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78152.97600000001</v>
      </c>
      <c r="P37" s="14" t="s">
        <v>138</v>
      </c>
      <c r="Q37" s="14"/>
      <c r="R37" s="40">
        <f>P28/R36</f>
        <v>0.34202976704055221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73931.48803329865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NICOLAS SEPULVEDA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12137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-1019.4990334541071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78152.97600000001</v>
      </c>
      <c r="E11" s="132">
        <f>D11*0.19</f>
        <v>14849.065440000002</v>
      </c>
      <c r="F11" s="131">
        <f>E11+D11</f>
        <v>93002.041440000015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104970.50096654589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43658.170787439616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86970.500966545893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34494.805212560394</v>
      </c>
      <c r="E13" s="221">
        <f>(D11/D12)-1</f>
        <v>0.79011109696983661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77970.500966545893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38970.500966545893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72035.981799275367</v>
      </c>
      <c r="F15" s="216">
        <f>E15-D12</f>
        <v>28377.811011835751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38970.500966545893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78970.500966545893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5074.08</v>
      </c>
      <c r="E20" s="121">
        <f>D20*0.19</f>
        <v>964.0752</v>
      </c>
      <c r="F20" s="120">
        <f>SUM(D20:E20)</f>
        <v>6038.1552000000001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13824.08</v>
      </c>
      <c r="E21" s="116">
        <f>SUM(E18:E20)</f>
        <v>2626.5752000000002</v>
      </c>
      <c r="F21" s="115">
        <f>SUM(F18:F20)</f>
        <v>16450.655200000001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12222.490240000003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78152.97600000001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13824.08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34494.805212560394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34494.805212560394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12137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NICOLAS SEPULVEDA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+56 9 8497 6580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922</v>
      </c>
      <c r="E22" s="320">
        <f>'2229'!E21*1000</f>
        <v>550</v>
      </c>
      <c r="F22" s="321" t="str">
        <f>'2229'!F21</f>
        <v>GRANITO KOMBI BR</v>
      </c>
      <c r="G22" s="313">
        <f>'2229'!G21</f>
        <v>40743.643055150889</v>
      </c>
      <c r="H22" s="322">
        <f>G22*B22</f>
        <v>40743.643055150889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40743.643055150889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7741.2921804786693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48484.935235629557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NICOLAS SEPULVEDA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12137</v>
      </c>
      <c r="C2" s="1">
        <f>'NOTA DE VENTA'!$G$10</f>
        <v>46156</v>
      </c>
      <c r="D2" s="1">
        <f>'NOTA DE VENTA'!$G$11</f>
        <v>46163</v>
      </c>
      <c r="E2" t="str">
        <f>'NOTA DE VENTA'!$C$10</f>
        <v>NICOLAS SEPULVEDA</v>
      </c>
      <c r="F2" t="str">
        <f>'NOTA DE VENTA'!$C$22</f>
        <v>CUB CON RESPALDO FTE 90°</v>
      </c>
      <c r="G2" t="str">
        <f>'NOTA DE VENTA'!$F$22</f>
        <v>GRANITO KOMBI BR</v>
      </c>
      <c r="H2" s="415">
        <f>'NOTA DE VENTA'!$H$25</f>
        <v>40743.643055150889</v>
      </c>
      <c r="I2" s="415">
        <f>H2*0.19</f>
        <v>7741.2921804786693</v>
      </c>
      <c r="J2" s="415">
        <f>I2+H2</f>
        <v>48484.935235629557</v>
      </c>
      <c r="L2" s="61">
        <f>J2-K2</f>
        <v>48484.935235629557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2026-05-14T16:01:00Z</cp:lastPrinted>
  <dcterms:created xsi:type="dcterms:W3CDTF">2013-03-18T13:35:42Z</dcterms:created>
  <dcterms:modified xsi:type="dcterms:W3CDTF">2026-05-14T16:10:24Z</dcterms:modified>
</cp:coreProperties>
</file>