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C6EE22DD-75AD-4CDB-AB8C-DB9B37E67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P28" i="1"/>
  <c r="T27" i="1"/>
  <c r="S29" i="1"/>
  <c r="T22" i="1"/>
  <c r="T23" i="1"/>
  <c r="T24" i="1"/>
  <c r="T21" i="1"/>
  <c r="S22" i="1"/>
  <c r="S23" i="1"/>
  <c r="S24" i="1"/>
  <c r="S21" i="1"/>
  <c r="N24" i="1"/>
  <c r="M24" i="1"/>
  <c r="L24" i="1"/>
  <c r="N23" i="1"/>
  <c r="M23" i="1"/>
  <c r="L23" i="1"/>
  <c r="N22" i="1"/>
  <c r="M22" i="1"/>
  <c r="L22" i="1"/>
  <c r="H22" i="1"/>
  <c r="H23" i="1"/>
  <c r="H24" i="1"/>
  <c r="L21" i="1"/>
  <c r="M21" i="1"/>
  <c r="N21" i="1"/>
  <c r="O22" i="1" l="1"/>
  <c r="P22" i="1" s="1"/>
  <c r="O23" i="1"/>
  <c r="P23" i="1" s="1"/>
  <c r="O24" i="1"/>
  <c r="P24" i="1" s="1"/>
  <c r="O21" i="1"/>
  <c r="P21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8" i="1"/>
  <c r="L28" i="1" s="1"/>
  <c r="S30" i="1" l="1"/>
  <c r="K42" i="1"/>
  <c r="S31" i="1" l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4" i="1" l="1"/>
  <c r="R24" i="1" s="1"/>
  <c r="Q23" i="1"/>
  <c r="R23" i="1" s="1"/>
  <c r="Q22" i="1"/>
  <c r="R22" i="1" s="1"/>
  <c r="Q21" i="1"/>
  <c r="O42" i="1"/>
  <c r="E15" i="3"/>
  <c r="R21" i="1" l="1"/>
  <c r="H21" i="1"/>
  <c r="F15" i="3"/>
  <c r="H28" i="1" l="1"/>
  <c r="H29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<sst xmlns="http://schemas.openxmlformats.org/spreadsheetml/2006/main" count="492" uniqueCount="297">
  <si>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</si>
  <si>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</si>
  <si>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</si>
  <si>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</si>
  <si>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</si>
  <si>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</si>
  <si>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</si>
  <si>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</si>
  <si>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</si>
  <si>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</si>
  <si>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</si>
  <si>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</si>
  <si>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</si>
  <si>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</si>
  <si>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</si>
  <si>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</si>
  <si>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</si>
  <si>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</si>
  <si>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</si>
  <si>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</si>
  <si>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</si>
  <si>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</si>
  <si>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</si>
  <si>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</si>
  <si>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</si>
  <si>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</si>
  <si>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</si>
  <si>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</si>
  <si>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</si>
  <si>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</si>
  <si>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</si>
  <si>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</si>
  <si>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</si>
  <si>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</si>
  <si>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</si>
  <si>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</si>
  <si>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</si>
  <si>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</si>
  <si>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</si>
  <si>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</si>
  <si>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</si>
  <si>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</si>
  <si>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</si>
  <si>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</si>
  <si>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</si>
  <si>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</si>
  <si>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</si>
  <si>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</si>
  <si>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</si>
  <si>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</si>
  <si>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</si>
  <si>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</si>
  <si>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</si>
  <si>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</si>
  <si>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</si>
  <si>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</si>
  <si>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</si>
  <si>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</si>
  <si>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</si>
  <si>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</si>
  <si>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</si>
  <si>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</si>
  <si>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</si>
  <si>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</si>
  <si>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</si>
  <si>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</si>
  <si>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</si>
  <si>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</si>
  <si>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</si>
  <si>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</si>
  <si>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</si>
  <si>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</si>
  <si>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</si>
  <si>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</si>
  <si>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</si>
  <si>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</si>
  <si>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</si>
  <si>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</si>
  <si>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</si>
  <si>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</si>
  <si>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</si>
  <si>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</si>
  <si>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</si>
  <si>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</si>
  <si>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</si>
  <si>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</si>
  <si>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</si>
  <si>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</si>
  <si>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</si>
  <si>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</si>
  <si>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</si>
  <si>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</si>
  <si>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</si>
  <si>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</si>
  <si>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</si>
  <si>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</si>
  <si>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</si>
  <si>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</si>
  <si>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</si>
  <si>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</si>
  <si>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</si>
  <si>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</si>
  <si>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</si>
  <si>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</si>
  <si>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</si>
  <si>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</si>
  <si>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</si>
  <si>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</si>
  <si>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</si>
  <si>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</si>
  <si>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</si>
  <si>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</si>
  <si>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</si>
  <si>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</si>
  <si>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</si>
  <si>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</si>
  <si>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</si>
  <si>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</si>
  <si>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</si>
  <si>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</si>
  <si>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</si>
  <si>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</si>
  <si>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</si>
  <si>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</si>
  <si>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</si>
  <si>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</si>
  <si>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</si>
  <si>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</si>
  <si>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</si>
  <si>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</si>
  <si>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</si>
  <si>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</si>
  <si>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</si>
  <si>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</si>
  <si>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</si>
  <si>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</si>
  <si>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</si>
  <si>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</si>
  <si>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</si>
  <si>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</si>
  <si>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</si>
  <si>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</si>
  <si>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</si>
  <si>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</si>
  <si>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</si>
  <si>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</si>
  <si>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</si>
  <si>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</si>
  <si>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</si>
  <si>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</si>
  <si>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</si>
  <si>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</si>
  <si>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</si>
  <si>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</si>
  <si>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</si>
  <si>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</si>
  <si>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</si>
  <si>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</si>
  <si>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</si>
  <si>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</si>
  <si>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</si>
  <si>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</si>
  <si>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</si>
  <si>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</si>
  <si>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</si>
  <si>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</si>
  <si>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</si>
  <si>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</si>
  <si>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</si>
  <si>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</si>
  <si>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</si>
  <si>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</si>
  <si>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</si>
  <si>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</si>
  <si>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</si>
  <si>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</si>
  <si>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</si>
  <si>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</si>
  <si>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</si>
  <si>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</si>
  <si>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</si>
  <si>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</si>
  <si>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</si>
  <si>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</si>
  <si>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</si>
  <si>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</si>
  <si>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</si>
  <si>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</si>
  <si>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</si>
  <si>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</si>
  <si>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</si>
  <si>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</si>
  <si>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</si>
  <si>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</si>
  <si>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</si>
  <si>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</si>
  <si>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</si>
  <si>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</si>
  <si>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</si>
  <si>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</si>
  <si>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</si>
  <si>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</si>
  <si>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</si>
  <si>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</si>
  <si>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</si>
  <si>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</si>
  <si>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</si>
  <si>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</si>
  <si>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</si>
  <si>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</si>
  <si>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</si>
  <si>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</si>
  <si>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</si>
  <si>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</si>
  <si>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</si>
  <si>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</si>
  <si>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</si>
  <si>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</si>
  <si>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</si>
  <si>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</si>
  <si>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</si>
  <si>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</si>
  <si>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</si>
  <si>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</si>
  <si>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</si>
  <si>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</si>
  <si>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</si>
  <si>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</si>
  <si>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</si>
  <si>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</si>
  <si>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</si>
  <si>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</si>
  <si>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</si>
  <si>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</si>
  <si>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</si>
  <si>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</si>
  <si>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</si>
  <si>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</si>
  <si>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</si>
  <si>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</si>
  <si>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</si>
  <si>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</si>
  <si>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</si>
  <si>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</si>
  <si>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</si>
  <si>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</si>
  <si>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</si>
  <si>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</si>
  <si>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</si>
  <si>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</si>
  <si>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</si>
  <si>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</si>
  <si>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</si>
  <si>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</si>
  <si>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</si>
  <si>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</si>
  <si>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</si>
  <si>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</si>
  <si>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</si>
  <si>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</si>
  <si>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</si>
  <si>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</si>
  <si>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</si>
  <si>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</si>
  <si>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</si>
  <si>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</si>
  <si>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</si>
  <si>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</si>
  <si>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</si>
  <si>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</si>
  <si>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</si>
  <si>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</si>
  <si>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</si>
  <si>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</si>
  <si>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</si>
  <si>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</si>
  <si>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</si>
  <si>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</si>
  <si>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</si>
  <si>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</si>
  <si>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</si>
  <si>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</si>
  <si>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</si>
  <si>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</si>
  <si>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</si>
  <si>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</si>
  <si>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</si>
  <si>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</si>
  <si>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</si>
  <si>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N° 12118</t>
  </si>
  <si>
    <t>HECTOR VALENZUELA</t>
  </si>
  <si>
    <t>569 9949 0582</t>
  </si>
  <si>
    <t>7 DIAS HABILES</t>
  </si>
  <si>
    <t>SI</t>
  </si>
  <si>
    <t>ENCHAPE RECTO 1 CARA MDF25MM</t>
  </si>
  <si>
    <t>HUMO 2108 MT</t>
  </si>
  <si>
    <t>TAPACANTO PVC 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</si>
</sst>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50" fillId="0" borderId="0" xfId="0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215079</xdr:rowOff>
    </xdr:from>
    <xdr:to>
      <xdr:col>5</xdr:col>
      <xdr:colOff>1732649</xdr:colOff>
      <xdr:row>28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ENCHAPADAS CON TAPACANTO</a:t>
          </a:r>
          <a:r>
            <a:rPr lang="es-CL" sz="1200" b="1" baseline="0"/>
            <a:t> PVC 2MM COLOR GRIS HUMO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TAPACANTO PVC 2MM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36" sqref="G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290</v>
      </c>
      <c r="D10" s="243"/>
      <c r="E10" s="243"/>
      <c r="F10" s="418" t="s">
        <v>275</v>
      </c>
      <c r="G10" s="275">
        <v>46879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293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2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94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O41</f>
        <v>84790.424710424704</v>
      </c>
      <c r="R20" s="257">
        <v>3000</v>
      </c>
      <c r="S20" s="38"/>
      <c r="T20" s="14" t="s">
        <v>126</v>
      </c>
      <c r="U20" s="9"/>
      <c r="X20" s="4"/>
    </row>
    <row r="21" spans="2:25" ht="17.399999999999999" x14ac:dyDescent="0.3">
      <c r="B21" s="456">
        <v>4</v>
      </c>
      <c r="C21" s="456" t="s">
        <v>294</v>
      </c>
      <c r="D21" s="457">
        <v>1.5</v>
      </c>
      <c r="E21" s="457">
        <v>0.8</v>
      </c>
      <c r="F21" s="456" t="s">
        <v>295</v>
      </c>
      <c r="G21" s="458">
        <v>107175</v>
      </c>
      <c r="H21" s="458">
        <f>G21*B21</f>
        <v>428700</v>
      </c>
      <c r="I21" s="306"/>
      <c r="J21" s="264"/>
      <c r="K21" s="47"/>
      <c r="L21" s="47">
        <f t="shared" ref="L21" si="0">B21</f>
        <v>4</v>
      </c>
      <c r="M21" s="39">
        <f t="shared" ref="M21" si="1">D21+M$19</f>
        <v>1.58</v>
      </c>
      <c r="N21" s="39">
        <f t="shared" ref="N21" si="2">E21+$N$19</f>
        <v>0.8</v>
      </c>
      <c r="O21" s="260">
        <f t="shared" ref="O21" si="3">M21*N21</f>
        <v>1.2640000000000002</v>
      </c>
      <c r="P21" s="258">
        <f t="shared" ref="P21" si="4">O21*L21</f>
        <v>5.0560000000000009</v>
      </c>
      <c r="Q21" s="251">
        <f t="shared" ref="Q21" si="5">Q$20*O21</f>
        <v>107175.09683397684</v>
      </c>
      <c r="R21" s="305">
        <f t="shared" ref="R21" si="6">Q21+R$20</f>
        <v>110175.09683397684</v>
      </c>
      <c r="S21" s="290">
        <f>M21*L21*2</f>
        <v>12.64</v>
      </c>
      <c r="T21" s="46">
        <f>N21*L21*2</f>
        <v>6.4</v>
      </c>
      <c r="U21" s="9"/>
      <c r="X21" s="4"/>
    </row>
    <row r="22" spans="2:25" ht="17.399999999999999" x14ac:dyDescent="0.3">
      <c r="B22" s="456">
        <v>4</v>
      </c>
      <c r="C22" s="456" t="s">
        <v>294</v>
      </c>
      <c r="D22" s="457">
        <v>0.9</v>
      </c>
      <c r="E22" s="457">
        <v>0.5</v>
      </c>
      <c r="F22" s="456" t="s">
        <v>295</v>
      </c>
      <c r="G22" s="458">
        <v>41547</v>
      </c>
      <c r="H22" s="458">
        <f t="shared" ref="H22:H24" si="7">G22*B22</f>
        <v>166188</v>
      </c>
      <c r="I22" s="306"/>
      <c r="J22" s="264"/>
      <c r="K22" s="47"/>
      <c r="L22" s="47">
        <f t="shared" ref="L22:L24" si="8">B22</f>
        <v>4</v>
      </c>
      <c r="M22" s="39">
        <f t="shared" ref="M22:M24" si="9">D22+M$19</f>
        <v>0.98</v>
      </c>
      <c r="N22" s="39">
        <f t="shared" ref="N22:N24" si="10">E22+$N$19</f>
        <v>0.5</v>
      </c>
      <c r="O22" s="260">
        <f t="shared" ref="O22:O24" si="11">M22*N22</f>
        <v>0.49</v>
      </c>
      <c r="P22" s="258">
        <f t="shared" ref="P22:P24" si="12">O22*L22</f>
        <v>1.96</v>
      </c>
      <c r="Q22" s="251">
        <f t="shared" ref="Q22:Q24" si="13">Q$20*O22</f>
        <v>41547.308108108104</v>
      </c>
      <c r="R22" s="305">
        <f t="shared" ref="R22:R24" si="14">Q22+R$20</f>
        <v>44547.308108108104</v>
      </c>
      <c r="S22" s="290">
        <f t="shared" ref="S22:S24" si="15">M22*L22*2</f>
        <v>7.84</v>
      </c>
      <c r="T22" s="46">
        <f t="shared" ref="T22:T24" si="16">N22*L22*2</f>
        <v>4</v>
      </c>
      <c r="U22" s="9"/>
      <c r="X22" s="4"/>
    </row>
    <row r="23" spans="2:25" ht="17.399999999999999" x14ac:dyDescent="0.3">
      <c r="B23" s="456">
        <v>5</v>
      </c>
      <c r="C23" s="456" t="s">
        <v>294</v>
      </c>
      <c r="D23" s="457">
        <v>1.2</v>
      </c>
      <c r="E23" s="457">
        <v>0.75</v>
      </c>
      <c r="F23" s="456" t="s">
        <v>295</v>
      </c>
      <c r="G23" s="458">
        <v>81399</v>
      </c>
      <c r="H23" s="458">
        <f t="shared" si="7"/>
        <v>406995</v>
      </c>
      <c r="I23" s="306"/>
      <c r="J23" s="264"/>
      <c r="K23" s="47"/>
      <c r="L23" s="47">
        <f t="shared" si="8"/>
        <v>5</v>
      </c>
      <c r="M23" s="39">
        <f t="shared" si="9"/>
        <v>1.28</v>
      </c>
      <c r="N23" s="39">
        <f t="shared" si="10"/>
        <v>0.75</v>
      </c>
      <c r="O23" s="260">
        <f t="shared" si="11"/>
        <v>0.96</v>
      </c>
      <c r="P23" s="258">
        <f t="shared" si="12"/>
        <v>4.8</v>
      </c>
      <c r="Q23" s="251">
        <f t="shared" si="13"/>
        <v>81398.80772200771</v>
      </c>
      <c r="R23" s="305">
        <f t="shared" si="14"/>
        <v>84398.80772200771</v>
      </c>
      <c r="S23" s="290">
        <f t="shared" si="15"/>
        <v>12.8</v>
      </c>
      <c r="T23" s="46">
        <f t="shared" si="16"/>
        <v>7.5</v>
      </c>
      <c r="U23" s="9"/>
      <c r="X23" s="4"/>
    </row>
    <row r="24" spans="2:25" ht="17.399999999999999" x14ac:dyDescent="0.3">
      <c r="B24" s="456">
        <v>2</v>
      </c>
      <c r="C24" s="456" t="s">
        <v>294</v>
      </c>
      <c r="D24" s="457">
        <v>1.6</v>
      </c>
      <c r="E24" s="457">
        <v>0.8</v>
      </c>
      <c r="F24" s="456" t="s">
        <v>295</v>
      </c>
      <c r="G24" s="458">
        <v>113958</v>
      </c>
      <c r="H24" s="458">
        <f t="shared" si="7"/>
        <v>227916</v>
      </c>
      <c r="I24" s="306"/>
      <c r="J24" s="264"/>
      <c r="K24" s="47"/>
      <c r="L24" s="47">
        <f t="shared" si="8"/>
        <v>2</v>
      </c>
      <c r="M24" s="39">
        <f t="shared" si="9"/>
        <v>1.6800000000000002</v>
      </c>
      <c r="N24" s="39">
        <f t="shared" si="10"/>
        <v>0.8</v>
      </c>
      <c r="O24" s="260">
        <f t="shared" si="11"/>
        <v>1.3440000000000003</v>
      </c>
      <c r="P24" s="258">
        <f t="shared" si="12"/>
        <v>2.6880000000000006</v>
      </c>
      <c r="Q24" s="251">
        <f t="shared" si="13"/>
        <v>113958.33081081083</v>
      </c>
      <c r="R24" s="305">
        <f t="shared" si="14"/>
        <v>116958.33081081083</v>
      </c>
      <c r="S24" s="290">
        <f t="shared" si="15"/>
        <v>6.7200000000000006</v>
      </c>
      <c r="T24" s="46">
        <f t="shared" si="16"/>
        <v>3.2</v>
      </c>
      <c r="U24" s="9"/>
      <c r="X24" s="4"/>
    </row>
    <row r="25" spans="2:25" ht="17.399999999999999" x14ac:dyDescent="0.3">
      <c r="B25" s="454"/>
      <c r="C25" s="454"/>
      <c r="D25" s="455"/>
      <c r="E25" s="455"/>
      <c r="F25" s="454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1229799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SUM(T21:T26)</f>
        <v>21.099999999999998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50</v>
      </c>
      <c r="H28" s="287">
        <f>H27*19%</f>
        <v>233661.81</v>
      </c>
      <c r="I28" s="308"/>
      <c r="J28" s="264"/>
      <c r="K28" s="47"/>
      <c r="L28" s="429">
        <f>M28*10</f>
        <v>55.199999999999996</v>
      </c>
      <c r="M28" s="39">
        <f>SUM(M21:M27)</f>
        <v>5.52</v>
      </c>
      <c r="N28" s="12"/>
      <c r="O28" s="12"/>
      <c r="P28" s="252">
        <f>SUM(P21:P24)</f>
        <v>14.504000000000001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1463460.81</v>
      </c>
      <c r="I29" s="308"/>
      <c r="J29" s="264"/>
      <c r="K29" s="47"/>
      <c r="L29" s="47"/>
      <c r="M29" s="39"/>
      <c r="N29" s="12"/>
      <c r="O29" s="12"/>
      <c r="P29" s="252">
        <f>P28</f>
        <v>14.504000000000001</v>
      </c>
      <c r="Q29" s="14"/>
      <c r="R29" s="12"/>
      <c r="S29" s="239">
        <f>SUM(S21:S28)</f>
        <v>40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2.9008000000000003</v>
      </c>
      <c r="Q30" s="39" t="s">
        <v>128</v>
      </c>
      <c r="R30" s="42"/>
      <c r="S30" s="240">
        <f>S29+T27</f>
        <v>61.099999999999994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17.404800000000002</v>
      </c>
      <c r="Q31" s="14"/>
      <c r="R31" s="14"/>
      <c r="S31" s="238">
        <f>S30*20%</f>
        <v>12.219999999999999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73.319999999999993</v>
      </c>
      <c r="T32" s="14"/>
      <c r="U32" s="294" t="s">
        <v>21</v>
      </c>
      <c r="V32" s="291" t="s">
        <v>147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17.404800000000002</v>
      </c>
      <c r="N33" s="12">
        <v>4000</v>
      </c>
      <c r="O33" s="12">
        <f t="shared" ref="O33:O38" si="17">M33*N33</f>
        <v>69619.200000000012</v>
      </c>
      <c r="P33" s="14" t="s">
        <v>21</v>
      </c>
      <c r="Q33" s="14"/>
      <c r="R33" s="14"/>
      <c r="S33" s="241"/>
      <c r="T33" s="14"/>
      <c r="U33" s="294" t="s">
        <v>148</v>
      </c>
      <c r="V33" s="291">
        <v>3625</v>
      </c>
      <c r="W33" s="59" t="s">
        <v>149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6</v>
      </c>
      <c r="N34" s="12">
        <v>39000</v>
      </c>
      <c r="O34" s="12">
        <f t="shared" si="17"/>
        <v>234000</v>
      </c>
      <c r="P34" s="39" t="s">
        <v>286</v>
      </c>
      <c r="Q34" s="42"/>
      <c r="R34" s="14"/>
      <c r="S34" s="240"/>
      <c r="T34" s="14"/>
      <c r="U34" s="294"/>
      <c r="V34" s="59">
        <v>906.25</v>
      </c>
      <c r="W34" s="59" t="s">
        <v>150</v>
      </c>
      <c r="X34" s="296"/>
    </row>
    <row r="35" spans="1:24" s="230" customFormat="1" ht="17.399999999999999" x14ac:dyDescent="0.35">
      <c r="B35" s="24" t="s">
        <v>146</v>
      </c>
      <c r="J35" s="261"/>
      <c r="K35" s="232"/>
      <c r="L35" s="249"/>
      <c r="M35" s="14"/>
      <c r="N35" s="249">
        <v>33975</v>
      </c>
      <c r="O35" s="12">
        <f t="shared" si="17"/>
        <v>0</v>
      </c>
      <c r="P35" s="39" t="s">
        <v>287</v>
      </c>
      <c r="Q35" s="42"/>
      <c r="S35" s="240"/>
      <c r="T35" s="255"/>
      <c r="U35" s="59"/>
      <c r="V35" s="59">
        <f>V34*20%</f>
        <v>181.25</v>
      </c>
      <c r="W35" s="296" t="s">
        <v>151</v>
      </c>
      <c r="X35" s="59"/>
    </row>
    <row r="36" spans="1:24" s="230" customFormat="1" ht="17.399999999999999" x14ac:dyDescent="0.35">
      <c r="B36" s="24" t="s">
        <v>160</v>
      </c>
      <c r="C36"/>
      <c r="D36"/>
      <c r="E36"/>
      <c r="F36"/>
      <c r="J36" s="261"/>
      <c r="K36" s="232"/>
      <c r="L36" s="249"/>
      <c r="M36" s="14">
        <v>6</v>
      </c>
      <c r="N36" s="249">
        <v>32000</v>
      </c>
      <c r="O36" s="12">
        <f t="shared" si="17"/>
        <v>192000</v>
      </c>
      <c r="P36" s="14" t="s">
        <v>288</v>
      </c>
      <c r="Q36" s="17"/>
      <c r="S36" s="238"/>
      <c r="T36" s="255"/>
      <c r="U36" s="59"/>
      <c r="V36" s="59">
        <f>V34+V35</f>
        <v>1087.5</v>
      </c>
      <c r="W36" s="296" t="s">
        <v>152</v>
      </c>
      <c r="X36" s="59"/>
    </row>
    <row r="37" spans="1:24" s="230" customFormat="1" ht="17.399999999999999" x14ac:dyDescent="0.35">
      <c r="A37" s="230" t="s">
        <v>281</v>
      </c>
      <c r="B37" s="29" t="s">
        <v>123</v>
      </c>
      <c r="C37"/>
      <c r="D37"/>
      <c r="E37"/>
      <c r="F37" s="229" t="s">
        <v>15</v>
      </c>
      <c r="J37" s="261"/>
      <c r="K37" s="259"/>
      <c r="L37" s="249"/>
      <c r="M37" s="248">
        <v>1</v>
      </c>
      <c r="N37" s="249">
        <v>90000</v>
      </c>
      <c r="O37" s="12">
        <f t="shared" si="17"/>
        <v>90000</v>
      </c>
      <c r="P37" s="14" t="s">
        <v>296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2000</v>
      </c>
      <c r="O38" s="12">
        <f t="shared" si="17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585619.19999999995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32</v>
      </c>
      <c r="N40" s="12"/>
      <c r="O40" s="254">
        <f>O39*2.1</f>
        <v>1229800.32</v>
      </c>
      <c r="P40" s="14" t="s">
        <v>137</v>
      </c>
      <c r="Q40" s="14"/>
      <c r="R40" s="40">
        <f>P31/R39</f>
        <v>4.6928386540120801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51290</v>
      </c>
      <c r="L41" s="249"/>
      <c r="M41" s="14"/>
      <c r="N41" s="12"/>
      <c r="O41" s="12">
        <f>O40/P29</f>
        <v>84790.424710424704</v>
      </c>
      <c r="P41" s="45" t="s">
        <v>24</v>
      </c>
      <c r="Q41" s="14"/>
      <c r="R41" s="14"/>
      <c r="S41"/>
      <c r="T41" s="238"/>
      <c r="U41" s="59" t="s">
        <v>153</v>
      </c>
      <c r="V41" s="291">
        <v>43650</v>
      </c>
    </row>
    <row r="42" spans="1:24" s="230" customFormat="1" ht="17.399999999999999" x14ac:dyDescent="0.35">
      <c r="G42"/>
      <c r="K42" s="230">
        <f>K41/1.19</f>
        <v>43100.840336134454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155</v>
      </c>
      <c r="V42" s="292" t="s">
        <v>154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156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151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143</v>
      </c>
    </row>
    <row r="77" spans="3:15" x14ac:dyDescent="0.3">
      <c r="C77" t="s">
        <v>142</v>
      </c>
    </row>
    <row r="80" spans="3:15" x14ac:dyDescent="0.3">
      <c r="C80" t="s">
        <v>142</v>
      </c>
    </row>
    <row r="157" spans="3:3" x14ac:dyDescent="0.3">
      <c r="C157" t="s">
        <v>142</v>
      </c>
    </row>
    <row r="158" spans="3:3" x14ac:dyDescent="0.3">
      <c r="C158" t="s">
        <v>144</v>
      </c>
    </row>
    <row r="159" spans="3:3" x14ac:dyDescent="0.3">
      <c r="C159" t="s">
        <v>145</v>
      </c>
    </row>
    <row r="584" spans="3:3" x14ac:dyDescent="0.3">
      <c r="C584" t="s">
        <v>142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46879</v>
      </c>
    </row>
    <row r="6" spans="2:31" ht="16.2" thickBot="1" x14ac:dyDescent="0.35">
      <c r="B6" s="140" t="s">
        <v>2</v>
      </c>
      <c r="C6" s="139" t="str">
        <f>'2229'!C10</f>
        <v>HECTOR VALENZUELA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97</v>
      </c>
      <c r="I7" s="436"/>
      <c r="J7" s="436"/>
      <c r="K7" s="437"/>
      <c r="N7" s="75"/>
      <c r="O7" s="434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12118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4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-113266.84503345408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'2229'!H27</f>
        <v>1229799</v>
      </c>
      <c r="E11" s="132">
        <f>D11*0.19</f>
        <v>233661.81</v>
      </c>
      <c r="F11" s="131">
        <f>E11+D11</f>
        <v>1463460.81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-7276.845033454083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333453.29078743968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-25276.845033454083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896345.70921256032</v>
      </c>
      <c r="E13" s="221">
        <f>(D11/D12)-1</f>
        <v>2.6880697656210484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-34276.845033454083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-73276.845033454083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550197.92979927547</v>
      </c>
      <c r="F15" s="216">
        <f>E15-D12</f>
        <v>216744.6390118358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-73276.845033454083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-33276.845033454083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'2229'!O34</f>
        <v>234000</v>
      </c>
      <c r="E19" s="123">
        <f>D19*0.19</f>
        <v>44460</v>
      </c>
      <c r="F19" s="120">
        <f>SUM(D19:E19)</f>
        <v>278460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69619.200000000012</v>
      </c>
      <c r="E20" s="121">
        <f>D20*0.19</f>
        <v>13227.648000000003</v>
      </c>
      <c r="F20" s="120">
        <f>SUM(D20:E20)</f>
        <v>82846.848000000013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303619.20000000001</v>
      </c>
      <c r="E21" s="116">
        <f>SUM(E18:E20)</f>
        <v>57687.648000000001</v>
      </c>
      <c r="F21" s="115">
        <f>SUM(F18:F20)</f>
        <v>361306.848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175974.16200000001</v>
      </c>
    </row>
    <row r="41" spans="2:16" ht="15" thickBot="1" x14ac:dyDescent="0.35">
      <c r="H41" s="438" t="s">
        <v>59</v>
      </c>
      <c r="I41" s="439"/>
      <c r="J41" s="439"/>
      <c r="K41" s="439"/>
      <c r="L41" s="439"/>
      <c r="M41" s="440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1229799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303619.20000000001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896345.70921256032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896345.70921256032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12118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HECTOR VALENZUELA</v>
      </c>
      <c r="D10" s="350"/>
      <c r="E10" s="350"/>
      <c r="F10" s="351" t="s">
        <v>165</v>
      </c>
      <c r="G10" s="352">
        <f>'2229'!G10</f>
        <v>46879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46885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569 9949 0582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173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174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180</v>
      </c>
      <c r="C2" s="446"/>
      <c r="D2" s="446"/>
      <c r="E2" s="361"/>
      <c r="G2" s="446" t="s">
        <v>181</v>
      </c>
      <c r="H2" s="446"/>
      <c r="I2" s="446"/>
      <c r="P2" s="447" t="s">
        <v>182</v>
      </c>
      <c r="Q2" s="447"/>
      <c r="R2" s="447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7" t="s">
        <v>182</v>
      </c>
      <c r="M8" s="447"/>
      <c r="N8" s="447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263</v>
      </c>
      <c r="L3" s="452"/>
      <c r="M3" s="452" t="s">
        <v>264</v>
      </c>
      <c r="N3" s="452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HECTOR VALENZUELA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46879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46885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263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264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270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94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12118</v>
      </c>
      <c r="C2" s="1">
        <f>'NOTA DE VENTA'!$G$10</f>
        <v>46879</v>
      </c>
      <c r="D2" s="1">
        <f>'NOTA DE VENTA'!$G$11</f>
        <v>46885</v>
      </c>
      <c r="E2" t="str">
        <f>'NOTA DE VENTA'!$C$10</f>
        <v>HECTOR VALENZUELA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2026-05-05T14:48:04Z</cp:lastPrinted>
  <dcterms:created xsi:type="dcterms:W3CDTF">2013-03-18T13:35:42Z</dcterms:created>
  <dcterms:modified xsi:type="dcterms:W3CDTF">2026-05-06T22:21:05Z</dcterms:modified>
</cp:coreProperties>
</file>