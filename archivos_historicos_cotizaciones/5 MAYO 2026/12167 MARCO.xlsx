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3782FA6E-386D-4F01-8C81-B85C42C58F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<sst xmlns="http://schemas.openxmlformats.org/spreadsheetml/2006/main" count="486" uniqueCount="294">
  <si>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</si>
  <si>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</si>
  <si>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</si>
  <si>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</si>
  <si>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</si>
  <si>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</si>
  <si>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</si>
  <si>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</si>
  <si>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</si>
  <si>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</si>
  <si>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</si>
  <si>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</si>
  <si>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</si>
  <si>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</si>
  <si>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</si>
  <si>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</si>
  <si>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</si>
  <si>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</si>
  <si>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</si>
  <si>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</si>
  <si>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</si>
  <si>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</si>
  <si>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</si>
  <si>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</si>
  <si>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</si>
  <si>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</si>
  <si>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</si>
  <si>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</si>
  <si>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</si>
  <si>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</si>
  <si>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</si>
  <si>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</si>
  <si>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</si>
  <si>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</si>
  <si>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</si>
  <si>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</si>
  <si>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</si>
  <si>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</si>
  <si>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</si>
  <si>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</si>
  <si>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</si>
  <si>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</si>
  <si>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</si>
  <si>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</si>
  <si>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</si>
  <si>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</si>
  <si>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</si>
  <si>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</si>
  <si>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</si>
  <si>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</si>
  <si>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</si>
  <si>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</si>
  <si>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</si>
  <si>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</si>
  <si>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</si>
  <si>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</si>
  <si>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</si>
  <si>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</si>
  <si>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</si>
  <si>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</si>
  <si>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</si>
  <si>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</si>
  <si>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</si>
  <si>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</si>
  <si>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</si>
  <si>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</si>
  <si>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</si>
  <si>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</si>
  <si>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</si>
  <si>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</si>
  <si>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</si>
  <si>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</si>
  <si>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</si>
  <si>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</si>
  <si>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</si>
  <si>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</si>
  <si>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</si>
  <si>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</si>
  <si>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</si>
  <si>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</si>
  <si>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</si>
  <si>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</si>
  <si>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</si>
  <si>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</si>
  <si>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</si>
  <si>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</si>
  <si>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</si>
  <si>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</si>
  <si>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</si>
  <si>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</si>
  <si>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</si>
  <si>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</si>
  <si>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</si>
  <si>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</si>
  <si>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</si>
  <si>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</si>
  <si>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</si>
  <si>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</si>
  <si>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</si>
  <si>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</si>
  <si>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</si>
  <si>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</si>
  <si>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</si>
  <si>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</si>
  <si>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</si>
  <si>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</si>
  <si>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</si>
  <si>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</si>
  <si>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</si>
  <si>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</si>
  <si>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</si>
  <si>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</si>
  <si>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</si>
  <si>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</si>
  <si>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</si>
  <si>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</si>
  <si>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</si>
  <si>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</si>
  <si>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</si>
  <si>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</si>
  <si>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</si>
  <si>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</si>
  <si>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</si>
  <si>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</si>
  <si>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</si>
  <si>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</si>
  <si>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</si>
  <si>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</si>
  <si>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</si>
  <si>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</si>
  <si>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</si>
  <si>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</si>
  <si>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</si>
  <si>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</si>
  <si>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</si>
  <si>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</si>
  <si>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</si>
  <si>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</si>
  <si>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</si>
  <si>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</si>
  <si>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</si>
  <si>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</si>
  <si>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</si>
  <si>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</si>
  <si>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</si>
  <si>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</si>
  <si>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</si>
  <si>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</si>
  <si>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</si>
  <si>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</si>
  <si>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</si>
  <si>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</si>
  <si>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</si>
  <si>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</si>
  <si>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</si>
  <si>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</si>
  <si>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</si>
  <si>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</si>
  <si>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</si>
  <si>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</si>
  <si>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</si>
  <si>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</si>
  <si>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</si>
  <si>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</si>
  <si>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</si>
  <si>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</si>
  <si>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</si>
  <si>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</si>
  <si>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</si>
  <si>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</si>
  <si>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</si>
  <si>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</si>
  <si>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</si>
  <si>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</si>
  <si>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</si>
  <si>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</si>
  <si>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</si>
  <si>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</si>
  <si>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</si>
  <si>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</si>
  <si>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</si>
  <si>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</si>
  <si>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</si>
  <si>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</si>
  <si>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</si>
  <si>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</si>
  <si>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</si>
  <si>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</si>
  <si>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</si>
  <si>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</si>
  <si>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</si>
  <si>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</si>
  <si>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</si>
  <si>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</si>
  <si>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</si>
  <si>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</si>
  <si>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</si>
  <si>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</si>
  <si>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</si>
  <si>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</si>
  <si>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</si>
  <si>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</si>
  <si>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</si>
  <si>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</si>
  <si>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</si>
  <si>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</si>
  <si>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</si>
  <si>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</si>
  <si>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</si>
  <si>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</si>
  <si>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</si>
  <si>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</si>
  <si>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</si>
  <si>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</si>
  <si>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</si>
  <si>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</si>
  <si>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</si>
  <si>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</si>
  <si>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</si>
  <si>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</si>
  <si>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</si>
  <si>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</si>
  <si>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</si>
  <si>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</si>
  <si>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</si>
  <si>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</si>
  <si>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</si>
  <si>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</si>
  <si>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</si>
  <si>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</si>
  <si>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</si>
  <si>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</si>
  <si>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</si>
  <si>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</si>
  <si>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</si>
  <si>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</si>
  <si>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</si>
  <si>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</si>
  <si>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</si>
  <si>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</si>
  <si>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</si>
  <si>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</si>
  <si>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</si>
  <si>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</si>
  <si>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</si>
  <si>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</si>
  <si>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</si>
  <si>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</si>
  <si>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</si>
  <si>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</si>
  <si>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</si>
  <si>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</si>
  <si>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</si>
  <si>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</si>
  <si>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</si>
  <si>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</si>
  <si>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</si>
  <si>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</si>
  <si>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</si>
  <si>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</si>
  <si>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</si>
  <si>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</si>
  <si>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</si>
  <si>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</si>
  <si>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</si>
  <si>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</si>
  <si>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</si>
  <si>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</si>
  <si>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</si>
  <si>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</si>
  <si>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</si>
  <si>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</si>
  <si>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</si>
  <si>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</si>
  <si>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</si>
  <si>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</si>
  <si>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</si>
  <si>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</si>
  <si>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</si>
  <si>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</si>
  <si>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</si>
  <si>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</si>
  <si>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</si>
  <si>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</si>
  <si>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</si>
  <si>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</si>
  <si>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</si>
  <si>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</si>
  <si>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3 A 5 DÍAS HÁBILES</t>
  </si>
  <si>
    <t>MARCO</t>
  </si>
  <si>
    <t>N° 12167</t>
  </si>
  <si>
    <t>+56 9 9435 8963</t>
  </si>
  <si>
    <t>CUB CON RESPALDO Y FRENTE 180°</t>
  </si>
  <si>
    <t>BLANCO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</si>
</sst>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19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153629</xdr:rowOff>
    </xdr:from>
    <xdr:to>
      <xdr:col>5</xdr:col>
      <xdr:colOff>1736459</xdr:colOff>
      <xdr:row>25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LARGO.</a:t>
          </a:r>
        </a:p>
        <a:p>
          <a:pPr algn="l"/>
          <a:r>
            <a:rPr lang="es-CL" sz="1200" b="1" u="sng" baseline="0"/>
            <a:t>SUSTRATO MDF 18MM.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4" zoomScale="93" zoomScaleNormal="93" workbookViewId="0">
      <selection activeCell="H21" sqref="B21:H2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7" t="s">
        <v>277</v>
      </c>
      <c r="G10" s="275">
        <v>46167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291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1" t="s">
        <v>95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/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76579.417475728143</v>
      </c>
      <c r="R20" s="257">
        <v>3000</v>
      </c>
      <c r="S20" s="38"/>
      <c r="T20" s="14" t="s">
        <v>127</v>
      </c>
      <c r="U20" s="9"/>
      <c r="X20" s="4"/>
    </row>
    <row r="21" spans="1:25" ht="18" thickBot="1" x14ac:dyDescent="0.35">
      <c r="B21" s="454">
        <v>1</v>
      </c>
      <c r="C21" s="455" t="s">
        <v>292</v>
      </c>
      <c r="D21" s="456">
        <v>1.03</v>
      </c>
      <c r="E21" s="456">
        <v>0.55000000000000004</v>
      </c>
      <c r="F21" s="457" t="s">
        <v>293</v>
      </c>
      <c r="G21" s="458">
        <f>Q21</f>
        <v>43382.240000000005</v>
      </c>
      <c r="H21" s="459">
        <f>G21*B21</f>
        <v>43382.240000000005</v>
      </c>
      <c r="I21" s="305"/>
      <c r="J21" s="264"/>
      <c r="K21" s="47"/>
      <c r="L21" s="47">
        <f>B21</f>
        <v>1</v>
      </c>
      <c r="M21" s="39">
        <f>D21+M$19</f>
        <v>1.03</v>
      </c>
      <c r="N21" s="39">
        <f>E21+$N$19</f>
        <v>0.55000000000000004</v>
      </c>
      <c r="O21" s="260">
        <f t="shared" ref="O21" si="0">M21*N21</f>
        <v>0.56650000000000011</v>
      </c>
      <c r="P21" s="258">
        <f>O21*L21</f>
        <v>0.56650000000000011</v>
      </c>
      <c r="Q21" s="251">
        <f t="shared" ref="Q21" si="1">Q$20*O21</f>
        <v>43382.240000000005</v>
      </c>
      <c r="R21" s="304">
        <f t="shared" ref="R21" si="2">Q21+R$20</f>
        <v>46382.240000000005</v>
      </c>
      <c r="S21" s="290">
        <f>M21*L21</f>
        <v>1.03</v>
      </c>
      <c r="T21" s="46">
        <f>N21*2*L21*2</f>
        <v>2.2000000000000002</v>
      </c>
      <c r="U21" s="9"/>
      <c r="X21" s="4"/>
    </row>
    <row r="22" spans="1:25" ht="17.399999999999999" x14ac:dyDescent="0.3">
      <c r="B22" s="283"/>
      <c r="C22" s="324"/>
      <c r="D22" s="284"/>
      <c r="E22" s="284"/>
      <c r="F22" s="283"/>
      <c r="G22" s="305"/>
      <c r="H22" s="305"/>
      <c r="I22" s="305"/>
      <c r="J22" s="264"/>
      <c r="K22" s="47"/>
      <c r="L22" s="47"/>
      <c r="M22" s="39"/>
      <c r="N22" s="39"/>
      <c r="O22" s="260"/>
      <c r="P22" s="258"/>
      <c r="Q22" s="251"/>
      <c r="R22" s="304"/>
      <c r="S22" s="290"/>
      <c r="T22" s="46"/>
      <c r="U22" s="9"/>
      <c r="X22" s="4"/>
    </row>
    <row r="23" spans="1:25" ht="18" thickBot="1" x14ac:dyDescent="0.35">
      <c r="B23" s="283"/>
      <c r="C23" s="324"/>
      <c r="D23" s="284"/>
      <c r="E23" s="284"/>
      <c r="F23" s="283"/>
      <c r="G23" s="264"/>
      <c r="H23" s="306"/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09" t="s">
        <v>28</v>
      </c>
      <c r="H24" s="310">
        <f>SUM(H21:H23)</f>
        <v>43382.240000000005</v>
      </c>
      <c r="I24" s="307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2.2000000000000002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8242.6256000000012</v>
      </c>
      <c r="I25" s="307"/>
      <c r="J25" s="264"/>
      <c r="K25" s="47"/>
      <c r="L25" s="47"/>
      <c r="M25" s="39">
        <f>SUM(M21:M24)</f>
        <v>1.03</v>
      </c>
      <c r="N25" s="12"/>
      <c r="O25" s="12"/>
      <c r="P25" s="252">
        <f>SUM(P21:P23)</f>
        <v>0.56650000000000011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51624.865600000005</v>
      </c>
      <c r="I26" s="307"/>
      <c r="J26" s="264"/>
      <c r="K26" s="47"/>
      <c r="L26" s="47"/>
      <c r="M26" s="39"/>
      <c r="N26" s="12"/>
      <c r="O26" s="12"/>
      <c r="P26" s="252">
        <f>P25</f>
        <v>0.56650000000000011</v>
      </c>
      <c r="Q26" s="14"/>
      <c r="R26" s="12"/>
      <c r="S26" s="239">
        <f>SUM(S21:S25)</f>
        <v>1.03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0.11330000000000003</v>
      </c>
      <c r="Q27" s="39" t="s">
        <v>129</v>
      </c>
      <c r="R27" s="42"/>
      <c r="S27" s="240">
        <f>S26+T24</f>
        <v>3.2300000000000004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0.67980000000000018</v>
      </c>
      <c r="Q28" s="14"/>
      <c r="R28" s="14"/>
      <c r="S28" s="238">
        <f>S27*20%</f>
        <v>0.64600000000000013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3.8760000000000003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0.67980000000000018</v>
      </c>
      <c r="N30" s="12">
        <v>4000</v>
      </c>
      <c r="O30" s="12">
        <f t="shared" ref="O30:O35" si="3">M30*N30</f>
        <v>2719.2000000000007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0.2</v>
      </c>
      <c r="N31" s="12">
        <v>25000</v>
      </c>
      <c r="O31" s="12">
        <f t="shared" si="3"/>
        <v>5000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3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10000</v>
      </c>
      <c r="O33" s="12">
        <f t="shared" si="3"/>
        <v>10000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3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1</v>
      </c>
      <c r="N35" s="12">
        <v>2000</v>
      </c>
      <c r="O35" s="12">
        <f t="shared" si="3"/>
        <v>2000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19719.2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43382.240000000005</v>
      </c>
      <c r="P37" s="14" t="s">
        <v>138</v>
      </c>
      <c r="Q37" s="14"/>
      <c r="R37" s="40">
        <f>P28/R36</f>
        <v>0.18329378774805871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33790</v>
      </c>
      <c r="L38" s="249"/>
      <c r="M38" s="14"/>
      <c r="N38" s="12"/>
      <c r="O38" s="12">
        <f>O37/P26</f>
        <v>76579.417475728143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28394.957983193279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46167</v>
      </c>
    </row>
    <row r="6" spans="2:31" ht="16.2" thickBot="1" x14ac:dyDescent="0.35">
      <c r="B6" s="140" t="s">
        <v>2</v>
      </c>
      <c r="C6" s="139" t="str">
        <f>'2229'!C10</f>
        <v>MARCO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98</v>
      </c>
      <c r="I7" s="436"/>
      <c r="J7" s="436"/>
      <c r="K7" s="437"/>
      <c r="N7" s="75"/>
      <c r="O7" s="4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12167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3096.7816332125608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43382.240000000005</v>
      </c>
      <c r="E11" s="132">
        <f>D11*0.19</f>
        <v>8242.6256000000012</v>
      </c>
      <c r="F11" s="131">
        <f>E11+D11</f>
        <v>51624.865600000005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109086.78163321257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37553.290787439619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91086.781633212566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5828.9492125603865</v>
      </c>
      <c r="E13" s="221">
        <f>(D11/D12)-1</f>
        <v>0.15521806718760267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82086.781633212566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43086.781633212559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61962.929799275371</v>
      </c>
      <c r="F15" s="216">
        <f>E15-D12</f>
        <v>24409.639011835752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43086.781633212559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83086.781633212566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5000</v>
      </c>
      <c r="E19" s="123">
        <f>D19*0.19</f>
        <v>950</v>
      </c>
      <c r="F19" s="120">
        <f>SUM(D19:E19)</f>
        <v>5950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2719.2000000000007</v>
      </c>
      <c r="E20" s="121">
        <f>D20*0.19</f>
        <v>516.64800000000014</v>
      </c>
      <c r="F20" s="120">
        <f>SUM(D20:E20)</f>
        <v>3235.8480000000009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7719.2000000000007</v>
      </c>
      <c r="E21" s="116">
        <f>SUM(E18:E20)</f>
        <v>1466.6480000000001</v>
      </c>
      <c r="F21" s="115">
        <f>SUM(F18:F20)</f>
        <v>9185.8480000000018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6775.9776000000011</v>
      </c>
    </row>
    <row r="41" spans="2:16" ht="15" thickBot="1" x14ac:dyDescent="0.35">
      <c r="H41" s="438" t="s">
        <v>60</v>
      </c>
      <c r="I41" s="439"/>
      <c r="J41" s="439"/>
      <c r="K41" s="439"/>
      <c r="L41" s="439"/>
      <c r="M41" s="4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43382.240000000005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7719.2000000000007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5828.9492125603865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5828.9492125603865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12167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MARCO</v>
      </c>
      <c r="D10" s="349"/>
      <c r="E10" s="349"/>
      <c r="F10" s="350" t="s">
        <v>167</v>
      </c>
      <c r="G10" s="351">
        <f>'2229'!G10</f>
        <v>46167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46174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+56 9 9435 8963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1" t="s">
        <v>175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176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CON RESPALDO Y FRENTE 180°</v>
      </c>
      <c r="D22" s="320">
        <f>'2229'!D21*1000</f>
        <v>1030</v>
      </c>
      <c r="E22" s="320">
        <f>'2229'!E21*1000</f>
        <v>550</v>
      </c>
      <c r="F22" s="321" t="str">
        <f>'2229'!F21</f>
        <v>BLANCO MT</v>
      </c>
      <c r="G22" s="313">
        <f>'2229'!G21</f>
        <v>43382.240000000005</v>
      </c>
      <c r="H22" s="322">
        <f>G22*B22</f>
        <v>43382.240000000005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43382.240000000005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8242.6256000000012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51624.865600000005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182</v>
      </c>
      <c r="C2" s="446"/>
      <c r="D2" s="446"/>
      <c r="E2" s="360"/>
      <c r="G2" s="446" t="s">
        <v>183</v>
      </c>
      <c r="H2" s="446"/>
      <c r="I2" s="446"/>
      <c r="P2" s="447" t="s">
        <v>184</v>
      </c>
      <c r="Q2" s="447"/>
      <c r="R2" s="447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47" t="s">
        <v>184</v>
      </c>
      <c r="M8" s="447"/>
      <c r="N8" s="447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265</v>
      </c>
      <c r="L3" s="452"/>
      <c r="M3" s="452" t="s">
        <v>266</v>
      </c>
      <c r="N3" s="452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MARCO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46167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46174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265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266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272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95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12167</v>
      </c>
      <c r="C2" s="1">
        <f>'NOTA DE VENTA'!$G$10</f>
        <v>46167</v>
      </c>
      <c r="D2" s="1">
        <f>'NOTA DE VENTA'!$G$11</f>
        <v>46174</v>
      </c>
      <c r="E2" t="str">
        <f>'NOTA DE VENTA'!$C$10</f>
        <v>MARCO</v>
      </c>
      <c r="F2" t="str">
        <f>'NOTA DE VENTA'!$C$22</f>
        <v>CUB CON RESPALDO Y FRENTE 180°</v>
      </c>
      <c r="G2" t="str">
        <f>'NOTA DE VENTA'!$F$22</f>
        <v>BLANCO MT</v>
      </c>
      <c r="H2" s="415">
        <f>'NOTA DE VENTA'!$H$25</f>
        <v>43382.240000000005</v>
      </c>
      <c r="I2" s="415">
        <f>H2*0.19</f>
        <v>8242.6256000000012</v>
      </c>
      <c r="J2" s="415">
        <f>I2+H2</f>
        <v>51624.865600000005</v>
      </c>
      <c r="L2" s="61">
        <f>J2-K2</f>
        <v>51624.865600000005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2026-05-25T15:12:38Z</cp:lastPrinted>
  <dcterms:created xsi:type="dcterms:W3CDTF">2013-03-18T13:35:42Z</dcterms:created>
  <dcterms:modified xsi:type="dcterms:W3CDTF">2026-05-25T19:41:02Z</dcterms:modified>
</cp:coreProperties>
</file>