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04D02CA6-BD26-41AF-8913-A86C739E8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O39" i="1"/>
  <c r="E15" i="3"/>
  <c r="R22" i="1" l="1"/>
  <c r="G22" i="1"/>
  <c r="H22" i="1" s="1"/>
  <c r="Q21" i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<sst xmlns="http://schemas.openxmlformats.org/spreadsheetml/2006/main" count="488" uniqueCount="294">
  <si>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</si>
  <si>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</si>
  <si>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</si>
  <si>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</si>
  <si>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</si>
  <si>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</si>
  <si>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</si>
  <si>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</si>
  <si>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</si>
  <si>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</si>
  <si>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</si>
  <si>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</si>
  <si>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</si>
  <si>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</si>
  <si>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</si>
  <si>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</si>
  <si>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</si>
  <si>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</si>
  <si>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</si>
  <si>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</si>
  <si>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</si>
  <si>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</si>
  <si>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</si>
  <si>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</si>
  <si>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</si>
  <si>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</si>
  <si>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</si>
  <si>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</si>
  <si>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</si>
  <si>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</si>
  <si>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</si>
  <si>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</si>
  <si>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</si>
  <si>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</si>
  <si>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</si>
  <si>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</si>
  <si>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</si>
  <si>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</si>
  <si>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</si>
  <si>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</si>
  <si>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</si>
  <si>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</si>
  <si>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</si>
  <si>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</si>
  <si>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</si>
  <si>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</si>
  <si>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</si>
  <si>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</si>
  <si>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</si>
  <si>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</si>
  <si>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</si>
  <si>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</si>
  <si>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</si>
  <si>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</si>
  <si>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</si>
  <si>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</si>
  <si>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</si>
  <si>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</si>
  <si>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</si>
  <si>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</si>
  <si>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</si>
  <si>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</si>
  <si>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</si>
  <si>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</si>
  <si>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</si>
  <si>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</si>
  <si>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</si>
  <si>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</si>
  <si>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</si>
  <si>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</si>
  <si>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</si>
  <si>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</si>
  <si>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</si>
  <si>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</si>
  <si>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</si>
  <si>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</si>
  <si>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</si>
  <si>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</si>
  <si>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</si>
  <si>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</si>
  <si>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</si>
  <si>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</si>
  <si>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</si>
  <si>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</si>
  <si>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</si>
  <si>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</si>
  <si>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</si>
  <si>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</si>
  <si>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</si>
  <si>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</si>
  <si>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</si>
  <si>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</si>
  <si>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</si>
  <si>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</si>
  <si>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</si>
  <si>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</si>
  <si>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</si>
  <si>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</si>
  <si>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</si>
  <si>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</si>
  <si>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</si>
  <si>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</si>
  <si>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</si>
  <si>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</si>
  <si>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</si>
  <si>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</si>
  <si>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</si>
  <si>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</si>
  <si>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</si>
  <si>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</si>
  <si>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</si>
  <si>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</si>
  <si>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</si>
  <si>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</si>
  <si>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</si>
  <si>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</si>
  <si>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</si>
  <si>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</si>
  <si>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</si>
  <si>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</si>
  <si>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</si>
  <si>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</si>
  <si>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</si>
  <si>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</si>
  <si>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</si>
  <si>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</si>
  <si>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</si>
  <si>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</si>
  <si>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</si>
  <si>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</si>
  <si>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</si>
  <si>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</si>
  <si>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</si>
  <si>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</si>
  <si>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</si>
  <si>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</si>
  <si>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</si>
  <si>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</si>
  <si>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</si>
  <si>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</si>
  <si>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</si>
  <si>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</si>
  <si>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</si>
  <si>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</si>
  <si>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</si>
  <si>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</si>
  <si>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</si>
  <si>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</si>
  <si>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</si>
  <si>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</si>
  <si>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</si>
  <si>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</si>
  <si>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</si>
  <si>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</si>
  <si>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</si>
  <si>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</si>
  <si>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</si>
  <si>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</si>
  <si>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</si>
  <si>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</si>
  <si>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</si>
  <si>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</si>
  <si>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</si>
  <si>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</si>
  <si>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</si>
  <si>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</si>
  <si>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</si>
  <si>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</si>
  <si>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</si>
  <si>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</si>
  <si>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</si>
  <si>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</si>
  <si>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</si>
  <si>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</si>
  <si>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</si>
  <si>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</si>
  <si>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</si>
  <si>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</si>
  <si>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</si>
  <si>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</si>
  <si>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</si>
  <si>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</si>
  <si>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</si>
  <si>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</si>
  <si>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</si>
  <si>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</si>
  <si>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</si>
  <si>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</si>
  <si>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</si>
  <si>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</si>
  <si>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</si>
  <si>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</si>
  <si>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</si>
  <si>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</si>
  <si>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</si>
  <si>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</si>
  <si>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</si>
  <si>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</si>
  <si>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</si>
  <si>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</si>
  <si>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</si>
  <si>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</si>
  <si>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</si>
  <si>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</si>
  <si>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</si>
  <si>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</si>
  <si>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</si>
  <si>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</si>
  <si>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</si>
  <si>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</si>
  <si>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</si>
  <si>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</si>
  <si>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</si>
  <si>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</si>
  <si>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</si>
  <si>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</si>
  <si>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</si>
  <si>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</si>
  <si>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</si>
  <si>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</si>
  <si>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</si>
  <si>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</si>
  <si>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</si>
  <si>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</si>
  <si>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</si>
  <si>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</si>
  <si>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</si>
  <si>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</si>
  <si>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</si>
  <si>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</si>
  <si>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</si>
  <si>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</si>
  <si>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</si>
  <si>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</si>
  <si>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</si>
  <si>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</si>
  <si>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</si>
  <si>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</si>
  <si>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</si>
  <si>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</si>
  <si>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</si>
  <si>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</si>
  <si>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</si>
  <si>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</si>
  <si>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</si>
  <si>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</si>
  <si>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</si>
  <si>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</si>
  <si>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</si>
  <si>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</si>
  <si>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</si>
  <si>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</si>
  <si>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</si>
  <si>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</si>
  <si>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</si>
  <si>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</si>
  <si>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</si>
  <si>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</si>
  <si>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</si>
  <si>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</si>
  <si>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</si>
  <si>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</si>
  <si>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</si>
  <si>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</si>
  <si>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</si>
  <si>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</si>
  <si>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</si>
  <si>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</si>
  <si>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</si>
  <si>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</si>
  <si>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</si>
  <si>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</si>
  <si>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</si>
  <si>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</si>
  <si>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</si>
  <si>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</si>
  <si>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</si>
  <si>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</si>
  <si>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</si>
  <si>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</si>
  <si>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</si>
  <si>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</si>
  <si>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</si>
  <si>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</si>
  <si>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</si>
  <si>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</si>
  <si>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</si>
  <si>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</si>
  <si>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</si>
  <si>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SANTIAGO</t>
  </si>
  <si>
    <t>+56 9 8497 6580</t>
  </si>
  <si>
    <t>JORGE BORBARAN</t>
  </si>
  <si>
    <t>N° 12140</t>
  </si>
  <si>
    <t>WHITE MARBLE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</si>
</sst>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SOBRE MEDIDAS EN EL LARGO</a:t>
          </a:r>
        </a:p>
        <a:p>
          <a:pPr algn="l"/>
          <a:r>
            <a:rPr lang="es-CL" sz="1200" b="1" baseline="0"/>
            <a:t>RESPALDO DE 4cm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4" zoomScale="93" zoomScaleNormal="93" workbookViewId="0">
      <selection activeCell="N20" sqref="N2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289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62444.393063583819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288</v>
      </c>
      <c r="D21" s="431">
        <v>1.6</v>
      </c>
      <c r="E21" s="431">
        <v>0.5</v>
      </c>
      <c r="F21" s="312" t="s">
        <v>293</v>
      </c>
      <c r="G21" s="313">
        <f>Q21</f>
        <v>52453.290173410416</v>
      </c>
      <c r="H21" s="432">
        <f>G21*B21</f>
        <v>52453.290173410416</v>
      </c>
      <c r="I21" s="305"/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0.5</v>
      </c>
      <c r="O21" s="260">
        <f t="shared" ref="O21" si="0">M21*N21</f>
        <v>0.84000000000000008</v>
      </c>
      <c r="P21" s="258">
        <f t="shared" ref="P21" si="1">O21*L21</f>
        <v>0.84000000000000008</v>
      </c>
      <c r="Q21" s="251">
        <f t="shared" ref="Q21" si="2">Q$20*O21</f>
        <v>52453.290173410416</v>
      </c>
      <c r="R21" s="304">
        <f t="shared" ref="R21" si="3">Q21+R$20</f>
        <v>55453.290173410416</v>
      </c>
      <c r="S21" s="290">
        <f>M21*L21</f>
        <v>1.6800000000000002</v>
      </c>
      <c r="T21" s="46">
        <f>N21*2*L21*2</f>
        <v>2</v>
      </c>
      <c r="U21" s="9"/>
      <c r="X21" s="4"/>
    </row>
    <row r="22" spans="1:25" ht="18" thickBot="1" x14ac:dyDescent="0.35">
      <c r="B22" s="434">
        <v>1</v>
      </c>
      <c r="C22" s="435" t="s">
        <v>288</v>
      </c>
      <c r="D22" s="436">
        <v>1.7</v>
      </c>
      <c r="E22" s="436">
        <v>0.5</v>
      </c>
      <c r="F22" s="437" t="s">
        <v>293</v>
      </c>
      <c r="G22" s="438">
        <f t="shared" ref="G22" si="4">Q22</f>
        <v>55575.509826589601</v>
      </c>
      <c r="H22" s="439">
        <f t="shared" ref="H22" si="5">G22*B22</f>
        <v>55575.509826589601</v>
      </c>
      <c r="I22" s="305"/>
      <c r="J22" s="264"/>
      <c r="K22" s="47"/>
      <c r="L22" s="47">
        <f t="shared" ref="L22" si="6">B22</f>
        <v>1</v>
      </c>
      <c r="M22" s="39">
        <f t="shared" ref="M22" si="7">D22+M$19</f>
        <v>1.78</v>
      </c>
      <c r="N22" s="39">
        <f t="shared" ref="N22" si="8">E22+$N$19</f>
        <v>0.5</v>
      </c>
      <c r="O22" s="260">
        <f t="shared" ref="O22" si="9">M22*N22</f>
        <v>0.89</v>
      </c>
      <c r="P22" s="258">
        <f t="shared" ref="P22" si="10">O22*L22</f>
        <v>0.89</v>
      </c>
      <c r="Q22" s="251">
        <f t="shared" ref="Q22" si="11">Q$20*O22</f>
        <v>55575.509826589601</v>
      </c>
      <c r="R22" s="304">
        <f t="shared" ref="R22" si="12">Q22+R$20</f>
        <v>58575.509826589601</v>
      </c>
      <c r="S22" s="290">
        <f t="shared" ref="S22" si="13">M22*L22</f>
        <v>1.78</v>
      </c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SUM(H21:H22)</f>
        <v>108028.80000000002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20525.472000000005</v>
      </c>
      <c r="I25" s="307"/>
      <c r="J25" s="264"/>
      <c r="K25" s="47"/>
      <c r="L25" s="47"/>
      <c r="M25" s="39">
        <f>SUM(M21:M24)</f>
        <v>3.46</v>
      </c>
      <c r="N25" s="12"/>
      <c r="O25" s="12"/>
      <c r="P25" s="252">
        <f>SUM(P21:P23)</f>
        <v>1.73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128554.27200000003</v>
      </c>
      <c r="I26" s="307"/>
      <c r="J26" s="264"/>
      <c r="K26" s="47"/>
      <c r="L26" s="47"/>
      <c r="M26" s="39"/>
      <c r="N26" s="12"/>
      <c r="O26" s="12"/>
      <c r="P26" s="252">
        <f>P25</f>
        <v>1.73</v>
      </c>
      <c r="Q26" s="14"/>
      <c r="R26" s="12"/>
      <c r="S26" s="239">
        <f>SUM(S21:S25)</f>
        <v>3.46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0.34600000000000003</v>
      </c>
      <c r="Q27" s="39" t="s">
        <v>129</v>
      </c>
      <c r="R27" s="42"/>
      <c r="S27" s="240">
        <f>S26+T24</f>
        <v>5.46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2.0760000000000001</v>
      </c>
      <c r="Q28" s="14"/>
      <c r="R28" s="14"/>
      <c r="S28" s="238">
        <f>S27*20%</f>
        <v>1.0920000000000001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6.5519999999999996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2.0760000000000001</v>
      </c>
      <c r="N30" s="12">
        <v>4000</v>
      </c>
      <c r="O30" s="12">
        <f t="shared" ref="O30:O35" si="14">M30*N30</f>
        <v>8304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25000</v>
      </c>
      <c r="O31" s="12">
        <f t="shared" si="14"/>
        <v>15000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1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21000</v>
      </c>
      <c r="O33" s="12">
        <f t="shared" si="14"/>
        <v>21000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3.2</v>
      </c>
      <c r="N35" s="12">
        <v>1500</v>
      </c>
      <c r="O35" s="12">
        <f t="shared" si="14"/>
        <v>4800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49104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108028.8</v>
      </c>
      <c r="P37" s="14" t="s">
        <v>138</v>
      </c>
      <c r="Q37" s="14"/>
      <c r="R37" s="40">
        <f>P28/R36</f>
        <v>0.55974978429680755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62444.393063583819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JORGE BORBARAN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-3391.8250334541103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108028.80000000002</v>
      </c>
      <c r="E11" s="132">
        <f>D11*0.19</f>
        <v>20525.472000000005</v>
      </c>
      <c r="F11" s="131">
        <f>E11+D11</f>
        <v>128554.27200000003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102598.17496654589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53138.090787439614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84598.174966545892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54890.709212560403</v>
      </c>
      <c r="E13" s="221">
        <f>(D11/D12)-1</f>
        <v>1.0329823371361142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75598.174966545892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36598.174966545892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87677.849799275355</v>
      </c>
      <c r="F15" s="216">
        <f>E15-D12</f>
        <v>34539.75901183574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36598.174966545892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76598.174966545892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8304</v>
      </c>
      <c r="E20" s="121">
        <f>D20*0.19</f>
        <v>1577.76</v>
      </c>
      <c r="F20" s="120">
        <f>SUM(D20:E20)</f>
        <v>9881.76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23304</v>
      </c>
      <c r="E21" s="116">
        <f>SUM(E18:E20)</f>
        <v>4427.76</v>
      </c>
      <c r="F21" s="115">
        <f>SUM(F18:F20)</f>
        <v>27731.760000000002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16097.712000000005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108028.80000000002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23304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54890.709212560403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54890.709212560403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12140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JORGE BORBARAN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+56 9 8497 6580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1600</v>
      </c>
      <c r="E22" s="320">
        <f>'2229'!E21*1000</f>
        <v>500</v>
      </c>
      <c r="F22" s="321" t="str">
        <f>'2229'!F21</f>
        <v>WHITE MARBLE BR</v>
      </c>
      <c r="G22" s="313">
        <f>'2229'!G21</f>
        <v>52453.290173410416</v>
      </c>
      <c r="H22" s="322">
        <f>G22*B22</f>
        <v>52453.290173410416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52453.290173410416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9966.1251329479801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62419.415306358394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JORGE BORBARAN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12140</v>
      </c>
      <c r="C2" s="1">
        <f>'NOTA DE VENTA'!$G$10</f>
        <v>46156</v>
      </c>
      <c r="D2" s="1">
        <f>'NOTA DE VENTA'!$G$11</f>
        <v>46163</v>
      </c>
      <c r="E2" t="str">
        <f>'NOTA DE VENTA'!$C$10</f>
        <v>JORGE BORBARAN</v>
      </c>
      <c r="F2" t="str">
        <f>'NOTA DE VENTA'!$C$22</f>
        <v>CUB CON RESPALDO FTE 90°</v>
      </c>
      <c r="G2" t="str">
        <f>'NOTA DE VENTA'!$F$22</f>
        <v>WHITE MARBLE BR</v>
      </c>
      <c r="H2" s="415">
        <f>'NOTA DE VENTA'!$H$25</f>
        <v>52453.290173410416</v>
      </c>
      <c r="I2" s="415">
        <f>H2*0.19</f>
        <v>9966.1251329479801</v>
      </c>
      <c r="J2" s="415">
        <f>I2+H2</f>
        <v>62419.415306358394</v>
      </c>
      <c r="L2" s="61">
        <f>J2-K2</f>
        <v>62419.415306358394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2026-05-14T19:10:07Z</cp:lastPrinted>
  <dcterms:created xsi:type="dcterms:W3CDTF">2013-03-18T13:35:42Z</dcterms:created>
  <dcterms:modified xsi:type="dcterms:W3CDTF">2026-05-19T12:50:33Z</dcterms:modified>
</cp:coreProperties>
</file>