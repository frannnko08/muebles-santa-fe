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1599CC0E-1D47-434F-A945-A622220C108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2" i="1"/>
  <c r="M22" i="1"/>
  <c r="N22" i="1"/>
  <c r="O22" i="1" s="1"/>
  <c r="S22" i="1"/>
  <c r="L23" i="1"/>
  <c r="M23" i="1"/>
  <c r="N23" i="1"/>
  <c r="O23" i="1" s="1"/>
  <c r="S23" i="1"/>
  <c r="K29" i="1"/>
  <c r="L21" i="1"/>
  <c r="P22" i="1" l="1"/>
  <c r="P23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T21" i="1"/>
  <c r="T26" i="1" s="1"/>
  <c r="S28" i="1"/>
  <c r="O21" i="1"/>
  <c r="P21" i="1" s="1"/>
  <c r="S29" i="1" l="1"/>
  <c r="S30" i="1" s="1"/>
  <c r="S31" i="1" s="1"/>
  <c r="V34" i="1"/>
  <c r="V35" i="1" s="1"/>
  <c r="P28" i="1" l="1"/>
  <c r="N20" i="1"/>
  <c r="L20" i="1"/>
  <c r="P29" i="1" l="1"/>
  <c r="P30" i="1" s="1"/>
  <c r="O34" i="1"/>
  <c r="R38" i="1"/>
  <c r="M32" i="1" l="1"/>
  <c r="R39" i="1"/>
  <c r="O33" i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Q22" i="1"/>
  <c r="O41" i="1"/>
  <c r="E15" i="3"/>
  <c r="R23" i="1" l="1"/>
  <c r="G23" i="1"/>
  <c r="H23" i="1" s="1"/>
  <c r="R22" i="1"/>
  <c r="G22" i="1"/>
  <c r="H22" i="1" s="1"/>
  <c r="Q21" i="1"/>
  <c r="F15" i="3"/>
  <c r="R21" i="1" l="1"/>
  <c r="G21" i="1" s="1"/>
  <c r="H21" i="1" l="1"/>
  <c r="H26" i="1" s="1"/>
  <c r="H27" i="1" s="1"/>
  <c r="G22" i="4" l="1"/>
  <c r="H22" i="4" s="1"/>
  <c r="H25" i="4" s="1"/>
  <c r="H28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<sst xmlns="http://schemas.openxmlformats.org/spreadsheetml/2006/main" count="488" uniqueCount="294">
  <si>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</si>
  <si>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</si>
  <si>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</si>
  <si>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</si>
  <si>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</si>
  <si>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</si>
  <si>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</si>
  <si>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</si>
  <si>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</si>
  <si>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</si>
  <si>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</si>
  <si>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</si>
  <si>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</si>
  <si>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</si>
  <si>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</si>
  <si>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</si>
  <si>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</si>
  <si>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</si>
  <si>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</si>
  <si>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</si>
  <si>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</si>
  <si>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</si>
  <si>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</si>
  <si>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</si>
  <si>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</si>
  <si>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</si>
  <si>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</si>
  <si>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</si>
  <si>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</si>
  <si>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</si>
  <si>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</si>
  <si>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</si>
  <si>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</si>
  <si>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</si>
  <si>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</si>
  <si>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</si>
  <si>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</si>
  <si>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</si>
  <si>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</si>
  <si>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</si>
  <si>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</si>
  <si>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</si>
  <si>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</si>
  <si>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</si>
  <si>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</si>
  <si>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</si>
  <si>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</si>
  <si>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</si>
  <si>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</si>
  <si>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</si>
  <si>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</si>
  <si>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</si>
  <si>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</si>
  <si>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</si>
  <si>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</si>
  <si>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</si>
  <si>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</si>
  <si>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</si>
  <si>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</si>
  <si>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</si>
  <si>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</si>
  <si>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</si>
  <si>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</si>
  <si>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</si>
  <si>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</si>
  <si>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</si>
  <si>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</si>
  <si>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</si>
  <si>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</si>
  <si>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</si>
  <si>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</si>
  <si>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</si>
  <si>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</si>
  <si>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</si>
  <si>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</si>
  <si>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</si>
  <si>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</si>
  <si>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</si>
  <si>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</si>
  <si>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</si>
  <si>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</si>
  <si>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</si>
  <si>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</si>
  <si>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</si>
  <si>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</si>
  <si>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</si>
  <si>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</si>
  <si>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</si>
  <si>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</si>
  <si>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</si>
  <si>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</si>
  <si>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</si>
  <si>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</si>
  <si>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</si>
  <si>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</si>
  <si>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</si>
  <si>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</si>
  <si>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</si>
  <si>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</si>
  <si>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</si>
  <si>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</si>
  <si>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</si>
  <si>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</si>
  <si>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</si>
  <si>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</si>
  <si>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</si>
  <si>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</si>
  <si>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</si>
  <si>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</si>
  <si>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</si>
  <si>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</si>
  <si>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</si>
  <si>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</si>
  <si>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</si>
  <si>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</si>
  <si>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</si>
  <si>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</si>
  <si>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</si>
  <si>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</si>
  <si>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</si>
  <si>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</si>
  <si>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</si>
  <si>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</si>
  <si>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</si>
  <si>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</si>
  <si>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</si>
  <si>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</si>
  <si>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</si>
  <si>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</si>
  <si>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</si>
  <si>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</si>
  <si>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</si>
  <si>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</si>
  <si>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</si>
  <si>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</si>
  <si>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</si>
  <si>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</si>
  <si>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</si>
  <si>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</si>
  <si>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</si>
  <si>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</si>
  <si>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</si>
  <si>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</si>
  <si>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</si>
  <si>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</si>
  <si>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</si>
  <si>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</si>
  <si>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</si>
  <si>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</si>
  <si>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</si>
  <si>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</si>
  <si>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</si>
  <si>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</si>
  <si>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</si>
  <si>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</si>
  <si>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</si>
  <si>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</si>
  <si>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</si>
  <si>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</si>
  <si>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</si>
  <si>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</si>
  <si>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</si>
  <si>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</si>
  <si>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</si>
  <si>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</si>
  <si>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</si>
  <si>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</si>
  <si>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</si>
  <si>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</si>
  <si>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</si>
  <si>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</si>
  <si>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</si>
  <si>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</si>
  <si>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</si>
  <si>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</si>
  <si>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</si>
  <si>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</si>
  <si>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</si>
  <si>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</si>
  <si>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</si>
  <si>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</si>
  <si>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</si>
  <si>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</si>
  <si>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</si>
  <si>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</si>
  <si>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</si>
  <si>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</si>
  <si>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</si>
  <si>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</si>
  <si>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</si>
  <si>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</si>
  <si>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</si>
  <si>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</si>
  <si>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</si>
  <si>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</si>
  <si>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</si>
  <si>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</si>
  <si>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</si>
  <si>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</si>
  <si>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</si>
  <si>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</si>
  <si>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</si>
  <si>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</si>
  <si>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</si>
  <si>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</si>
  <si>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</si>
  <si>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</si>
  <si>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</si>
  <si>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</si>
  <si>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</si>
  <si>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</si>
  <si>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</si>
  <si>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</si>
  <si>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</si>
  <si>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</si>
  <si>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</si>
  <si>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</si>
  <si>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</si>
  <si>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</si>
  <si>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</si>
  <si>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</si>
  <si>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</si>
  <si>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</si>
  <si>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</si>
  <si>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</si>
  <si>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</si>
  <si>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</si>
  <si>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</si>
  <si>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</si>
  <si>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</si>
  <si>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</si>
  <si>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</si>
  <si>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</si>
  <si>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</si>
  <si>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</si>
  <si>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</si>
  <si>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</si>
  <si>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</si>
  <si>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</si>
  <si>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</si>
  <si>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</si>
  <si>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</si>
  <si>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</si>
  <si>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</si>
  <si>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</si>
  <si>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</si>
  <si>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</si>
  <si>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</si>
  <si>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</si>
  <si>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</si>
  <si>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</si>
  <si>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</si>
  <si>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</si>
  <si>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</si>
  <si>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</si>
  <si>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</si>
  <si>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</si>
  <si>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</si>
  <si>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</si>
  <si>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</si>
  <si>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</si>
  <si>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</si>
  <si>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</si>
  <si>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</si>
  <si>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</si>
  <si>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</si>
  <si>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</si>
  <si>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</si>
  <si>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</si>
  <si>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</si>
  <si>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</si>
  <si>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</si>
  <si>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</si>
  <si>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</si>
  <si>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</si>
  <si>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</si>
  <si>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</si>
  <si>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</si>
  <si>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</si>
  <si>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</si>
  <si>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</si>
  <si>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</si>
  <si>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</si>
  <si>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</si>
  <si>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</si>
  <si>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</si>
  <si>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</si>
  <si>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</si>
  <si>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3 DIAS HABILES</t>
  </si>
  <si>
    <t>WHITE LILY MOZAIC K108 MT</t>
  </si>
  <si>
    <t>ANDRES</t>
  </si>
  <si>
    <t>N° 12161</t>
  </si>
  <si>
    <t>+569 9210 2433</t>
  </si>
  <si>
    <t>CUB CON RESPALDO FTE 90°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</si>
</sst>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5" fillId="8" borderId="46" xfId="0" applyFont="1" applyFill="1" applyBorder="1"/>
    <xf numFmtId="0" fontId="5" fillId="8" borderId="0" xfId="0" applyFont="1" applyFill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166" fontId="28" fillId="0" borderId="36" xfId="0" applyNumberFormat="1" applyFont="1" applyBorder="1" applyAlignment="1">
      <alignment horizontal="center" vertical="center"/>
    </xf>
    <xf numFmtId="167" fontId="10" fillId="0" borderId="27" xfId="2" applyNumberFormat="1" applyFont="1" applyFill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167" fontId="10" fillId="0" borderId="20" xfId="2" applyNumberFormat="1" applyFont="1" applyFill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66" fontId="28" fillId="0" borderId="33" xfId="0" applyNumberFormat="1" applyFont="1" applyBorder="1" applyAlignment="1">
      <alignment horizontal="center" vertical="center"/>
    </xf>
    <xf numFmtId="167" fontId="10" fillId="0" borderId="33" xfId="2" applyNumberFormat="1" applyFont="1" applyFill="1" applyBorder="1" applyAlignment="1">
      <alignment horizontal="center" vertical="center"/>
    </xf>
    <xf numFmtId="167" fontId="10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D19" zoomScale="93" zoomScaleNormal="93" workbookViewId="0">
      <selection activeCell="M36" sqref="K36:M36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291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33" t="s">
        <v>290</v>
      </c>
      <c r="D10" s="242"/>
      <c r="E10" s="242"/>
      <c r="F10" s="416" t="s">
        <v>276</v>
      </c>
      <c r="G10" s="274">
        <v>46160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32"/>
      <c r="F11" s="28" t="s">
        <v>285</v>
      </c>
      <c r="G11" s="418" t="s">
        <v>288</v>
      </c>
      <c r="H11" s="419"/>
      <c r="Q11" s="19"/>
      <c r="R11" s="24" t="s">
        <v>18</v>
      </c>
      <c r="S11" s="19"/>
    </row>
    <row r="12" spans="2:24" x14ac:dyDescent="0.3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ht="15.6" x14ac:dyDescent="0.3">
      <c r="B13" s="417" t="s">
        <v>143</v>
      </c>
      <c r="C13" s="434"/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9" t="s">
        <v>292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2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O40</f>
        <v>65196.807349985633</v>
      </c>
      <c r="R20" s="256">
        <v>3000</v>
      </c>
      <c r="S20" s="37"/>
      <c r="T20" s="14" t="s">
        <v>127</v>
      </c>
      <c r="U20" s="9"/>
      <c r="X20" s="4"/>
    </row>
    <row r="21" spans="2:25" ht="17.399999999999999" x14ac:dyDescent="0.3">
      <c r="B21" s="310">
        <v>1</v>
      </c>
      <c r="C21" s="311" t="s">
        <v>293</v>
      </c>
      <c r="D21" s="458">
        <v>1.52</v>
      </c>
      <c r="E21" s="458">
        <v>0.43</v>
      </c>
      <c r="F21" s="311" t="s">
        <v>289</v>
      </c>
      <c r="G21" s="312">
        <f>R21</f>
        <v>47855.403456790118</v>
      </c>
      <c r="H21" s="459">
        <f>G21*B21</f>
        <v>47855.403456790118</v>
      </c>
      <c r="I21" s="304"/>
      <c r="J21" s="263"/>
      <c r="K21" s="46"/>
      <c r="L21" s="46">
        <f>B21</f>
        <v>1</v>
      </c>
      <c r="M21" s="38">
        <f>D21+M$19</f>
        <v>1.6</v>
      </c>
      <c r="N21" s="38">
        <f>E21+$N$19</f>
        <v>0.43</v>
      </c>
      <c r="O21" s="259">
        <f t="shared" ref="O21" si="0">M21*N21</f>
        <v>0.68800000000000006</v>
      </c>
      <c r="P21" s="257">
        <f t="shared" ref="P21" si="1">O21*L21</f>
        <v>0.68800000000000006</v>
      </c>
      <c r="Q21" s="250">
        <f t="shared" ref="Q21" si="2">Q$20*O21</f>
        <v>44855.403456790118</v>
      </c>
      <c r="R21" s="303">
        <f t="shared" ref="R21" si="3">Q21+R$20</f>
        <v>47855.403456790118</v>
      </c>
      <c r="S21" s="288">
        <f>M21*L21</f>
        <v>1.6</v>
      </c>
      <c r="T21" s="45">
        <f>N21*2*L21*2</f>
        <v>1.72</v>
      </c>
      <c r="U21" s="9"/>
      <c r="X21" s="4"/>
    </row>
    <row r="22" spans="2:25" ht="17.399999999999999" x14ac:dyDescent="0.3">
      <c r="B22" s="460">
        <v>1</v>
      </c>
      <c r="C22" s="426" t="s">
        <v>293</v>
      </c>
      <c r="D22" s="427">
        <v>1.42</v>
      </c>
      <c r="E22" s="427">
        <v>0.43</v>
      </c>
      <c r="F22" s="426"/>
      <c r="G22" s="428">
        <f>Q22</f>
        <v>42051.940740740734</v>
      </c>
      <c r="H22" s="461">
        <f t="shared" ref="H22:H23" si="4">G22*B22</f>
        <v>42051.940740740734</v>
      </c>
      <c r="I22" s="304"/>
      <c r="J22" s="263"/>
      <c r="K22" s="46"/>
      <c r="L22" s="46">
        <f t="shared" ref="L22:L23" si="5">B22</f>
        <v>1</v>
      </c>
      <c r="M22" s="38">
        <f t="shared" ref="M22:M23" si="6">D22+M$19</f>
        <v>1.5</v>
      </c>
      <c r="N22" s="38">
        <f t="shared" ref="N22:N23" si="7">E22+$N$19</f>
        <v>0.43</v>
      </c>
      <c r="O22" s="259">
        <f t="shared" ref="O22:O23" si="8">M22*N22</f>
        <v>0.64500000000000002</v>
      </c>
      <c r="P22" s="257">
        <f t="shared" ref="P22:P23" si="9">O22*L22</f>
        <v>0.64500000000000002</v>
      </c>
      <c r="Q22" s="250">
        <f t="shared" ref="Q22:Q23" si="10">Q$20*O22</f>
        <v>42051.940740740734</v>
      </c>
      <c r="R22" s="303">
        <f t="shared" ref="R22:R23" si="11">Q22+R$20</f>
        <v>45051.940740740734</v>
      </c>
      <c r="S22" s="288">
        <f t="shared" ref="S22:S23" si="12">M22*L22</f>
        <v>1.5</v>
      </c>
      <c r="T22" s="45"/>
      <c r="U22" s="9"/>
      <c r="X22" s="4"/>
    </row>
    <row r="23" spans="2:25" ht="18" thickBot="1" x14ac:dyDescent="0.35">
      <c r="B23" s="462">
        <v>1</v>
      </c>
      <c r="C23" s="463" t="s">
        <v>293</v>
      </c>
      <c r="D23" s="464">
        <v>1.68</v>
      </c>
      <c r="E23" s="464">
        <v>0.43</v>
      </c>
      <c r="F23" s="463"/>
      <c r="G23" s="465">
        <f>Q23</f>
        <v>49340.943802469126</v>
      </c>
      <c r="H23" s="466">
        <f t="shared" si="4"/>
        <v>49340.943802469126</v>
      </c>
      <c r="I23" s="304"/>
      <c r="J23" s="263"/>
      <c r="K23" s="46"/>
      <c r="L23" s="46">
        <f t="shared" si="5"/>
        <v>1</v>
      </c>
      <c r="M23" s="38">
        <f t="shared" si="6"/>
        <v>1.76</v>
      </c>
      <c r="N23" s="38">
        <f t="shared" si="7"/>
        <v>0.43</v>
      </c>
      <c r="O23" s="259">
        <f t="shared" si="8"/>
        <v>0.75680000000000003</v>
      </c>
      <c r="P23" s="257">
        <f t="shared" si="9"/>
        <v>0.75680000000000003</v>
      </c>
      <c r="Q23" s="250">
        <f t="shared" si="10"/>
        <v>49340.943802469126</v>
      </c>
      <c r="R23" s="303">
        <f t="shared" si="11"/>
        <v>52340.943802469126</v>
      </c>
      <c r="S23" s="288">
        <f t="shared" si="12"/>
        <v>1.76</v>
      </c>
      <c r="T23" s="45"/>
      <c r="U23" s="9"/>
      <c r="X23" s="4"/>
    </row>
    <row r="24" spans="2:25" ht="17.399999999999999" x14ac:dyDescent="0.3">
      <c r="B24" s="282"/>
      <c r="C24" s="282"/>
      <c r="D24" s="283"/>
      <c r="E24" s="283"/>
      <c r="F24" s="282"/>
      <c r="G24" s="304"/>
      <c r="H24" s="304"/>
      <c r="I24" s="304"/>
      <c r="J24" s="263"/>
      <c r="K24" s="46"/>
      <c r="L24" s="46"/>
      <c r="M24" s="38"/>
      <c r="N24" s="38"/>
      <c r="O24" s="259"/>
      <c r="P24" s="257"/>
      <c r="Q24" s="250"/>
      <c r="R24" s="303"/>
      <c r="S24" s="288"/>
      <c r="T24" s="45"/>
      <c r="U24" s="9"/>
      <c r="X24" s="4"/>
    </row>
    <row r="25" spans="2:25" ht="18" thickBot="1" x14ac:dyDescent="0.35">
      <c r="B25" s="282"/>
      <c r="C25" s="282"/>
      <c r="D25" s="283"/>
      <c r="E25" s="283"/>
      <c r="F25" s="282"/>
      <c r="G25" s="263"/>
      <c r="H25" s="305"/>
      <c r="I25" s="307"/>
      <c r="J25" s="232"/>
      <c r="K25" s="46"/>
      <c r="L25" s="46"/>
      <c r="M25" s="38"/>
      <c r="N25" s="38"/>
      <c r="O25" s="259"/>
      <c r="P25" s="257"/>
      <c r="Q25" s="250"/>
      <c r="R25" s="256"/>
      <c r="S25" s="288"/>
      <c r="T25" s="14"/>
      <c r="U25" s="9"/>
      <c r="X25" s="4"/>
    </row>
    <row r="26" spans="2:25" ht="17.399999999999999" x14ac:dyDescent="0.3">
      <c r="B26" s="282"/>
      <c r="C26" s="282"/>
      <c r="D26" s="283"/>
      <c r="E26" s="283"/>
      <c r="F26" s="282"/>
      <c r="G26" s="308" t="s">
        <v>28</v>
      </c>
      <c r="H26" s="309">
        <f>SUM(H21:H25)</f>
        <v>139248.28799999997</v>
      </c>
      <c r="I26" s="306"/>
      <c r="J26" s="263"/>
      <c r="K26" s="46"/>
      <c r="L26" s="46"/>
      <c r="M26" s="38"/>
      <c r="N26" s="38"/>
      <c r="O26" s="259"/>
      <c r="P26" s="257"/>
      <c r="Q26" s="250"/>
      <c r="R26" s="256"/>
      <c r="S26" s="288"/>
      <c r="T26" s="45">
        <f>SUM(T21:T25)</f>
        <v>1.72</v>
      </c>
      <c r="U26" s="9"/>
      <c r="X26" s="4"/>
    </row>
    <row r="27" spans="2:25" ht="17.399999999999999" x14ac:dyDescent="0.3">
      <c r="B27" s="276"/>
      <c r="C27" s="279"/>
      <c r="D27" s="280"/>
      <c r="E27" s="280"/>
      <c r="F27" s="281"/>
      <c r="G27" s="287" t="s">
        <v>51</v>
      </c>
      <c r="H27" s="285">
        <f>H26*0.19</f>
        <v>26457.174719999995</v>
      </c>
      <c r="I27" s="306"/>
      <c r="J27" s="263"/>
      <c r="K27" s="46"/>
      <c r="L27" s="46"/>
      <c r="M27" s="38">
        <f>SUM(M21:M26)</f>
        <v>4.8600000000000003</v>
      </c>
      <c r="N27" s="12"/>
      <c r="O27" s="12"/>
      <c r="P27" s="251">
        <f>SUM(P21:P25)</f>
        <v>2.0898000000000003</v>
      </c>
      <c r="Q27" s="14"/>
      <c r="R27" s="12"/>
      <c r="S27" s="238"/>
      <c r="T27" s="45"/>
      <c r="U27" s="9"/>
      <c r="X27" s="4"/>
    </row>
    <row r="28" spans="2:25" ht="18" thickBot="1" x14ac:dyDescent="0.35">
      <c r="B28" s="273"/>
      <c r="C28" s="278"/>
      <c r="D28" s="270"/>
      <c r="E28" s="270"/>
      <c r="F28" s="271"/>
      <c r="G28" s="277" t="s">
        <v>6</v>
      </c>
      <c r="H28" s="286">
        <f>H26+H27</f>
        <v>165705.46271999995</v>
      </c>
      <c r="I28" s="306"/>
      <c r="J28" s="263"/>
      <c r="K28" s="46">
        <v>48890</v>
      </c>
      <c r="L28" s="46"/>
      <c r="M28" s="38"/>
      <c r="N28" s="12"/>
      <c r="O28" s="12"/>
      <c r="P28" s="251">
        <f>P27</f>
        <v>2.0898000000000003</v>
      </c>
      <c r="Q28" s="14"/>
      <c r="R28" s="12"/>
      <c r="S28" s="238">
        <f>SUM(S21:S27)</f>
        <v>4.8600000000000003</v>
      </c>
      <c r="T28" s="45"/>
      <c r="U28" s="9"/>
      <c r="X28" s="4"/>
    </row>
    <row r="29" spans="2:25" ht="17.399999999999999" x14ac:dyDescent="0.3">
      <c r="B29" s="273"/>
      <c r="C29" s="269"/>
      <c r="D29" s="270"/>
      <c r="E29" s="270"/>
      <c r="F29" s="271"/>
      <c r="J29" s="263"/>
      <c r="K29" s="46">
        <f>K28/1.19</f>
        <v>41084.033613445383</v>
      </c>
      <c r="L29" s="46"/>
      <c r="M29" s="14"/>
      <c r="N29" s="12"/>
      <c r="O29" s="12"/>
      <c r="P29" s="38">
        <f>P28*20%</f>
        <v>0.41796000000000011</v>
      </c>
      <c r="Q29" s="38" t="s">
        <v>129</v>
      </c>
      <c r="R29" s="41"/>
      <c r="S29" s="239">
        <f>S28+T26</f>
        <v>6.58</v>
      </c>
      <c r="T29" s="14"/>
      <c r="U29" s="9"/>
      <c r="X29" s="4"/>
    </row>
    <row r="30" spans="2:25" ht="17.399999999999999" x14ac:dyDescent="0.35">
      <c r="B30" s="267"/>
      <c r="C30" s="229"/>
      <c r="D30" s="229"/>
      <c r="E30" s="232"/>
      <c r="F30" s="233"/>
      <c r="G30" s="229"/>
      <c r="H30" s="272"/>
      <c r="I30" s="272"/>
      <c r="J30" s="263"/>
      <c r="K30" s="46"/>
      <c r="L30" s="46"/>
      <c r="M30" s="14"/>
      <c r="N30" s="12"/>
      <c r="O30" s="12"/>
      <c r="P30" s="45">
        <f>P28+P29</f>
        <v>2.5077600000000002</v>
      </c>
      <c r="Q30" s="14"/>
      <c r="R30" s="14"/>
      <c r="S30" s="237">
        <f>S29*20%</f>
        <v>1.3160000000000001</v>
      </c>
      <c r="T30" s="14"/>
      <c r="U30" s="9"/>
      <c r="X30" s="4"/>
    </row>
    <row r="31" spans="2:25" ht="17.399999999999999" x14ac:dyDescent="0.35">
      <c r="B31" s="234"/>
      <c r="C31" s="235"/>
      <c r="D31" s="236"/>
      <c r="E31" s="234"/>
      <c r="F31" s="229"/>
      <c r="G31" s="229"/>
      <c r="I31" s="272"/>
      <c r="J31" s="263"/>
      <c r="K31" s="46"/>
      <c r="L31" s="46"/>
      <c r="M31" s="14"/>
      <c r="N31" s="14"/>
      <c r="O31" s="14"/>
      <c r="P31" s="14"/>
      <c r="Q31" s="14"/>
      <c r="R31" s="14"/>
      <c r="S31" s="239">
        <f>S29+S30</f>
        <v>7.8959999999999999</v>
      </c>
      <c r="T31" s="14"/>
      <c r="U31" s="292" t="s">
        <v>21</v>
      </c>
      <c r="V31" s="289" t="s">
        <v>148</v>
      </c>
      <c r="W31" s="293">
        <v>44971</v>
      </c>
      <c r="X31" s="294"/>
    </row>
    <row r="32" spans="2:25" ht="17.399999999999999" x14ac:dyDescent="0.35">
      <c r="B32" s="229"/>
      <c r="C32" s="229"/>
      <c r="D32" s="229"/>
      <c r="E32" s="229"/>
      <c r="F32" s="229"/>
      <c r="G32" s="229"/>
      <c r="J32" s="263"/>
      <c r="K32" s="46"/>
      <c r="L32" s="46"/>
      <c r="M32" s="38">
        <f>P30</f>
        <v>2.5077600000000002</v>
      </c>
      <c r="N32" s="12">
        <v>4000</v>
      </c>
      <c r="O32" s="12">
        <f t="shared" ref="O32:O37" si="13">M32*N32</f>
        <v>10031.040000000001</v>
      </c>
      <c r="P32" s="14" t="s">
        <v>21</v>
      </c>
      <c r="Q32" s="14"/>
      <c r="R32" s="14"/>
      <c r="S32" s="240"/>
      <c r="T32" s="14"/>
      <c r="U32" s="292" t="s">
        <v>149</v>
      </c>
      <c r="V32" s="289">
        <v>3625</v>
      </c>
      <c r="W32" s="58" t="s">
        <v>150</v>
      </c>
      <c r="X32" s="294"/>
    </row>
    <row r="33" spans="1:24" ht="17.399999999999999" x14ac:dyDescent="0.35">
      <c r="A33" s="229"/>
      <c r="B33" s="229"/>
      <c r="C33" s="229"/>
      <c r="D33" s="229"/>
      <c r="E33" s="229"/>
      <c r="F33" s="229"/>
      <c r="G33" s="229"/>
      <c r="H33" s="229"/>
      <c r="J33" s="263"/>
      <c r="K33" s="46"/>
      <c r="L33" s="46"/>
      <c r="M33" s="247">
        <v>0.7</v>
      </c>
      <c r="N33" s="12">
        <v>25000</v>
      </c>
      <c r="O33" s="12">
        <f t="shared" si="13"/>
        <v>17500</v>
      </c>
      <c r="P33" s="38" t="s">
        <v>31</v>
      </c>
      <c r="Q33" s="41"/>
      <c r="R33" s="14"/>
      <c r="S33" s="239"/>
      <c r="T33" s="14"/>
      <c r="U33" s="292"/>
      <c r="V33" s="58">
        <v>906.25</v>
      </c>
      <c r="W33" s="58" t="s">
        <v>151</v>
      </c>
      <c r="X33" s="294"/>
    </row>
    <row r="34" spans="1:24" s="229" customFormat="1" ht="18" x14ac:dyDescent="0.35">
      <c r="B34" s="430" t="s">
        <v>286</v>
      </c>
      <c r="J34" s="260"/>
      <c r="K34" s="231"/>
      <c r="L34" s="248"/>
      <c r="M34" s="14"/>
      <c r="N34" s="248">
        <v>71000</v>
      </c>
      <c r="O34" s="12">
        <f t="shared" si="13"/>
        <v>0</v>
      </c>
      <c r="P34" s="38" t="s">
        <v>30</v>
      </c>
      <c r="Q34" s="41"/>
      <c r="S34" s="239"/>
      <c r="T34" s="254"/>
      <c r="U34" s="58"/>
      <c r="V34" s="58">
        <f>V33*20%</f>
        <v>181.25</v>
      </c>
      <c r="W34" s="294" t="s">
        <v>152</v>
      </c>
      <c r="X34" s="58"/>
    </row>
    <row r="35" spans="1:24" s="229" customFormat="1" ht="18" x14ac:dyDescent="0.35">
      <c r="B35" s="430" t="s">
        <v>287</v>
      </c>
      <c r="C35"/>
      <c r="D35"/>
      <c r="E35"/>
      <c r="F35"/>
      <c r="J35" s="260"/>
      <c r="K35" s="231"/>
      <c r="L35" s="248"/>
      <c r="M35" s="14">
        <v>1</v>
      </c>
      <c r="N35" s="248">
        <v>25000</v>
      </c>
      <c r="O35" s="12">
        <f t="shared" si="13"/>
        <v>25000</v>
      </c>
      <c r="P35" s="14" t="s">
        <v>139</v>
      </c>
      <c r="Q35" s="17"/>
      <c r="S35" s="237"/>
      <c r="T35" s="254"/>
      <c r="U35" s="58"/>
      <c r="V35" s="58">
        <f>V33+V34</f>
        <v>1087.5</v>
      </c>
      <c r="W35" s="294" t="s">
        <v>153</v>
      </c>
      <c r="X35" s="58"/>
    </row>
    <row r="36" spans="1:24" s="229" customFormat="1" ht="17.399999999999999" x14ac:dyDescent="0.35">
      <c r="A36" s="229" t="s">
        <v>282</v>
      </c>
      <c r="B36" s="28" t="s">
        <v>124</v>
      </c>
      <c r="C36"/>
      <c r="D36"/>
      <c r="E36"/>
      <c r="F36" s="228" t="s">
        <v>15</v>
      </c>
      <c r="J36" s="260"/>
      <c r="K36" s="258"/>
      <c r="L36" s="248"/>
      <c r="M36" s="247"/>
      <c r="N36" s="248">
        <v>900</v>
      </c>
      <c r="O36" s="12">
        <f t="shared" si="13"/>
        <v>0</v>
      </c>
      <c r="P36" s="14" t="s">
        <v>32</v>
      </c>
      <c r="Q36" s="14"/>
      <c r="R36" s="229">
        <v>1.52</v>
      </c>
      <c r="S36" s="237"/>
      <c r="T36" s="237"/>
    </row>
    <row r="37" spans="1:24" s="229" customFormat="1" ht="17.399999999999999" x14ac:dyDescent="0.35">
      <c r="J37" s="284"/>
      <c r="K37" s="258"/>
      <c r="L37" s="248"/>
      <c r="M37" s="264">
        <v>4.7</v>
      </c>
      <c r="N37" s="12">
        <v>2000</v>
      </c>
      <c r="O37" s="12">
        <f t="shared" si="13"/>
        <v>9400</v>
      </c>
      <c r="P37" s="14" t="s">
        <v>22</v>
      </c>
      <c r="Q37" s="14"/>
      <c r="R37">
        <v>2.44</v>
      </c>
      <c r="S37"/>
      <c r="T37" s="237"/>
      <c r="X37" s="230"/>
    </row>
    <row r="38" spans="1:24" s="229" customFormat="1" ht="17.399999999999999" x14ac:dyDescent="0.35">
      <c r="K38" s="258"/>
      <c r="L38" s="248"/>
      <c r="M38" s="14"/>
      <c r="N38" s="12"/>
      <c r="O38" s="12">
        <f>SUM(O32:O37)</f>
        <v>61931.040000000001</v>
      </c>
      <c r="P38" s="38" t="s">
        <v>23</v>
      </c>
      <c r="Q38" s="14"/>
      <c r="R38">
        <f>R36*R37</f>
        <v>3.7088000000000001</v>
      </c>
      <c r="S38"/>
      <c r="T38" s="237"/>
      <c r="X38" s="230"/>
    </row>
    <row r="39" spans="1:24" s="229" customFormat="1" ht="17.399999999999999" x14ac:dyDescent="0.35">
      <c r="L39" s="248"/>
      <c r="M39" s="252" t="s">
        <v>33</v>
      </c>
      <c r="N39" s="12"/>
      <c r="O39" s="253">
        <f>O38*2.2</f>
        <v>136248.288</v>
      </c>
      <c r="P39" s="14" t="s">
        <v>138</v>
      </c>
      <c r="Q39" s="14"/>
      <c r="R39" s="431">
        <f>P30/R38</f>
        <v>0.67616479723899914</v>
      </c>
      <c r="S39"/>
      <c r="T39" s="255"/>
    </row>
    <row r="40" spans="1:24" s="229" customFormat="1" ht="17.399999999999999" x14ac:dyDescent="0.35">
      <c r="G40"/>
      <c r="H40" s="258"/>
      <c r="I40" s="258"/>
      <c r="J40" s="258"/>
      <c r="L40" s="248"/>
      <c r="M40" s="14"/>
      <c r="N40" s="12"/>
      <c r="O40" s="12">
        <f>O39/P28</f>
        <v>65196.807349985633</v>
      </c>
      <c r="P40" s="44" t="s">
        <v>24</v>
      </c>
      <c r="Q40" s="14"/>
      <c r="R40" s="14"/>
      <c r="S40"/>
      <c r="T40" s="237"/>
      <c r="U40" s="58" t="s">
        <v>154</v>
      </c>
      <c r="V40" s="289">
        <v>43650</v>
      </c>
    </row>
    <row r="41" spans="1:24" s="229" customFormat="1" ht="17.399999999999999" x14ac:dyDescent="0.35">
      <c r="G41"/>
      <c r="L41" s="248"/>
      <c r="M41" s="13"/>
      <c r="N41" s="14"/>
      <c r="O41" s="17">
        <f>O39/O38</f>
        <v>2.2000000000000002</v>
      </c>
      <c r="P41" s="15"/>
      <c r="Q41"/>
      <c r="R41"/>
      <c r="S41"/>
      <c r="T41" s="237"/>
      <c r="U41" s="58" t="s">
        <v>156</v>
      </c>
      <c r="V41" s="290" t="s">
        <v>155</v>
      </c>
      <c r="W41" s="58">
        <v>2.4</v>
      </c>
    </row>
    <row r="42" spans="1:24" s="229" customFormat="1" ht="17.399999999999999" x14ac:dyDescent="0.35">
      <c r="G42" s="23"/>
      <c r="L42" s="12"/>
      <c r="T42" s="237"/>
      <c r="U42" s="58" t="s">
        <v>157</v>
      </c>
      <c r="V42" s="291">
        <v>395.37</v>
      </c>
    </row>
    <row r="43" spans="1:24" s="229" customFormat="1" ht="17.399999999999999" x14ac:dyDescent="0.35">
      <c r="B43"/>
      <c r="C43" s="227"/>
      <c r="D43" s="22"/>
      <c r="E43" s="22"/>
      <c r="F43" s="21"/>
      <c r="G43" s="23"/>
      <c r="L43" s="12"/>
      <c r="T43" s="237"/>
      <c r="U43" s="58" t="s">
        <v>152</v>
      </c>
      <c r="V43" s="58">
        <v>474.45</v>
      </c>
    </row>
    <row r="44" spans="1:24" ht="14.4" customHeight="1" x14ac:dyDescent="0.3">
      <c r="L44" s="12"/>
      <c r="U44" s="58"/>
      <c r="V44" s="58"/>
    </row>
    <row r="45" spans="1:24" x14ac:dyDescent="0.3">
      <c r="L45" s="248"/>
    </row>
    <row r="46" spans="1:24" x14ac:dyDescent="0.3">
      <c r="L46" s="248"/>
      <c r="T46" s="268"/>
    </row>
    <row r="47" spans="1:24" x14ac:dyDescent="0.3">
      <c r="L47" s="248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3"/>
      <c r="P52" s="53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2"/>
    </row>
    <row r="65" spans="3:15" x14ac:dyDescent="0.3">
      <c r="O65" s="42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0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46160</v>
      </c>
    </row>
    <row r="6" spans="2:31" ht="16.2" thickBot="1" x14ac:dyDescent="0.35">
      <c r="B6" s="139" t="s">
        <v>2</v>
      </c>
      <c r="C6" s="138" t="str">
        <f>'2229'!C10</f>
        <v>ANDRES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9" t="s">
        <v>98</v>
      </c>
      <c r="I7" s="440"/>
      <c r="J7" s="440"/>
      <c r="K7" s="441"/>
      <c r="N7" s="74"/>
      <c r="O7" s="438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12161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8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-7432.6370334541016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'2229'!H26</f>
        <v>139248.28799999997</v>
      </c>
      <c r="E11" s="131">
        <f>D11*0.19</f>
        <v>26457.174719999995</v>
      </c>
      <c r="F11" s="130">
        <f>E11+D11</f>
        <v>165705.46271999995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98557.362966545901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57365.130787439615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80557.362966545901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81883.157212560356</v>
      </c>
      <c r="E13" s="220">
        <f>(D11/D12)-1</f>
        <v>1.4274029552197778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71557.362966545901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32557.362966545898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94652.465799275364</v>
      </c>
      <c r="F15" s="215">
        <f>E15-D12</f>
        <v>37287.335011835748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32557.362966545898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72557.362966545901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'2229'!O33</f>
        <v>17500</v>
      </c>
      <c r="E19" s="122">
        <f>D19*0.19</f>
        <v>3325</v>
      </c>
      <c r="F19" s="119">
        <f>SUM(D19:E19)</f>
        <v>20825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'2229'!O32</f>
        <v>10031.040000000001</v>
      </c>
      <c r="E20" s="120">
        <f>D20*0.19</f>
        <v>1905.8976000000002</v>
      </c>
      <c r="F20" s="119">
        <f>SUM(D20:E20)</f>
        <v>11936.937600000001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27531.040000000001</v>
      </c>
      <c r="E21" s="115">
        <f>SUM(E18:E20)</f>
        <v>5230.8976000000002</v>
      </c>
      <c r="F21" s="114">
        <f>SUM(F18:F20)</f>
        <v>32761.937600000001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21226.277119999995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139248.28799999997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27531.040000000001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81883.157212560356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81883.157212560356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12161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ANDRES</v>
      </c>
      <c r="D10" s="348"/>
      <c r="E10" s="348"/>
      <c r="F10" s="349" t="s">
        <v>166</v>
      </c>
      <c r="G10" s="350">
        <f>'2229'!G10</f>
        <v>46160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46167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+569 9210 2433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5" t="s">
        <v>174</v>
      </c>
      <c r="G17" s="445"/>
      <c r="H17" s="446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7" t="s">
        <v>175</v>
      </c>
      <c r="C20" s="448"/>
      <c r="D20" s="448"/>
      <c r="E20" s="448"/>
      <c r="F20" s="448"/>
      <c r="G20" s="448"/>
      <c r="H20" s="449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1</v>
      </c>
      <c r="C22" s="311" t="str">
        <f>'2229'!C21</f>
        <v>CUB CON RESPALDO FTE 90° R6</v>
      </c>
      <c r="D22" s="319">
        <f>'2229'!D21*1000</f>
        <v>1520</v>
      </c>
      <c r="E22" s="319">
        <f>'2229'!E21*1000</f>
        <v>430</v>
      </c>
      <c r="F22" s="320" t="str">
        <f>'2229'!F21</f>
        <v>WHITE LILY MOZAIC K108 MT</v>
      </c>
      <c r="G22" s="312">
        <f>'2229'!G21</f>
        <v>47855.403456790118</v>
      </c>
      <c r="H22" s="321">
        <f>G22*B22</f>
        <v>47855.403456790118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47855.403456790118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9092.5266567901217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56947.930113580238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181</v>
      </c>
      <c r="C2" s="450"/>
      <c r="D2" s="450"/>
      <c r="E2" s="359"/>
      <c r="G2" s="450" t="s">
        <v>182</v>
      </c>
      <c r="H2" s="450"/>
      <c r="I2" s="450"/>
      <c r="P2" s="451" t="s">
        <v>183</v>
      </c>
      <c r="Q2" s="451"/>
      <c r="R2" s="451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51" t="s">
        <v>183</v>
      </c>
      <c r="M8" s="451"/>
      <c r="N8" s="451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6" t="s">
        <v>264</v>
      </c>
      <c r="L3" s="456"/>
      <c r="M3" s="456" t="s">
        <v>265</v>
      </c>
      <c r="N3" s="456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ANDRES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46160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46167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7" t="s">
        <v>264</v>
      </c>
      <c r="B10" s="457"/>
      <c r="C10" s="457"/>
      <c r="D10" s="457"/>
      <c r="E10" s="457"/>
      <c r="F10" s="457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7" t="s">
        <v>265</v>
      </c>
      <c r="B17" s="457"/>
      <c r="C17" s="457"/>
      <c r="D17" s="457"/>
      <c r="E17" s="457"/>
      <c r="F17" s="457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7" t="s">
        <v>271</v>
      </c>
      <c r="B45" s="457"/>
      <c r="C45" s="457"/>
      <c r="D45" s="457"/>
      <c r="E45" s="457"/>
      <c r="F45" s="457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2" t="s">
        <v>95</v>
      </c>
      <c r="C47" s="453"/>
      <c r="D47" s="454"/>
      <c r="E47" s="454"/>
      <c r="F47" s="455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12161</v>
      </c>
      <c r="C2" s="1">
        <f>'NOTA DE VENTA'!$G$10</f>
        <v>46160</v>
      </c>
      <c r="D2" s="1">
        <f>'NOTA DE VENTA'!$G$11</f>
        <v>46167</v>
      </c>
      <c r="E2" t="str">
        <f>'NOTA DE VENTA'!$C$10</f>
        <v>ANDRES</v>
      </c>
      <c r="F2" t="str">
        <f>'NOTA DE VENTA'!$C$22</f>
        <v>CUB CON RESPALDO FTE 90° R6</v>
      </c>
      <c r="G2" t="str">
        <f>'NOTA DE VENTA'!$F$22</f>
        <v>WHITE LILY MOZAIC K108 MT</v>
      </c>
      <c r="H2" s="414">
        <f>'NOTA DE VENTA'!$H$25</f>
        <v>47855.403456790118</v>
      </c>
      <c r="I2" s="414">
        <f>H2*0.19</f>
        <v>9092.5266567901217</v>
      </c>
      <c r="J2" s="414">
        <f>I2+H2</f>
        <v>56947.930113580238</v>
      </c>
      <c r="L2" s="60">
        <f>J2-K2</f>
        <v>56947.930113580238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2026-05-18T13:54:11Z</cp:lastPrinted>
  <dcterms:created xsi:type="dcterms:W3CDTF">2013-03-18T13:35:42Z</dcterms:created>
  <dcterms:modified xsi:type="dcterms:W3CDTF">2026-05-19T21:27:31Z</dcterms:modified>
</cp:coreProperties>
</file>