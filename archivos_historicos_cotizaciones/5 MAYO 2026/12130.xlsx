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7A6B4938-838E-43C1-AD3A-EE07D077DB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S22" i="1"/>
  <c r="O31" i="1"/>
  <c r="L21" i="1"/>
  <c r="M21" i="1"/>
  <c r="N21" i="1"/>
  <c r="O22" i="1" l="1"/>
  <c r="P22" i="1"/>
  <c r="S21" i="1"/>
  <c r="T21" i="1"/>
  <c r="T24" i="1" s="1"/>
  <c r="O21" i="1"/>
  <c r="P21" i="1" s="1"/>
  <c r="P25" i="1" s="1"/>
  <c r="N5" i="6"/>
  <c r="A2" i="7"/>
  <c r="S26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/>
  <c r="L25" i="1" s="1"/>
  <c r="S27" i="1" l="1"/>
  <c r="K39" i="1"/>
  <c r="S28" i="1" l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2" i="1" l="1"/>
  <c r="G22" i="1" s="1"/>
  <c r="Q21" i="1"/>
  <c r="G21" i="1" s="1"/>
  <c r="O39" i="1"/>
  <c r="E15" i="3"/>
  <c r="R22" i="1" l="1"/>
  <c r="H22" i="1" s="1"/>
  <c r="R21" i="1"/>
  <c r="H21" i="1" s="1"/>
  <c r="F15" i="3"/>
  <c r="H24" i="1" l="1"/>
  <c r="H25" i="1" s="1"/>
  <c r="H26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0" i="3" s="1"/>
  <c r="X16" i="3"/>
  <c r="E13" i="3"/>
  <c r="M42" i="3"/>
  <c r="M46" i="3" s="1"/>
  <c r="M49" i="3" s="1"/>
  <c r="X14" i="3"/>
  <c r="D13" i="3"/>
  <c r="X12" i="3"/>
  <c r="X11" i="3"/>
  <c r="F11" i="3" l="1"/>
</calcChain>
</file>

<file path=xl/sharedStrings.xml><?xml version="1.0" encoding="utf-8"?>
<sst xmlns="http://schemas.openxmlformats.org/spreadsheetml/2006/main" count="488" uniqueCount="296">
  <si>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</si>
  <si>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</si>
  <si>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</si>
  <si>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</si>
  <si>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</si>
  <si>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</si>
  <si>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</si>
  <si>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</si>
  <si>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</si>
  <si>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</si>
  <si>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</si>
  <si>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</si>
  <si>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</si>
  <si>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</si>
  <si>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</si>
  <si>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</si>
  <si>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</si>
  <si>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</si>
  <si>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</si>
  <si>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</si>
  <si>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</si>
  <si>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</si>
  <si>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</si>
  <si>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</si>
  <si>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</si>
  <si>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</si>
  <si>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</si>
  <si>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</si>
  <si>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</si>
  <si>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</si>
  <si>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</si>
  <si>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</si>
  <si>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</si>
  <si>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</si>
  <si>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</si>
  <si>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</si>
  <si>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</si>
  <si>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</si>
  <si>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</si>
  <si>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</si>
  <si>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</si>
  <si>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</si>
  <si>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</si>
  <si>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</si>
  <si>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</si>
  <si>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</si>
  <si>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</si>
  <si>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</si>
  <si>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</si>
  <si>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</si>
  <si>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</si>
  <si>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</si>
  <si>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</si>
  <si>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</si>
  <si>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</si>
  <si>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</si>
  <si>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</si>
  <si>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</si>
  <si>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</si>
  <si>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</si>
  <si>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</si>
  <si>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</si>
  <si>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</si>
  <si>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</si>
  <si>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</si>
  <si>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</si>
  <si>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</si>
  <si>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</si>
  <si>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</si>
  <si>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</si>
  <si>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</si>
  <si>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</si>
  <si>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</si>
  <si>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</si>
  <si>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</si>
  <si>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</si>
  <si>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</si>
  <si>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</si>
  <si>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</si>
  <si>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</si>
  <si>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</si>
  <si>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</si>
  <si>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</si>
  <si>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</si>
  <si>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</si>
  <si>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</si>
  <si>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</si>
  <si>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</si>
  <si>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</si>
  <si>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</si>
  <si>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</si>
  <si>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</si>
  <si>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</si>
  <si>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</si>
  <si>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</si>
  <si>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</si>
  <si>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</si>
  <si>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</si>
  <si>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</si>
  <si>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</si>
  <si>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</si>
  <si>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</si>
  <si>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</si>
  <si>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</si>
  <si>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</si>
  <si>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</si>
  <si>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</si>
  <si>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</si>
  <si>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</si>
  <si>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</si>
  <si>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</si>
  <si>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</si>
  <si>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</si>
  <si>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</si>
  <si>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</si>
  <si>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</si>
  <si>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</si>
  <si>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</si>
  <si>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</si>
  <si>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</si>
  <si>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</si>
  <si>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</si>
  <si>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</si>
  <si>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</si>
  <si>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</si>
  <si>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</si>
  <si>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</si>
  <si>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</si>
  <si>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</si>
  <si>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</si>
  <si>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</si>
  <si>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</si>
  <si>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</si>
  <si>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</si>
  <si>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</si>
  <si>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</si>
  <si>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</si>
  <si>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</si>
  <si>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</si>
  <si>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</si>
  <si>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</si>
  <si>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</si>
  <si>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</si>
  <si>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</si>
  <si>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</si>
  <si>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</si>
  <si>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</si>
  <si>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</si>
  <si>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</si>
  <si>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</si>
  <si>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</si>
  <si>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</si>
  <si>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</si>
  <si>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</si>
  <si>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</si>
  <si>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</si>
  <si>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</si>
  <si>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</si>
  <si>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</si>
  <si>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</si>
  <si>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</si>
  <si>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</si>
  <si>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</si>
  <si>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</si>
  <si>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</si>
  <si>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</si>
  <si>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</si>
  <si>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</si>
  <si>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</si>
  <si>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</si>
  <si>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</si>
  <si>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</si>
  <si>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</si>
  <si>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</si>
  <si>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</si>
  <si>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</si>
  <si>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</si>
  <si>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</si>
  <si>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</si>
  <si>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</si>
  <si>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</si>
  <si>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</si>
  <si>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</si>
  <si>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</si>
  <si>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</si>
  <si>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</si>
  <si>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</si>
  <si>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</si>
  <si>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</si>
  <si>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</si>
  <si>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</si>
  <si>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</si>
  <si>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</si>
  <si>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</si>
  <si>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</si>
  <si>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</si>
  <si>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</si>
  <si>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</si>
  <si>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</si>
  <si>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</si>
  <si>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</si>
  <si>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</si>
  <si>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</si>
  <si>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</si>
  <si>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</si>
  <si>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</si>
  <si>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</si>
  <si>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</si>
  <si>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</si>
  <si>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</si>
  <si>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</si>
  <si>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</si>
  <si>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</si>
  <si>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</si>
  <si>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</si>
  <si>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</si>
  <si>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</si>
  <si>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</si>
  <si>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</si>
  <si>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</si>
  <si>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</si>
  <si>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</si>
  <si>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</si>
  <si>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</si>
  <si>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</si>
  <si>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</si>
  <si>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</si>
  <si>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</si>
  <si>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</si>
  <si>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</si>
  <si>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</si>
  <si>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</si>
  <si>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</si>
  <si>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</si>
  <si>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</si>
  <si>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</si>
  <si>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</si>
  <si>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</si>
  <si>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</si>
  <si>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</si>
  <si>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</si>
  <si>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</si>
  <si>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</si>
  <si>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</si>
  <si>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</si>
  <si>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</si>
  <si>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</si>
  <si>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</si>
  <si>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</si>
  <si>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</si>
  <si>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</si>
  <si>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</si>
  <si>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</si>
  <si>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</si>
  <si>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</si>
  <si>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</si>
  <si>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</si>
  <si>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</si>
  <si>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</si>
  <si>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</si>
  <si>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</si>
  <si>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</si>
  <si>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</si>
  <si>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</si>
  <si>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</si>
  <si>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</si>
  <si>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</si>
  <si>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</si>
  <si>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</si>
  <si>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</si>
  <si>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</si>
  <si>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</si>
  <si>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</si>
  <si>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</si>
  <si>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</si>
  <si>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</si>
  <si>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</si>
  <si>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</si>
  <si>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</si>
  <si>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</si>
  <si>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</si>
  <si>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</si>
  <si>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</si>
  <si>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</si>
  <si>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</si>
  <si>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</si>
  <si>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</si>
  <si>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</si>
  <si>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</si>
  <si>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TAPACANTO PVC 2MM</t>
  </si>
  <si>
    <t>5 DÍAS HÁBILES</t>
  </si>
  <si>
    <t>N° 12129</t>
  </si>
  <si>
    <t>ROSA MARIA VASQUEZ VENEGA</t>
  </si>
  <si>
    <t>+569 3425 8827</t>
  </si>
  <si>
    <t>CUB CON RESPALDO FTE 90°</t>
  </si>
  <si>
    <t>WHITE MARBLE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</si>
</sst>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0" fillId="0" borderId="0" xfId="0" quotePrefix="1" applyFont="1" applyAlignment="1">
      <alignment horizontal="left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215079</xdr:rowOff>
    </xdr:from>
    <xdr:to>
      <xdr:col>5</xdr:col>
      <xdr:colOff>1732649</xdr:colOff>
      <xdr:row>25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SOBRE MEDIDAS EN</a:t>
          </a:r>
          <a:r>
            <a:rPr lang="es-CL" sz="1200" b="1" baseline="0"/>
            <a:t> EL LARGO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C16" zoomScale="91" zoomScaleNormal="91" workbookViewId="0">
      <selection activeCell="M36" sqref="M3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8" t="s">
        <v>292</v>
      </c>
      <c r="D10" s="243"/>
      <c r="E10" s="243"/>
      <c r="F10" s="418" t="s">
        <v>275</v>
      </c>
      <c r="G10" s="275">
        <v>46154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F11" s="29" t="s">
        <v>284</v>
      </c>
      <c r="G11" s="420" t="s">
        <v>290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2" t="s">
        <v>132</v>
      </c>
      <c r="H13" s="421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2" t="s">
        <v>293</v>
      </c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8" t="s">
        <v>94</v>
      </c>
      <c r="C19" s="439"/>
      <c r="D19" s="439"/>
      <c r="E19" s="439"/>
      <c r="F19" s="439"/>
      <c r="G19" s="439"/>
      <c r="H19" s="440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129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O38</f>
        <v>54426.978557504866</v>
      </c>
      <c r="R20" s="257">
        <v>2000</v>
      </c>
      <c r="S20" s="38"/>
      <c r="T20" s="14" t="s">
        <v>126</v>
      </c>
      <c r="U20" s="9"/>
      <c r="X20" s="4"/>
    </row>
    <row r="21" spans="1:25" ht="17.399999999999999" x14ac:dyDescent="0.3">
      <c r="B21" s="312">
        <v>1</v>
      </c>
      <c r="C21" s="313" t="s">
        <v>294</v>
      </c>
      <c r="D21" s="430">
        <v>2.4300000000000002</v>
      </c>
      <c r="E21" s="430">
        <v>0.6</v>
      </c>
      <c r="F21" s="313" t="s">
        <v>295</v>
      </c>
      <c r="G21" s="314">
        <f>Q21</f>
        <v>81967.029707602327</v>
      </c>
      <c r="H21" s="431">
        <f>G21*B21</f>
        <v>81967.029707602327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2.5100000000000002</v>
      </c>
      <c r="N21" s="39">
        <f t="shared" ref="N21" si="2">E21+$N$19</f>
        <v>0.6</v>
      </c>
      <c r="O21" s="260">
        <f t="shared" ref="O21" si="3">M21*N21</f>
        <v>1.506</v>
      </c>
      <c r="P21" s="258">
        <f t="shared" ref="P21" si="4">O21*L21</f>
        <v>1.506</v>
      </c>
      <c r="Q21" s="251">
        <f t="shared" ref="Q21" si="5">Q$20*O21</f>
        <v>81967.029707602327</v>
      </c>
      <c r="R21" s="305">
        <f t="shared" ref="R21" si="6">Q21+R$20</f>
        <v>83967.029707602327</v>
      </c>
      <c r="S21" s="290">
        <f>M21*L21*2</f>
        <v>5.0200000000000005</v>
      </c>
      <c r="T21" s="46">
        <f>N21*L21*2</f>
        <v>1.2</v>
      </c>
      <c r="U21" s="9"/>
      <c r="X21" s="4"/>
    </row>
    <row r="22" spans="1:25" ht="18" thickBot="1" x14ac:dyDescent="0.35">
      <c r="B22" s="433">
        <v>2</v>
      </c>
      <c r="C22" s="434" t="s">
        <v>294</v>
      </c>
      <c r="D22" s="435">
        <v>1.23</v>
      </c>
      <c r="E22" s="435">
        <v>0.6</v>
      </c>
      <c r="F22" s="434" t="s">
        <v>295</v>
      </c>
      <c r="G22" s="436">
        <f>Q22</f>
        <v>42779.605146198825</v>
      </c>
      <c r="H22" s="437">
        <f t="shared" ref="H22" si="7">G22*B22</f>
        <v>85559.210292397649</v>
      </c>
      <c r="I22" s="306"/>
      <c r="J22" s="264"/>
      <c r="K22" s="47"/>
      <c r="L22" s="47">
        <f t="shared" ref="L22" si="8">B22</f>
        <v>2</v>
      </c>
      <c r="M22" s="39">
        <f t="shared" ref="M22" si="9">D22+M$19</f>
        <v>1.31</v>
      </c>
      <c r="N22" s="39">
        <f t="shared" ref="N22" si="10">E22+$N$19</f>
        <v>0.6</v>
      </c>
      <c r="O22" s="260">
        <f t="shared" ref="O22" si="11">M22*N22</f>
        <v>0.78600000000000003</v>
      </c>
      <c r="P22" s="258">
        <f t="shared" ref="P22" si="12">O22*L22</f>
        <v>1.5720000000000001</v>
      </c>
      <c r="Q22" s="251">
        <f t="shared" ref="Q22" si="13">Q$20*O22</f>
        <v>42779.605146198825</v>
      </c>
      <c r="R22" s="305">
        <f t="shared" ref="R22" si="14">Q22+R$20</f>
        <v>44779.605146198825</v>
      </c>
      <c r="S22" s="290">
        <f t="shared" ref="S22" si="15">M22*L22*2</f>
        <v>5.24</v>
      </c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167526.24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SUM(T21:T23)</f>
        <v>1.2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50</v>
      </c>
      <c r="H25" s="287">
        <f>H24*19%</f>
        <v>31829.9856</v>
      </c>
      <c r="I25" s="308"/>
      <c r="J25" s="264"/>
      <c r="K25" s="47"/>
      <c r="L25" s="429">
        <f>M25*10</f>
        <v>38.200000000000003</v>
      </c>
      <c r="M25" s="39">
        <f>SUM(M21:M24)</f>
        <v>3.8200000000000003</v>
      </c>
      <c r="N25" s="12"/>
      <c r="O25" s="12"/>
      <c r="P25" s="252">
        <f>SUM(P21:P22)</f>
        <v>3.0780000000000003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199356.22560000001</v>
      </c>
      <c r="I26" s="308"/>
      <c r="J26" s="264"/>
      <c r="K26" s="47"/>
      <c r="L26" s="47"/>
      <c r="M26" s="39"/>
      <c r="N26" s="12"/>
      <c r="O26" s="12"/>
      <c r="P26" s="252">
        <f>P25</f>
        <v>3.0780000000000003</v>
      </c>
      <c r="Q26" s="14"/>
      <c r="R26" s="12"/>
      <c r="S26" s="239">
        <f>SUM(S21:S25)</f>
        <v>10.260000000000002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0.61560000000000015</v>
      </c>
      <c r="Q27" s="39" t="s">
        <v>128</v>
      </c>
      <c r="R27" s="42"/>
      <c r="S27" s="240">
        <f>S26+T24</f>
        <v>11.46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3.6936000000000004</v>
      </c>
      <c r="Q28" s="14"/>
      <c r="R28" s="14"/>
      <c r="S28" s="238">
        <f>S27*20%</f>
        <v>2.2920000000000003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13.752000000000001</v>
      </c>
      <c r="T29" s="14"/>
      <c r="U29" s="294" t="s">
        <v>21</v>
      </c>
      <c r="V29" s="291" t="s">
        <v>147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3.6936000000000004</v>
      </c>
      <c r="N30" s="12">
        <v>4000</v>
      </c>
      <c r="O30" s="12">
        <f t="shared" ref="O30:O35" si="16">M30*N30</f>
        <v>14774.400000000001</v>
      </c>
      <c r="P30" s="14" t="s">
        <v>21</v>
      </c>
      <c r="Q30" s="14"/>
      <c r="R30" s="14"/>
      <c r="S30" s="241"/>
      <c r="T30" s="14"/>
      <c r="U30" s="294" t="s">
        <v>148</v>
      </c>
      <c r="V30" s="291">
        <v>3625</v>
      </c>
      <c r="W30" s="59" t="s">
        <v>149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1</v>
      </c>
      <c r="N31" s="12">
        <v>25000</v>
      </c>
      <c r="O31" s="12">
        <f t="shared" si="16"/>
        <v>25000</v>
      </c>
      <c r="P31" s="39" t="s">
        <v>286</v>
      </c>
      <c r="Q31" s="42"/>
      <c r="R31" s="14"/>
      <c r="S31" s="240"/>
      <c r="T31" s="14"/>
      <c r="U31" s="294"/>
      <c r="V31" s="59">
        <v>906.25</v>
      </c>
      <c r="W31" s="59" t="s">
        <v>150</v>
      </c>
      <c r="X31" s="296"/>
    </row>
    <row r="32" spans="1:25" s="230" customFormat="1" ht="17.399999999999999" x14ac:dyDescent="0.35">
      <c r="B32" s="24" t="s">
        <v>146</v>
      </c>
      <c r="J32" s="261"/>
      <c r="K32" s="232"/>
      <c r="L32" s="249"/>
      <c r="M32" s="14"/>
      <c r="N32" s="249">
        <v>33975</v>
      </c>
      <c r="O32" s="12">
        <f t="shared" si="16"/>
        <v>0</v>
      </c>
      <c r="P32" s="39" t="s">
        <v>287</v>
      </c>
      <c r="Q32" s="42"/>
      <c r="S32" s="240"/>
      <c r="T32" s="255"/>
      <c r="U32" s="59"/>
      <c r="V32" s="59">
        <f>V31*20%</f>
        <v>181.25</v>
      </c>
      <c r="W32" s="296" t="s">
        <v>151</v>
      </c>
      <c r="X32" s="59"/>
    </row>
    <row r="33" spans="1:24" s="230" customFormat="1" ht="17.399999999999999" x14ac:dyDescent="0.35">
      <c r="B33" s="24" t="s">
        <v>160</v>
      </c>
      <c r="C33"/>
      <c r="D33"/>
      <c r="E33"/>
      <c r="F33"/>
      <c r="J33" s="261"/>
      <c r="K33" s="232"/>
      <c r="L33" s="249"/>
      <c r="M33" s="14">
        <v>2</v>
      </c>
      <c r="N33" s="249">
        <v>20000</v>
      </c>
      <c r="O33" s="12">
        <f t="shared" si="16"/>
        <v>40000</v>
      </c>
      <c r="P33" s="14" t="s">
        <v>288</v>
      </c>
      <c r="Q33" s="17"/>
      <c r="S33" s="238"/>
      <c r="T33" s="255"/>
      <c r="U33" s="59"/>
      <c r="V33" s="59">
        <f>V31+V32</f>
        <v>1087.5</v>
      </c>
      <c r="W33" s="296" t="s">
        <v>152</v>
      </c>
      <c r="X33" s="59"/>
    </row>
    <row r="34" spans="1:24" s="230" customFormat="1" ht="17.399999999999999" x14ac:dyDescent="0.35">
      <c r="A34" s="230" t="s">
        <v>281</v>
      </c>
      <c r="B34" s="29" t="s">
        <v>123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90000</v>
      </c>
      <c r="O34" s="12">
        <f t="shared" si="16"/>
        <v>0</v>
      </c>
      <c r="P34" s="14" t="s">
        <v>289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2000</v>
      </c>
      <c r="O35" s="12">
        <f t="shared" si="16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79774.399999999994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32</v>
      </c>
      <c r="N37" s="12"/>
      <c r="O37" s="254">
        <f>O36*2.1</f>
        <v>167526.24</v>
      </c>
      <c r="P37" s="14" t="s">
        <v>137</v>
      </c>
      <c r="Q37" s="14"/>
      <c r="R37" s="40">
        <f>P28/R36</f>
        <v>0.99590163934426235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51290</v>
      </c>
      <c r="L38" s="249"/>
      <c r="M38" s="14"/>
      <c r="N38" s="12"/>
      <c r="O38" s="12">
        <f>O37/P26</f>
        <v>54426.978557504866</v>
      </c>
      <c r="P38" s="45" t="s">
        <v>24</v>
      </c>
      <c r="Q38" s="14"/>
      <c r="R38" s="14"/>
      <c r="S38"/>
      <c r="T38" s="238"/>
      <c r="U38" s="59" t="s">
        <v>153</v>
      </c>
      <c r="V38" s="291">
        <v>43650</v>
      </c>
    </row>
    <row r="39" spans="1:24" s="230" customFormat="1" ht="17.399999999999999" x14ac:dyDescent="0.35">
      <c r="G39"/>
      <c r="K39" s="230">
        <f>K38/1.19</f>
        <v>43100.840336134454</v>
      </c>
      <c r="L39" s="249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155</v>
      </c>
      <c r="V39" s="292" t="s">
        <v>154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156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151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143</v>
      </c>
    </row>
    <row r="74" spans="3:15" x14ac:dyDescent="0.3">
      <c r="C74" t="s">
        <v>142</v>
      </c>
    </row>
    <row r="77" spans="3:15" x14ac:dyDescent="0.3">
      <c r="C77" t="s">
        <v>142</v>
      </c>
    </row>
    <row r="154" spans="3:3" x14ac:dyDescent="0.3">
      <c r="C154" t="s">
        <v>142</v>
      </c>
    </row>
    <row r="155" spans="3:3" x14ac:dyDescent="0.3">
      <c r="C155" t="s">
        <v>144</v>
      </c>
    </row>
    <row r="156" spans="3:3" x14ac:dyDescent="0.3">
      <c r="C156" t="s">
        <v>145</v>
      </c>
    </row>
    <row r="581" spans="3:3" x14ac:dyDescent="0.3">
      <c r="C581" t="s">
        <v>142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46154</v>
      </c>
    </row>
    <row r="6" spans="2:31" ht="16.2" thickBot="1" x14ac:dyDescent="0.35">
      <c r="B6" s="140" t="s">
        <v>2</v>
      </c>
      <c r="C6" s="139" t="str">
        <f>'2229'!C10</f>
        <v>ROSA MARIA VASQUEZ VENEGA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2" t="s">
        <v>97</v>
      </c>
      <c r="I7" s="443"/>
      <c r="J7" s="443"/>
      <c r="K7" s="444"/>
      <c r="N7" s="75"/>
      <c r="O7" s="441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12129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1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-8778.7050334541054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'2229'!H24</f>
        <v>167526.24</v>
      </c>
      <c r="E11" s="132">
        <f>D11*0.19</f>
        <v>31829.9856</v>
      </c>
      <c r="F11" s="131">
        <f>E11+D11</f>
        <v>199356.22560000001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97211.294966545887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69608.490787439616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79211.294966545887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97917.749212560375</v>
      </c>
      <c r="E13" s="221">
        <f>(D11/D12)-1</f>
        <v>1.4066926046646735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70211.294966545887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31211.294966545895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114854.00979927536</v>
      </c>
      <c r="F15" s="216">
        <f>E15-D12</f>
        <v>45245.519011835742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31211.294966545895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71211.294966545887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'2229'!O31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14774.400000000001</v>
      </c>
      <c r="E20" s="121">
        <f>D20*0.19</f>
        <v>2807.1360000000004</v>
      </c>
      <c r="F20" s="120">
        <f>SUM(D20:E20)</f>
        <v>17581.536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39774.400000000001</v>
      </c>
      <c r="E21" s="116">
        <f>SUM(E18:E20)</f>
        <v>7557.1360000000004</v>
      </c>
      <c r="F21" s="115">
        <f>SUM(F18:F20)</f>
        <v>47331.536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24272.849600000001</v>
      </c>
    </row>
    <row r="41" spans="2:16" ht="15" thickBot="1" x14ac:dyDescent="0.35">
      <c r="H41" s="445" t="s">
        <v>59</v>
      </c>
      <c r="I41" s="446"/>
      <c r="J41" s="446"/>
      <c r="K41" s="446"/>
      <c r="L41" s="446"/>
      <c r="M41" s="447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167526.24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39774.400000000001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97917.749212560375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97917.749212560375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12129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ROSA MARIA VASQUEZ VENEGA</v>
      </c>
      <c r="D10" s="350"/>
      <c r="E10" s="350"/>
      <c r="F10" s="351" t="s">
        <v>165</v>
      </c>
      <c r="G10" s="352">
        <f>'2229'!G10</f>
        <v>46154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46161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+569 3425 8827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8" t="s">
        <v>173</v>
      </c>
      <c r="G17" s="448"/>
      <c r="H17" s="449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0" t="s">
        <v>174</v>
      </c>
      <c r="C20" s="451"/>
      <c r="D20" s="451"/>
      <c r="E20" s="451"/>
      <c r="F20" s="451"/>
      <c r="G20" s="451"/>
      <c r="H20" s="452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3" t="s">
        <v>180</v>
      </c>
      <c r="C2" s="453"/>
      <c r="D2" s="453"/>
      <c r="E2" s="361"/>
      <c r="G2" s="453" t="s">
        <v>181</v>
      </c>
      <c r="H2" s="453"/>
      <c r="I2" s="453"/>
      <c r="P2" s="454" t="s">
        <v>182</v>
      </c>
      <c r="Q2" s="454"/>
      <c r="R2" s="454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4" t="s">
        <v>182</v>
      </c>
      <c r="M8" s="454"/>
      <c r="N8" s="454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9" t="s">
        <v>263</v>
      </c>
      <c r="L3" s="459"/>
      <c r="M3" s="459" t="s">
        <v>264</v>
      </c>
      <c r="N3" s="459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ROSA MARIA VASQUEZ VENEGA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46154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46161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0" t="s">
        <v>263</v>
      </c>
      <c r="B10" s="460"/>
      <c r="C10" s="460"/>
      <c r="D10" s="460"/>
      <c r="E10" s="460"/>
      <c r="F10" s="460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0" t="s">
        <v>264</v>
      </c>
      <c r="B17" s="460"/>
      <c r="C17" s="460"/>
      <c r="D17" s="460"/>
      <c r="E17" s="460"/>
      <c r="F17" s="460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0" t="s">
        <v>270</v>
      </c>
      <c r="B45" s="460"/>
      <c r="C45" s="460"/>
      <c r="D45" s="460"/>
      <c r="E45" s="460"/>
      <c r="F45" s="460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5" t="s">
        <v>94</v>
      </c>
      <c r="C47" s="456"/>
      <c r="D47" s="457"/>
      <c r="E47" s="457"/>
      <c r="F47" s="458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12129</v>
      </c>
      <c r="C2" s="1">
        <f>'NOTA DE VENTA'!$G$10</f>
        <v>46154</v>
      </c>
      <c r="D2" s="1">
        <f>'NOTA DE VENTA'!$G$11</f>
        <v>46161</v>
      </c>
      <c r="E2" t="str">
        <f>'NOTA DE VENTA'!$C$10</f>
        <v>ROSA MARIA VASQUEZ VENEGA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2026-05-12T16:41:04Z</cp:lastPrinted>
  <dcterms:created xsi:type="dcterms:W3CDTF">2013-03-18T13:35:42Z</dcterms:created>
  <dcterms:modified xsi:type="dcterms:W3CDTF">2026-05-12T19:45:12Z</dcterms:modified>
</cp:coreProperties>
</file>