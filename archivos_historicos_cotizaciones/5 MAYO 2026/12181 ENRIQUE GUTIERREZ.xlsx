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D4DCD4D1-234D-40DC-B012-43735B46B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3" i="1" s="1"/>
  <c r="H25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<sst xmlns="http://schemas.openxmlformats.org/spreadsheetml/2006/main" count="487" uniqueCount="295">
  <si>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</si>
  <si>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</si>
  <si>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</si>
  <si>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</si>
  <si>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</si>
  <si>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</si>
  <si>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</si>
  <si>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</si>
  <si>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</si>
  <si>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</si>
  <si>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</si>
  <si>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</si>
  <si>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</si>
  <si>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</si>
  <si>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</si>
  <si>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</si>
  <si>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</si>
  <si>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</si>
  <si>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</si>
  <si>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</si>
  <si>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</si>
  <si>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</si>
  <si>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</si>
  <si>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</si>
  <si>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</si>
  <si>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</si>
  <si>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</si>
  <si>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</si>
  <si>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</si>
  <si>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</si>
  <si>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</si>
  <si>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</si>
  <si>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</si>
  <si>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</si>
  <si>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</si>
  <si>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</si>
  <si>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</si>
  <si>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</si>
  <si>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</si>
  <si>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</si>
  <si>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</si>
  <si>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</si>
  <si>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</si>
  <si>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</si>
  <si>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</si>
  <si>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</si>
  <si>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</si>
  <si>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</si>
  <si>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</si>
  <si>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</si>
  <si>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</si>
  <si>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</si>
  <si>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</si>
  <si>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</si>
  <si>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</si>
  <si>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</si>
  <si>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</si>
  <si>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</si>
  <si>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</si>
  <si>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</si>
  <si>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</si>
  <si>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</si>
  <si>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</si>
  <si>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</si>
  <si>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</si>
  <si>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</si>
  <si>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</si>
  <si>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</si>
  <si>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</si>
  <si>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</si>
  <si>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</si>
  <si>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</si>
  <si>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</si>
  <si>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</si>
  <si>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</si>
  <si>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</si>
  <si>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</si>
  <si>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</si>
  <si>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</si>
  <si>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</si>
  <si>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</si>
  <si>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</si>
  <si>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</si>
  <si>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</si>
  <si>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</si>
  <si>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</si>
  <si>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</si>
  <si>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</si>
  <si>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</si>
  <si>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</si>
  <si>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</si>
  <si>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</si>
  <si>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</si>
  <si>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</si>
  <si>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</si>
  <si>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</si>
  <si>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</si>
  <si>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</si>
  <si>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</si>
  <si>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</si>
  <si>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</si>
  <si>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</si>
  <si>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</si>
  <si>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</si>
  <si>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</si>
  <si>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</si>
  <si>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</si>
  <si>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</si>
  <si>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</si>
  <si>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</si>
  <si>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</si>
  <si>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</si>
  <si>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</si>
  <si>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</si>
  <si>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</si>
  <si>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</si>
  <si>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</si>
  <si>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</si>
  <si>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</si>
  <si>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</si>
  <si>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</si>
  <si>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</si>
  <si>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</si>
  <si>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</si>
  <si>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</si>
  <si>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</si>
  <si>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</si>
  <si>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</si>
  <si>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</si>
  <si>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</si>
  <si>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</si>
  <si>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</si>
  <si>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</si>
  <si>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</si>
  <si>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</si>
  <si>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</si>
  <si>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</si>
  <si>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</si>
  <si>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</si>
  <si>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</si>
  <si>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</si>
  <si>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</si>
  <si>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</si>
  <si>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</si>
  <si>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</si>
  <si>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</si>
  <si>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</si>
  <si>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</si>
  <si>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</si>
  <si>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</si>
  <si>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</si>
  <si>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</si>
  <si>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</si>
  <si>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</si>
  <si>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</si>
  <si>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</si>
  <si>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</si>
  <si>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</si>
  <si>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</si>
  <si>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</si>
  <si>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</si>
  <si>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</si>
  <si>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</si>
  <si>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</si>
  <si>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</si>
  <si>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</si>
  <si>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</si>
  <si>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</si>
  <si>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</si>
  <si>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</si>
  <si>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</si>
  <si>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</si>
  <si>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</si>
  <si>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</si>
  <si>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</si>
  <si>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</si>
  <si>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</si>
  <si>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</si>
  <si>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</si>
  <si>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</si>
  <si>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</si>
  <si>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</si>
  <si>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</si>
  <si>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</si>
  <si>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</si>
  <si>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</si>
  <si>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</si>
  <si>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</si>
  <si>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</si>
  <si>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</si>
  <si>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</si>
  <si>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</si>
  <si>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</si>
  <si>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</si>
  <si>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</si>
  <si>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</si>
  <si>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</si>
  <si>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</si>
  <si>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</si>
  <si>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</si>
  <si>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</si>
  <si>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</si>
  <si>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</si>
  <si>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</si>
  <si>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</si>
  <si>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</si>
  <si>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</si>
  <si>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</si>
  <si>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</si>
  <si>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</si>
  <si>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</si>
  <si>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</si>
  <si>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</si>
  <si>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</si>
  <si>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</si>
  <si>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</si>
  <si>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</si>
  <si>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</si>
  <si>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</si>
  <si>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</si>
  <si>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</si>
  <si>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</si>
  <si>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</si>
  <si>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</si>
  <si>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</si>
  <si>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</si>
  <si>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</si>
  <si>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</si>
  <si>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</si>
  <si>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</si>
  <si>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</si>
  <si>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</si>
  <si>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</si>
  <si>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</si>
  <si>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</si>
  <si>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</si>
  <si>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</si>
  <si>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</si>
  <si>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</si>
  <si>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</si>
  <si>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</si>
  <si>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</si>
  <si>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</si>
  <si>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</si>
  <si>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</si>
  <si>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</si>
  <si>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</si>
  <si>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</si>
  <si>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</si>
  <si>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</si>
  <si>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</si>
  <si>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</si>
  <si>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</si>
  <si>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</si>
  <si>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</si>
  <si>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</si>
  <si>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</si>
  <si>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</si>
  <si>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</si>
  <si>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</si>
  <si>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</si>
  <si>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</si>
  <si>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</si>
  <si>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</si>
  <si>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</si>
  <si>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</si>
  <si>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</si>
  <si>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</si>
  <si>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</si>
  <si>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</si>
  <si>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</si>
  <si>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</si>
  <si>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</si>
  <si>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</si>
  <si>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</si>
  <si>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</si>
  <si>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</si>
  <si>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</si>
  <si>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</si>
  <si>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</si>
  <si>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</si>
  <si>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</si>
  <si>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</si>
  <si>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</si>
  <si>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</si>
  <si>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</si>
  <si>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</si>
  <si>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</si>
  <si>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 DE MUEBLES</t>
  </si>
  <si>
    <t>5 DIAS HABILES</t>
  </si>
  <si>
    <t>CUB C/R FRENTE 180°</t>
  </si>
  <si>
    <t>TIPO CUARZO</t>
  </si>
  <si>
    <t>N° 12181</t>
  </si>
  <si>
    <t>ENRIQUE GUTIERREZ</t>
  </si>
  <si>
    <t>5697865 8972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</si>
</sst>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293</v>
      </c>
      <c r="D10" s="243"/>
      <c r="E10" s="243"/>
      <c r="F10" s="417" t="s">
        <v>277</v>
      </c>
      <c r="G10" s="275">
        <v>46171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 t="s">
        <v>288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294</v>
      </c>
      <c r="D15" s="424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119068.12499999999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290</v>
      </c>
      <c r="D21" s="430">
        <v>1.2</v>
      </c>
      <c r="E21" s="430">
        <v>0.5</v>
      </c>
      <c r="F21" s="429" t="s">
        <v>291</v>
      </c>
      <c r="G21" s="431">
        <v>76204</v>
      </c>
      <c r="H21" s="431">
        <f>G21*B21</f>
        <v>76204</v>
      </c>
      <c r="I21" s="306"/>
      <c r="J21" s="264"/>
      <c r="K21" s="47"/>
      <c r="L21" s="47">
        <f>B21</f>
        <v>1</v>
      </c>
      <c r="M21" s="39">
        <f>D21+M$19</f>
        <v>1.28</v>
      </c>
      <c r="N21" s="39">
        <f>E21+$N$19</f>
        <v>0.5</v>
      </c>
      <c r="O21" s="260">
        <f t="shared" ref="O21" si="0">M21*N21</f>
        <v>0.64</v>
      </c>
      <c r="P21" s="258">
        <f t="shared" ref="P21" si="1">O21*L21</f>
        <v>0.64</v>
      </c>
      <c r="Q21" s="251">
        <f t="shared" ref="Q21" si="2">Q$20*O21</f>
        <v>76203.599999999991</v>
      </c>
      <c r="R21" s="305">
        <f t="shared" ref="R21" si="3">Q21+R$20</f>
        <v>79203.599999999991</v>
      </c>
      <c r="S21" s="290">
        <f>M21*L21</f>
        <v>1.28</v>
      </c>
      <c r="T21" s="46">
        <f>N21*2*L21*2</f>
        <v>2</v>
      </c>
      <c r="U21" s="9"/>
      <c r="X21" s="4"/>
    </row>
    <row r="22" spans="2:25" ht="18" thickBot="1" x14ac:dyDescent="0.35">
      <c r="B22" s="283"/>
      <c r="C22" s="324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283"/>
      <c r="C23" s="324"/>
      <c r="D23" s="284"/>
      <c r="E23" s="284"/>
      <c r="F23" s="283"/>
      <c r="G23" s="309" t="s">
        <v>28</v>
      </c>
      <c r="H23" s="310">
        <f>SUM(H21:H22)</f>
        <v>76204</v>
      </c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4"/>
      <c r="D24" s="284"/>
      <c r="E24" s="284"/>
      <c r="F24" s="283"/>
      <c r="G24" s="289" t="s">
        <v>51</v>
      </c>
      <c r="H24" s="287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78" t="s">
        <v>6</v>
      </c>
      <c r="H25" s="288">
        <f>H23+H24</f>
        <v>76204</v>
      </c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I27" s="307"/>
      <c r="J27" s="264"/>
      <c r="K27" s="47"/>
      <c r="L27" s="47"/>
      <c r="M27" s="39">
        <f>SUM(M21:M26)</f>
        <v>1.28</v>
      </c>
      <c r="N27" s="12"/>
      <c r="O27" s="12"/>
      <c r="P27" s="252">
        <f>SUM(P21:P21)</f>
        <v>0.64</v>
      </c>
      <c r="Q27" s="14"/>
      <c r="R27" s="12"/>
      <c r="S27" s="239"/>
      <c r="T27" s="46"/>
      <c r="U27" s="9"/>
      <c r="X27" s="4"/>
    </row>
    <row r="28" spans="2:25" ht="17.399999999999999" x14ac:dyDescent="0.3">
      <c r="B28" s="274"/>
      <c r="C28" s="279"/>
      <c r="D28" s="271"/>
      <c r="E28" s="271"/>
      <c r="F28" s="272"/>
      <c r="I28" s="307"/>
      <c r="J28" s="264"/>
      <c r="K28" s="47"/>
      <c r="L28" s="47"/>
      <c r="M28" s="39"/>
      <c r="N28" s="12"/>
      <c r="O28" s="12"/>
      <c r="P28" s="252">
        <f>P27</f>
        <v>0.64</v>
      </c>
      <c r="Q28" s="14"/>
      <c r="R28" s="12"/>
      <c r="S28" s="239">
        <f>SUM(S21:S27)</f>
        <v>1.28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0.128</v>
      </c>
      <c r="Q29" s="39" t="s">
        <v>129</v>
      </c>
      <c r="R29" s="42"/>
      <c r="S29" s="240">
        <f>S28+T26</f>
        <v>3.2800000000000002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0.76800000000000002</v>
      </c>
      <c r="Q30" s="14"/>
      <c r="R30" s="14"/>
      <c r="S30" s="238">
        <f>S29*20%</f>
        <v>0.65600000000000014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3.9360000000000004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0.76800000000000002</v>
      </c>
      <c r="N32" s="12">
        <v>4000</v>
      </c>
      <c r="O32" s="12">
        <f t="shared" ref="O32:O37" si="4">M32*N32</f>
        <v>3072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0.3</v>
      </c>
      <c r="N33" s="12">
        <v>25000</v>
      </c>
      <c r="O33" s="12">
        <f t="shared" si="4"/>
        <v>7500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20000</v>
      </c>
      <c r="O35" s="12">
        <f t="shared" si="4"/>
        <v>20000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1.28</v>
      </c>
      <c r="N37" s="12">
        <v>2000</v>
      </c>
      <c r="O37" s="12">
        <f t="shared" si="4"/>
        <v>2560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33132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O38*2.3</f>
        <v>76203.599999999991</v>
      </c>
      <c r="P39" s="14" t="s">
        <v>138</v>
      </c>
      <c r="Q39" s="14"/>
      <c r="R39" s="40">
        <f>P30/R38</f>
        <v>0.20707506471095771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119068.12499999999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2.2999999999999998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46171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-1588.9917001207723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76204</v>
      </c>
      <c r="E11" s="132">
        <f>D11*0.19</f>
        <v>14478.76</v>
      </c>
      <c r="F11" s="131">
        <f>E11+D11</f>
        <v>90682.76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104401.00829987923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40406.090787439614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86401.008299879235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35797.909212560386</v>
      </c>
      <c r="E13" s="221">
        <f>(D11/D12)-1</f>
        <v>0.88595329354871177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77401.008299879235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38401.008299879228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66670.049799275366</v>
      </c>
      <c r="F15" s="216">
        <f>E15-D12</f>
        <v>26263.959011835752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38401.008299879228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78401.008299879235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3072</v>
      </c>
      <c r="E20" s="121">
        <f>D20*0.19</f>
        <v>583.68000000000006</v>
      </c>
      <c r="F20" s="120">
        <f>SUM(D20:E20)</f>
        <v>3655.6800000000003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10572</v>
      </c>
      <c r="E21" s="116">
        <f>SUM(E18:E20)</f>
        <v>2008.68</v>
      </c>
      <c r="F21" s="115">
        <f>SUM(F18:F20)</f>
        <v>12580.68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12470.08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76204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10572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35797.909212560386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35797.909212560386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12181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ENRIQUE GUTIERREZ</v>
      </c>
      <c r="D10" s="349"/>
      <c r="E10" s="349"/>
      <c r="F10" s="350" t="s">
        <v>167</v>
      </c>
      <c r="G10" s="351">
        <f>'2229'!G10</f>
        <v>46171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>FCA DE MUEBLES</v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5697865 8972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C/R FRENTE 180°</v>
      </c>
      <c r="D22" s="320">
        <f>'2229'!D21*1000</f>
        <v>1200</v>
      </c>
      <c r="E22" s="320">
        <f>'2229'!E21*1000</f>
        <v>500</v>
      </c>
      <c r="F22" s="321" t="str">
        <f>'2229'!F21</f>
        <v>TIPO CUARZO</v>
      </c>
      <c r="G22" s="313">
        <f>'2229'!G21</f>
        <v>76204</v>
      </c>
      <c r="H22" s="322">
        <f>G22*B22</f>
        <v>76204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76204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14478.76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90682.76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ENRIQUE GUTIERREZ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12181</v>
      </c>
      <c r="C2" s="1">
        <f>'NOTA DE VENTA'!$G$10</f>
        <v>46171</v>
      </c>
      <c r="D2" s="1">
        <f>'NOTA DE VENTA'!$G$11</f>
        <v>46178</v>
      </c>
      <c r="E2" t="str">
        <f>'NOTA DE VENTA'!$C$10</f>
        <v>ENRIQUE GUTIERREZ</v>
      </c>
      <c r="F2" t="str">
        <f>'NOTA DE VENTA'!$C$22</f>
        <v>CUB C/R FRENTE 180°</v>
      </c>
      <c r="G2" t="str">
        <f>'NOTA DE VENTA'!$F$22</f>
        <v>TIPO CUARZO</v>
      </c>
      <c r="H2" s="415">
        <f>'NOTA DE VENTA'!$H$25</f>
        <v>76204</v>
      </c>
      <c r="I2" s="415">
        <f>H2*0.19</f>
        <v>14478.76</v>
      </c>
      <c r="J2" s="415">
        <f>I2+H2</f>
        <v>90682.76</v>
      </c>
      <c r="L2" s="61">
        <f>J2-K2</f>
        <v>90682.76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2026-05-29T19:21:19Z</dcterms:modified>
</cp:coreProperties>
</file>