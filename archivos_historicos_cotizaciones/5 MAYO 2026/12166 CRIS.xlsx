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B018FE09-4416-4DEC-8296-57B0E2D2F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L22" i="1"/>
  <c r="M22" i="1"/>
  <c r="O22" i="1" s="1"/>
  <c r="N22" i="1"/>
  <c r="S22" i="1" l="1"/>
  <c r="P22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<sst xmlns="http://schemas.openxmlformats.org/spreadsheetml/2006/main" count="488" uniqueCount="294">
  <si>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</si>
  <si>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</si>
  <si>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</si>
  <si>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</si>
  <si>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</si>
  <si>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</si>
  <si>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</si>
  <si>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</si>
  <si>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</si>
  <si>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</si>
  <si>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</si>
  <si>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</si>
  <si>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</si>
  <si>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</si>
  <si>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</si>
  <si>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</si>
  <si>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</si>
  <si>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</si>
  <si>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</si>
  <si>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</si>
  <si>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</si>
  <si>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</si>
  <si>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</si>
  <si>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</si>
  <si>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</si>
  <si>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</si>
  <si>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</si>
  <si>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</si>
  <si>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</si>
  <si>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</si>
  <si>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</si>
  <si>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</si>
  <si>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</si>
  <si>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</si>
  <si>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</si>
  <si>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</si>
  <si>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</si>
  <si>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</si>
  <si>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</si>
  <si>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</si>
  <si>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</si>
  <si>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</si>
  <si>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</si>
  <si>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</si>
  <si>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</si>
  <si>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</si>
  <si>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</si>
  <si>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</si>
  <si>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</si>
  <si>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</si>
  <si>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</si>
  <si>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</si>
  <si>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</si>
  <si>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</si>
  <si>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</si>
  <si>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</si>
  <si>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</si>
  <si>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</si>
  <si>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</si>
  <si>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</si>
  <si>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</si>
  <si>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</si>
  <si>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</si>
  <si>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</si>
  <si>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</si>
  <si>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</si>
  <si>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</si>
  <si>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</si>
  <si>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</si>
  <si>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</si>
  <si>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</si>
  <si>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</si>
  <si>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</si>
  <si>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</si>
  <si>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</si>
  <si>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</si>
  <si>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</si>
  <si>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</si>
  <si>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</si>
  <si>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</si>
  <si>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</si>
  <si>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</si>
  <si>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</si>
  <si>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</si>
  <si>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</si>
  <si>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</si>
  <si>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</si>
  <si>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</si>
  <si>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</si>
  <si>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</si>
  <si>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</si>
  <si>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</si>
  <si>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</si>
  <si>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</si>
  <si>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</si>
  <si>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</si>
  <si>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</si>
  <si>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</si>
  <si>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</si>
  <si>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</si>
  <si>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</si>
  <si>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</si>
  <si>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</si>
  <si>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</si>
  <si>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</si>
  <si>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</si>
  <si>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</si>
  <si>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</si>
  <si>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</si>
  <si>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</si>
  <si>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</si>
  <si>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</si>
  <si>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</si>
  <si>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</si>
  <si>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</si>
  <si>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</si>
  <si>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</si>
  <si>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</si>
  <si>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</si>
  <si>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</si>
  <si>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</si>
  <si>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</si>
  <si>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</si>
  <si>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</si>
  <si>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</si>
  <si>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</si>
  <si>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</si>
  <si>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</si>
  <si>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</si>
  <si>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</si>
  <si>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</si>
  <si>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</si>
  <si>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</si>
  <si>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</si>
  <si>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</si>
  <si>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</si>
  <si>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</si>
  <si>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</si>
  <si>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</si>
  <si>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</si>
  <si>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</si>
  <si>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</si>
  <si>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</si>
  <si>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</si>
  <si>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</si>
  <si>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</si>
  <si>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</si>
  <si>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</si>
  <si>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</si>
  <si>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</si>
  <si>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</si>
  <si>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</si>
  <si>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</si>
  <si>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</si>
  <si>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</si>
  <si>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</si>
  <si>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</si>
  <si>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</si>
  <si>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</si>
  <si>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</si>
  <si>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</si>
  <si>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</si>
  <si>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</si>
  <si>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</si>
  <si>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</si>
  <si>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</si>
  <si>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</si>
  <si>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</si>
  <si>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</si>
  <si>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</si>
  <si>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</si>
  <si>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</si>
  <si>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</si>
  <si>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</si>
  <si>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</si>
  <si>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</si>
  <si>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</si>
  <si>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</si>
  <si>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</si>
  <si>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</si>
  <si>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</si>
  <si>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</si>
  <si>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</si>
  <si>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</si>
  <si>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</si>
  <si>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</si>
  <si>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</si>
  <si>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</si>
  <si>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</si>
  <si>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</si>
  <si>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</si>
  <si>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</si>
  <si>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</si>
  <si>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</si>
  <si>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</si>
  <si>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</si>
  <si>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</si>
  <si>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</si>
  <si>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</si>
  <si>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</si>
  <si>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</si>
  <si>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</si>
  <si>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</si>
  <si>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</si>
  <si>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</si>
  <si>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</si>
  <si>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</si>
  <si>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</si>
  <si>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</si>
  <si>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</si>
  <si>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</si>
  <si>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</si>
  <si>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</si>
  <si>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</si>
  <si>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</si>
  <si>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</si>
  <si>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</si>
  <si>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</si>
  <si>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</si>
  <si>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</si>
  <si>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</si>
  <si>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</si>
  <si>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</si>
  <si>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</si>
  <si>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</si>
  <si>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</si>
  <si>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</si>
  <si>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</si>
  <si>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</si>
  <si>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</si>
  <si>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</si>
  <si>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</si>
  <si>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</si>
  <si>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</si>
  <si>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</si>
  <si>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</si>
  <si>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</si>
  <si>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</si>
  <si>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</si>
  <si>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</si>
  <si>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</si>
  <si>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</si>
  <si>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</si>
  <si>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</si>
  <si>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</si>
  <si>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</si>
  <si>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</si>
  <si>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</si>
  <si>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</si>
  <si>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</si>
  <si>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</si>
  <si>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</si>
  <si>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</si>
  <si>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</si>
  <si>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</si>
  <si>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</si>
  <si>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</si>
  <si>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</si>
  <si>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</si>
  <si>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</si>
  <si>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</si>
  <si>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</si>
  <si>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</si>
  <si>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</si>
  <si>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</si>
  <si>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</si>
  <si>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</si>
  <si>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</si>
  <si>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</si>
  <si>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</si>
  <si>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</si>
  <si>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</si>
  <si>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</si>
  <si>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</si>
  <si>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</si>
  <si>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</si>
  <si>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</si>
  <si>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</si>
  <si>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</si>
  <si>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</si>
  <si>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</si>
  <si>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</si>
  <si>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</si>
  <si>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</si>
  <si>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</si>
  <si>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</si>
  <si>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</si>
  <si>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</si>
  <si>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A 5 DÍAS HÁBILES</t>
  </si>
  <si>
    <t>ENCHAPE RECTO</t>
  </si>
  <si>
    <t>OKUMEN 1535 MT</t>
  </si>
  <si>
    <t>N° 12166</t>
  </si>
  <si>
    <t>CRIS</t>
  </si>
  <si>
    <t>+56 9 5279 4165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</si>
</sst>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153629</xdr:rowOff>
    </xdr:from>
    <xdr:to>
      <xdr:col>5</xdr:col>
      <xdr:colOff>1736459</xdr:colOff>
      <xdr:row>26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</a:t>
          </a:r>
          <a:r>
            <a:rPr lang="es-CL" sz="1200" b="1" baseline="0"/>
            <a:t> CUBIERTAS.</a:t>
          </a:r>
        </a:p>
        <a:p>
          <a:pPr algn="l"/>
          <a:r>
            <a:rPr lang="es-CL" sz="1200" b="1" baseline="0"/>
            <a:t>SOLO SERVICIO DE ENCHAPADO POR 1 CARA, SIN CONSIDERAR TAPACANTOS.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7" t="s">
        <v>277</v>
      </c>
      <c r="G10" s="275">
        <v>46167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/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48840.172166427546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10</v>
      </c>
      <c r="C21" s="432" t="s">
        <v>289</v>
      </c>
      <c r="D21" s="433">
        <v>1.5</v>
      </c>
      <c r="E21" s="433">
        <v>0.7</v>
      </c>
      <c r="F21" s="431" t="s">
        <v>290</v>
      </c>
      <c r="G21" s="434">
        <f>Q21</f>
        <v>51282.180774748915</v>
      </c>
      <c r="H21" s="434">
        <f>G21*B21</f>
        <v>512821.80774748913</v>
      </c>
      <c r="I21" s="305"/>
      <c r="J21" s="264"/>
      <c r="K21" s="47"/>
      <c r="L21" s="47">
        <f>B21</f>
        <v>10</v>
      </c>
      <c r="M21" s="39">
        <f>D21+M$19</f>
        <v>1.5</v>
      </c>
      <c r="N21" s="39">
        <f>E21+$N$19</f>
        <v>0.7</v>
      </c>
      <c r="O21" s="260">
        <f t="shared" ref="O21" si="0">M21*N21</f>
        <v>1.0499999999999998</v>
      </c>
      <c r="P21" s="258">
        <f>O21*L21</f>
        <v>10.499999999999998</v>
      </c>
      <c r="Q21" s="251">
        <f t="shared" ref="Q21" si="1">Q$20*O21</f>
        <v>51282.180774748915</v>
      </c>
      <c r="R21" s="304">
        <f t="shared" ref="R21" si="2">Q21+R$20</f>
        <v>54282.180774748915</v>
      </c>
      <c r="S21" s="290">
        <f>M21*L21</f>
        <v>15</v>
      </c>
      <c r="T21" s="46">
        <f>N21*2*L21*2</f>
        <v>28</v>
      </c>
      <c r="U21" s="9"/>
      <c r="X21" s="4"/>
    </row>
    <row r="22" spans="1:25" ht="17.399999999999999" x14ac:dyDescent="0.3">
      <c r="B22" s="431">
        <v>1</v>
      </c>
      <c r="C22" s="432" t="s">
        <v>289</v>
      </c>
      <c r="D22" s="433">
        <v>2</v>
      </c>
      <c r="E22" s="433">
        <v>0.9</v>
      </c>
      <c r="F22" s="431" t="s">
        <v>290</v>
      </c>
      <c r="G22" s="434">
        <f>Q22</f>
        <v>87912.309899569591</v>
      </c>
      <c r="H22" s="434">
        <f>G22*B22</f>
        <v>87912.309899569591</v>
      </c>
      <c r="I22" s="305"/>
      <c r="J22" s="264"/>
      <c r="K22" s="47"/>
      <c r="L22" s="47">
        <f>B22</f>
        <v>1</v>
      </c>
      <c r="M22" s="39">
        <f>D22+M$19</f>
        <v>2</v>
      </c>
      <c r="N22" s="39">
        <f>E22+$N$19</f>
        <v>0.9</v>
      </c>
      <c r="O22" s="260">
        <f t="shared" ref="O22" si="3">M22*N22</f>
        <v>1.8</v>
      </c>
      <c r="P22" s="258">
        <f>O22*L22</f>
        <v>1.8</v>
      </c>
      <c r="Q22" s="251">
        <f t="shared" ref="Q22" si="4">Q$20*O22</f>
        <v>87912.309899569591</v>
      </c>
      <c r="R22" s="304">
        <f t="shared" ref="R22" si="5">Q22+R$20</f>
        <v>90912.309899569591</v>
      </c>
      <c r="S22" s="290">
        <f>M22*L22</f>
        <v>2</v>
      </c>
      <c r="T22" s="46"/>
      <c r="U22" s="9"/>
      <c r="X22" s="4"/>
    </row>
    <row r="23" spans="1:25" ht="17.399999999999999" x14ac:dyDescent="0.3">
      <c r="B23" s="283"/>
      <c r="C23" s="324"/>
      <c r="D23" s="284"/>
      <c r="E23" s="284"/>
      <c r="F23" s="283"/>
      <c r="G23" s="305"/>
      <c r="H23" s="305"/>
      <c r="I23" s="305"/>
      <c r="J23" s="264"/>
      <c r="K23" s="47"/>
      <c r="L23" s="47"/>
      <c r="M23" s="39"/>
      <c r="N23" s="39"/>
      <c r="O23" s="260"/>
      <c r="P23" s="258"/>
      <c r="Q23" s="251"/>
      <c r="R23" s="304"/>
      <c r="S23" s="290"/>
      <c r="T23" s="46"/>
      <c r="U23" s="9"/>
      <c r="X23" s="4"/>
    </row>
    <row r="24" spans="1:25" ht="18" thickBot="1" x14ac:dyDescent="0.35">
      <c r="B24" s="283"/>
      <c r="C24" s="324"/>
      <c r="D24" s="284"/>
      <c r="E24" s="284"/>
      <c r="F24" s="283"/>
      <c r="G24" s="264"/>
      <c r="H24" s="306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SUM(H21:H24)</f>
        <v>600734.11764705868</v>
      </c>
      <c r="I25" s="307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28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114139.48235294115</v>
      </c>
      <c r="I26" s="307"/>
      <c r="J26" s="264"/>
      <c r="K26" s="47"/>
      <c r="L26" s="47"/>
      <c r="M26" s="39">
        <f>SUM(M21:M25)</f>
        <v>3.5</v>
      </c>
      <c r="N26" s="12"/>
      <c r="O26" s="12"/>
      <c r="P26" s="252">
        <f>SUM(P21:P24)</f>
        <v>12.299999999999999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714873.59999999986</v>
      </c>
      <c r="I27" s="307"/>
      <c r="J27" s="264"/>
      <c r="K27" s="47"/>
      <c r="L27" s="47"/>
      <c r="M27" s="39"/>
      <c r="N27" s="12"/>
      <c r="O27" s="12"/>
      <c r="P27" s="252">
        <f>P26</f>
        <v>12.299999999999999</v>
      </c>
      <c r="Q27" s="14"/>
      <c r="R27" s="12"/>
      <c r="S27" s="239">
        <f>SUM(S21:S26)</f>
        <v>17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2.46</v>
      </c>
      <c r="Q28" s="39" t="s">
        <v>129</v>
      </c>
      <c r="R28" s="42"/>
      <c r="S28" s="240">
        <f>S27+T25</f>
        <v>45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14.759999999999998</v>
      </c>
      <c r="Q29" s="14"/>
      <c r="R29" s="14"/>
      <c r="S29" s="238">
        <f>S28*20%</f>
        <v>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54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14.759999999999998</v>
      </c>
      <c r="N31" s="12">
        <v>4000</v>
      </c>
      <c r="O31" s="12">
        <f t="shared" ref="O31:O36" si="6">M31*N31</f>
        <v>59039.999999999993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</v>
      </c>
      <c r="N32" s="12">
        <v>25000</v>
      </c>
      <c r="O32" s="12">
        <f t="shared" si="6"/>
        <v>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6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6</v>
      </c>
      <c r="N34" s="249">
        <f>(54390/1.19)*0.88</f>
        <v>40221.176470588238</v>
      </c>
      <c r="O34" s="12">
        <f t="shared" si="6"/>
        <v>241327.05882352943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6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2000</v>
      </c>
      <c r="O36" s="12">
        <f t="shared" si="6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300367.0588235294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</f>
        <v>600734.1176470588</v>
      </c>
      <c r="P38" s="14" t="s">
        <v>138</v>
      </c>
      <c r="Q38" s="14"/>
      <c r="R38" s="40">
        <f>P29/R37</f>
        <v>3.9797238999137181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33790</v>
      </c>
      <c r="L39" s="249"/>
      <c r="M39" s="14"/>
      <c r="N39" s="12"/>
      <c r="O39" s="12">
        <f>O38/P27</f>
        <v>48840.172166427546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28394.957983193279</v>
      </c>
      <c r="L40" s="249"/>
      <c r="M40" s="13"/>
      <c r="N40" s="14"/>
      <c r="O40" s="17">
        <f>O38/O37</f>
        <v>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46167</v>
      </c>
    </row>
    <row r="6" spans="2:31" ht="16.2" thickBot="1" x14ac:dyDescent="0.35">
      <c r="B6" s="140" t="s">
        <v>2</v>
      </c>
      <c r="C6" s="139" t="str">
        <f>'2229'!C10</f>
        <v>CRIS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-75681.977974630558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600734.11764705868</v>
      </c>
      <c r="E11" s="132">
        <f>D11*0.19</f>
        <v>114139.48235294115</v>
      </c>
      <c r="F11" s="131">
        <f>E11+D11</f>
        <v>714873.59999999986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30308.022025369442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88874.090787439607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12308.022025369442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511860.02685961907</v>
      </c>
      <c r="E13" s="221">
        <f>(D11/D12)-1</f>
        <v>5.7593841166131989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3308.0220253694424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-35691.977974630558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146642.24979927533</v>
      </c>
      <c r="F15" s="216">
        <f>E15-D12</f>
        <v>57768.159011835727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-35691.977974630558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4308.0220253694424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59039.999999999993</v>
      </c>
      <c r="E20" s="121">
        <f>D20*0.19</f>
        <v>11217.599999999999</v>
      </c>
      <c r="F20" s="120">
        <f>SUM(D20:E20)</f>
        <v>70257.599999999991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59039.999999999993</v>
      </c>
      <c r="E21" s="116">
        <f>SUM(E18:E20)</f>
        <v>11217.599999999999</v>
      </c>
      <c r="F21" s="115">
        <f>SUM(F18:F20)</f>
        <v>70257.599999999991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102921.88235294115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600734.11764705868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59039.999999999993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511860.02685961907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511860.02685961907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12166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CRIS</v>
      </c>
      <c r="D10" s="349"/>
      <c r="E10" s="349"/>
      <c r="F10" s="350" t="s">
        <v>167</v>
      </c>
      <c r="G10" s="351">
        <f>'2229'!G10</f>
        <v>46167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+56 9 5279 4165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10</v>
      </c>
      <c r="C22" s="312" t="str">
        <f>'2229'!C21</f>
        <v>ENCHAPE RECTO</v>
      </c>
      <c r="D22" s="320">
        <f>'2229'!D21*1000</f>
        <v>1500</v>
      </c>
      <c r="E22" s="320">
        <f>'2229'!E21*1000</f>
        <v>700</v>
      </c>
      <c r="F22" s="321" t="str">
        <f>'2229'!F21</f>
        <v>OKUMEN 1535 MT</v>
      </c>
      <c r="G22" s="313">
        <f>'2229'!G21</f>
        <v>51282.180774748915</v>
      </c>
      <c r="H22" s="322">
        <f>G22*B22</f>
        <v>512821.80774748913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512821.80774748913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97436.14347202293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610257.95121951203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CRIS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12166</v>
      </c>
      <c r="C2" s="1">
        <f>'NOTA DE VENTA'!$G$10</f>
        <v>46167</v>
      </c>
      <c r="D2" s="1">
        <f>'NOTA DE VENTA'!$G$11</f>
        <v>46174</v>
      </c>
      <c r="E2" t="str">
        <f>'NOTA DE VENTA'!$C$10</f>
        <v>CRIS</v>
      </c>
      <c r="F2" t="str">
        <f>'NOTA DE VENTA'!$C$22</f>
        <v>ENCHAPE RECTO</v>
      </c>
      <c r="G2" t="str">
        <f>'NOTA DE VENTA'!$F$22</f>
        <v>OKUMEN 1535 MT</v>
      </c>
      <c r="H2" s="415">
        <f>'NOTA DE VENTA'!$H$25</f>
        <v>512821.80774748913</v>
      </c>
      <c r="I2" s="415">
        <f>H2*0.19</f>
        <v>97436.14347202293</v>
      </c>
      <c r="J2" s="415">
        <f>I2+H2</f>
        <v>610257.95121951203</v>
      </c>
      <c r="L2" s="61">
        <f>J2-K2</f>
        <v>610257.95121951203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2026-05-25T15:12:38Z</cp:lastPrinted>
  <dcterms:created xsi:type="dcterms:W3CDTF">2013-03-18T13:35:42Z</dcterms:created>
  <dcterms:modified xsi:type="dcterms:W3CDTF">2026-05-25T19:32:28Z</dcterms:modified>
</cp:coreProperties>
</file>