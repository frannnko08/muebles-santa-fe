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6A242BE0-CB46-4ED1-BD8F-A8C223C798AC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L21" i="1"/>
  <c r="M21" i="1"/>
  <c r="N21" i="1"/>
  <c r="S21" i="1" l="1"/>
  <c r="T21" i="1"/>
  <c r="T23" i="1" s="1"/>
  <c r="O21" i="1"/>
  <c r="P21" i="1" s="1"/>
  <c r="P24" i="1" s="1"/>
  <c r="N5" i="6"/>
  <c r="A2" i="7"/>
  <c r="S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S26" i="1" l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F15" i="3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<sst xmlns="http://schemas.openxmlformats.org/spreadsheetml/2006/main" count="486" uniqueCount="296">
  <si>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</si>
  <si>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</si>
  <si>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</si>
  <si>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</si>
  <si>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</si>
  <si>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</si>
  <si>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</si>
  <si>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</si>
  <si>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</si>
  <si>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</si>
  <si>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</si>
  <si>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</si>
  <si>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</si>
  <si>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</si>
  <si>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</si>
  <si>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</si>
  <si>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</si>
  <si>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</si>
  <si>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</si>
  <si>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</si>
  <si>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</si>
  <si>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</si>
  <si>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</si>
  <si>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</si>
  <si>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</si>
  <si>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</si>
  <si>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</si>
  <si>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</si>
  <si>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</si>
  <si>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</si>
  <si>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</si>
  <si>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</si>
  <si>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</si>
  <si>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</si>
  <si>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</si>
  <si>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</si>
  <si>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</si>
  <si>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</si>
  <si>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</si>
  <si>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</si>
  <si>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</si>
  <si>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</si>
  <si>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</si>
  <si>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</si>
  <si>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</si>
  <si>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</si>
  <si>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</si>
  <si>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</si>
  <si>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</si>
  <si>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</si>
  <si>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</si>
  <si>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</si>
  <si>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</si>
  <si>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</si>
  <si>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</si>
  <si>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</si>
  <si>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</si>
  <si>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</si>
  <si>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</si>
  <si>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</si>
  <si>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</si>
  <si>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</si>
  <si>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</si>
  <si>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</si>
  <si>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</si>
  <si>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</si>
  <si>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</si>
  <si>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</si>
  <si>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</si>
  <si>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</si>
  <si>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</si>
  <si>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</si>
  <si>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</si>
  <si>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</si>
  <si>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</si>
  <si>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</si>
  <si>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</si>
  <si>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</si>
  <si>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</si>
  <si>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</si>
  <si>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</si>
  <si>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</si>
  <si>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</si>
  <si>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</si>
  <si>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</si>
  <si>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</si>
  <si>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</si>
  <si>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</si>
  <si>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</si>
  <si>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</si>
  <si>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</si>
  <si>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</si>
  <si>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</si>
  <si>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</si>
  <si>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</si>
  <si>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</si>
  <si>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</si>
  <si>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</si>
  <si>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</si>
  <si>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</si>
  <si>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</si>
  <si>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</si>
  <si>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</si>
  <si>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</si>
  <si>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</si>
  <si>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</si>
  <si>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</si>
  <si>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</si>
  <si>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</si>
  <si>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</si>
  <si>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</si>
  <si>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</si>
  <si>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</si>
  <si>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</si>
  <si>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</si>
  <si>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</si>
  <si>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</si>
  <si>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</si>
  <si>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</si>
  <si>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</si>
  <si>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</si>
  <si>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</si>
  <si>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</si>
  <si>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</si>
  <si>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</si>
  <si>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</si>
  <si>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</si>
  <si>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</si>
  <si>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</si>
  <si>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</si>
  <si>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</si>
  <si>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</si>
  <si>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</si>
  <si>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</si>
  <si>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</si>
  <si>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</si>
  <si>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</si>
  <si>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</si>
  <si>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</si>
  <si>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</si>
  <si>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</si>
  <si>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</si>
  <si>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</si>
  <si>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</si>
  <si>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</si>
  <si>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</si>
  <si>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</si>
  <si>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</si>
  <si>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</si>
  <si>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</si>
  <si>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</si>
  <si>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</si>
  <si>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</si>
  <si>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</si>
  <si>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</si>
  <si>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</si>
  <si>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</si>
  <si>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</si>
  <si>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</si>
  <si>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</si>
  <si>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</si>
  <si>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</si>
  <si>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</si>
  <si>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</si>
  <si>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</si>
  <si>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</si>
  <si>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</si>
  <si>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</si>
  <si>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</si>
  <si>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</si>
  <si>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</si>
  <si>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</si>
  <si>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</si>
  <si>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</si>
  <si>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</si>
  <si>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</si>
  <si>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</si>
  <si>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</si>
  <si>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</si>
  <si>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</si>
  <si>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</si>
  <si>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</si>
  <si>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</si>
  <si>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</si>
  <si>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</si>
  <si>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</si>
  <si>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</si>
  <si>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</si>
  <si>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</si>
  <si>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</si>
  <si>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</si>
  <si>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</si>
  <si>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</si>
  <si>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</si>
  <si>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</si>
  <si>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</si>
  <si>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</si>
  <si>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</si>
  <si>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</si>
  <si>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</si>
  <si>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</si>
  <si>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</si>
  <si>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</si>
  <si>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</si>
  <si>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</si>
  <si>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</si>
  <si>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</si>
  <si>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</si>
  <si>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</si>
  <si>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</si>
  <si>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</si>
  <si>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</si>
  <si>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</si>
  <si>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</si>
  <si>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</si>
  <si>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</si>
  <si>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</si>
  <si>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</si>
  <si>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</si>
  <si>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</si>
  <si>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</si>
  <si>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</si>
  <si>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</si>
  <si>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</si>
  <si>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</si>
  <si>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</si>
  <si>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</si>
  <si>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</si>
  <si>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</si>
  <si>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</si>
  <si>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</si>
  <si>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</si>
  <si>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</si>
  <si>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</si>
  <si>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</si>
  <si>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</si>
  <si>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</si>
  <si>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</si>
  <si>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</si>
  <si>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</si>
  <si>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</si>
  <si>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</si>
  <si>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</si>
  <si>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</si>
  <si>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</si>
  <si>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</si>
  <si>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</si>
  <si>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</si>
  <si>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</si>
  <si>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</si>
  <si>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</si>
  <si>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</si>
  <si>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</si>
  <si>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</si>
  <si>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</si>
  <si>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</si>
  <si>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</si>
  <si>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</si>
  <si>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</si>
  <si>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</si>
  <si>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</si>
  <si>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</si>
  <si>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</si>
  <si>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</si>
  <si>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</si>
  <si>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</si>
  <si>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</si>
  <si>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</si>
  <si>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</si>
  <si>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</si>
  <si>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</si>
  <si>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</si>
  <si>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</si>
  <si>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</si>
  <si>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</si>
  <si>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</si>
  <si>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</si>
  <si>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</si>
  <si>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</si>
  <si>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</si>
  <si>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</si>
  <si>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</si>
  <si>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</si>
  <si>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</si>
  <si>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</si>
  <si>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</si>
  <si>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</si>
  <si>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</si>
  <si>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</si>
  <si>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</si>
  <si>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5 DÍAS HÁBILES</t>
  </si>
  <si>
    <t>CUB CON RESPALDO FTE 90°</t>
  </si>
  <si>
    <t>WHITE MARBLE BR</t>
  </si>
  <si>
    <t>JORGE BORBARAN</t>
  </si>
  <si>
    <t>+569 8358 8505</t>
  </si>
  <si>
    <t>N° 12131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</si>
</sst>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50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0" fontId="30" fillId="0" borderId="19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</a:t>
          </a:r>
          <a:r>
            <a:rPr lang="es-CL" sz="1200" b="1" baseline="0"/>
            <a:t> EL LARGO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1" zoomScaleNormal="91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293</v>
      </c>
      <c r="D10" s="243"/>
      <c r="E10" s="243"/>
      <c r="F10" s="418" t="s">
        <v>275</v>
      </c>
      <c r="G10" s="275">
        <v>46154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294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1" t="s">
        <v>94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129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74115.874439461884</v>
      </c>
      <c r="R20" s="257">
        <v>2000</v>
      </c>
      <c r="S20" s="38"/>
      <c r="T20" s="14" t="s">
        <v>126</v>
      </c>
      <c r="U20" s="9"/>
      <c r="X20" s="4"/>
    </row>
    <row r="21" spans="1:25" ht="18" thickBot="1" x14ac:dyDescent="0.35">
      <c r="B21" s="454">
        <v>1</v>
      </c>
      <c r="C21" s="455" t="s">
        <v>291</v>
      </c>
      <c r="D21" s="456">
        <v>2.15</v>
      </c>
      <c r="E21" s="456">
        <v>0.5</v>
      </c>
      <c r="F21" s="455" t="s">
        <v>292</v>
      </c>
      <c r="G21" s="457">
        <f>Q21</f>
        <v>82639.199999999997</v>
      </c>
      <c r="H21" s="458">
        <f>G21*B21</f>
        <v>82639.199999999997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2.23</v>
      </c>
      <c r="N21" s="39">
        <f t="shared" ref="N21" si="2">E21+$N$19</f>
        <v>0.5</v>
      </c>
      <c r="O21" s="260">
        <f t="shared" ref="O21" si="3">M21*N21</f>
        <v>1.115</v>
      </c>
      <c r="P21" s="258">
        <f t="shared" ref="P21" si="4">O21*L21</f>
        <v>1.115</v>
      </c>
      <c r="Q21" s="251">
        <f t="shared" ref="Q21" si="5">Q$20*O21</f>
        <v>82639.199999999997</v>
      </c>
      <c r="R21" s="305">
        <f t="shared" ref="R21" si="6">Q21+R$20</f>
        <v>84639.2</v>
      </c>
      <c r="S21" s="290">
        <f>M21*L21*2</f>
        <v>4.46</v>
      </c>
      <c r="T21" s="46">
        <f>N21*L21*2</f>
        <v>1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82639.199999999997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1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15701.448</v>
      </c>
      <c r="I24" s="308"/>
      <c r="J24" s="264"/>
      <c r="K24" s="47"/>
      <c r="L24" s="429">
        <f>M24*10</f>
        <v>22.3</v>
      </c>
      <c r="M24" s="39">
        <f>SUM(M21:M23)</f>
        <v>2.23</v>
      </c>
      <c r="N24" s="12"/>
      <c r="O24" s="12"/>
      <c r="P24" s="252">
        <f>SUM(P21:P21)</f>
        <v>1.115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98340.648000000001</v>
      </c>
      <c r="I25" s="308"/>
      <c r="J25" s="264"/>
      <c r="K25" s="47"/>
      <c r="L25" s="47"/>
      <c r="M25" s="39"/>
      <c r="N25" s="12"/>
      <c r="O25" s="12"/>
      <c r="P25" s="252">
        <f>P24</f>
        <v>1.115</v>
      </c>
      <c r="Q25" s="14"/>
      <c r="R25" s="12"/>
      <c r="S25" s="239">
        <f>SUM(S21:S24)</f>
        <v>4.46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0.223</v>
      </c>
      <c r="Q26" s="39" t="s">
        <v>128</v>
      </c>
      <c r="R26" s="42"/>
      <c r="S26" s="240">
        <f>S25+T23</f>
        <v>5.46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1.3380000000000001</v>
      </c>
      <c r="Q27" s="14"/>
      <c r="R27" s="14"/>
      <c r="S27" s="238">
        <f>S26*20%</f>
        <v>1.0920000000000001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6.5519999999999996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1.3380000000000001</v>
      </c>
      <c r="N29" s="12">
        <v>4000</v>
      </c>
      <c r="O29" s="12">
        <f t="shared" ref="O29:O34" si="7">M29*N29</f>
        <v>5352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0.4</v>
      </c>
      <c r="N30" s="12">
        <v>25000</v>
      </c>
      <c r="O30" s="12">
        <f t="shared" si="7"/>
        <v>10000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7"/>
        <v>20000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90000</v>
      </c>
      <c r="O33" s="12">
        <f t="shared" si="7"/>
        <v>0</v>
      </c>
      <c r="P33" s="14" t="s">
        <v>289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2</v>
      </c>
      <c r="N34" s="12">
        <v>2000</v>
      </c>
      <c r="O34" s="12">
        <f t="shared" si="7"/>
        <v>4000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39352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O35*2.1</f>
        <v>82639.199999999997</v>
      </c>
      <c r="P36" s="14" t="s">
        <v>137</v>
      </c>
      <c r="Q36" s="14"/>
      <c r="R36" s="40">
        <f>P27/R35</f>
        <v>0.36076358930112168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74115.874439461884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46154</v>
      </c>
    </row>
    <row r="6" spans="2:31" ht="16.2" thickBot="1" x14ac:dyDescent="0.35">
      <c r="B6" s="140" t="s">
        <v>2</v>
      </c>
      <c r="C6" s="139" t="str">
        <f>'2229'!C10</f>
        <v>JORGE BORBARAN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97</v>
      </c>
      <c r="I7" s="436"/>
      <c r="J7" s="436"/>
      <c r="K7" s="437"/>
      <c r="N7" s="75"/>
      <c r="O7" s="434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12131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4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-1347.0250334541051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82639.199999999997</v>
      </c>
      <c r="E11" s="132">
        <f>D11*0.19</f>
        <v>15701.448</v>
      </c>
      <c r="F11" s="131">
        <f>E11+D11</f>
        <v>98340.648000000001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104642.97496654589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45186.090787439614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86642.974966545895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37453.109212560383</v>
      </c>
      <c r="E13" s="221">
        <f>(D11/D12)-1</f>
        <v>0.82886367375181802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77642.974966545895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38642.974966545895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74557.049799275366</v>
      </c>
      <c r="F15" s="216">
        <f>E15-D12</f>
        <v>29370.959011835752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38642.974966545895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78642.974966545895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5352</v>
      </c>
      <c r="E20" s="121">
        <f>D20*0.19</f>
        <v>1016.88</v>
      </c>
      <c r="F20" s="120">
        <f>SUM(D20:E20)</f>
        <v>6368.88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15352</v>
      </c>
      <c r="E21" s="116">
        <f>SUM(E18:E20)</f>
        <v>2916.88</v>
      </c>
      <c r="F21" s="115">
        <f>SUM(F18:F20)</f>
        <v>18268.88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12784.567999999999</v>
      </c>
    </row>
    <row r="41" spans="2:16" ht="15" thickBot="1" x14ac:dyDescent="0.35">
      <c r="H41" s="438" t="s">
        <v>59</v>
      </c>
      <c r="I41" s="439"/>
      <c r="J41" s="439"/>
      <c r="K41" s="439"/>
      <c r="L41" s="439"/>
      <c r="M41" s="440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82639.199999999997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15352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37453.109212560383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37453.109212560383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12131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JORGE BORBARAN</v>
      </c>
      <c r="D10" s="350"/>
      <c r="E10" s="350"/>
      <c r="F10" s="351" t="s">
        <v>165</v>
      </c>
      <c r="G10" s="352">
        <f>'2229'!G10</f>
        <v>46154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46161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+569 8358 8505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173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174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180</v>
      </c>
      <c r="C2" s="446"/>
      <c r="D2" s="446"/>
      <c r="E2" s="361"/>
      <c r="G2" s="446" t="s">
        <v>181</v>
      </c>
      <c r="H2" s="446"/>
      <c r="I2" s="446"/>
      <c r="P2" s="447" t="s">
        <v>182</v>
      </c>
      <c r="Q2" s="447"/>
      <c r="R2" s="447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47" t="s">
        <v>182</v>
      </c>
      <c r="M8" s="447"/>
      <c r="N8" s="447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263</v>
      </c>
      <c r="L3" s="452"/>
      <c r="M3" s="452" t="s">
        <v>264</v>
      </c>
      <c r="N3" s="452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JORGE BORBARAN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46154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263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264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270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94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12131</v>
      </c>
      <c r="C2" s="1">
        <f>'NOTA DE VENTA'!$G$10</f>
        <v>46154</v>
      </c>
      <c r="D2" s="1">
        <f>'NOTA DE VENTA'!$G$11</f>
        <v>46161</v>
      </c>
      <c r="E2" t="str">
        <f>'NOTA DE VENTA'!$C$10</f>
        <v>JORGE BORBARAN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2026-05-12T16:41:04Z</cp:lastPrinted>
  <dcterms:created xsi:type="dcterms:W3CDTF">2013-03-18T13:35:42Z</dcterms:created>
  <dcterms:modified xsi:type="dcterms:W3CDTF">2026-05-12T20:41:19Z</dcterms:modified>
</cp:coreProperties>
</file>