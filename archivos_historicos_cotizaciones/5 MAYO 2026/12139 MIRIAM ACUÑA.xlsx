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8C0F7EE2-7105-49CD-B187-EBA854FF8D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3" i="1"/>
  <c r="O39" i="1"/>
  <c r="L22" i="1"/>
  <c r="M22" i="1"/>
  <c r="N22" i="1"/>
  <c r="O22" i="1"/>
  <c r="P22" i="1" s="1"/>
  <c r="L23" i="1"/>
  <c r="M23" i="1"/>
  <c r="O23" i="1" s="1"/>
  <c r="P23" i="1" s="1"/>
  <c r="N23" i="1"/>
  <c r="N35" i="1"/>
  <c r="L21" i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7" i="1" l="1"/>
  <c r="S21" i="1"/>
  <c r="S28" i="1" s="1"/>
  <c r="T21" i="1"/>
  <c r="T26" i="1" s="1"/>
  <c r="O21" i="1"/>
  <c r="P21" i="1" s="1"/>
  <c r="P27" i="1" s="1"/>
  <c r="K41" i="1"/>
  <c r="S29" i="1" l="1"/>
  <c r="S30" i="1" s="1"/>
  <c r="S31" i="1" s="1"/>
  <c r="V34" i="1"/>
  <c r="V35" i="1" s="1"/>
  <c r="P28" i="1" l="1"/>
  <c r="N20" i="1"/>
  <c r="L20" i="1"/>
  <c r="P29" i="1" l="1"/>
  <c r="P30" i="1" s="1"/>
  <c r="M32" i="1" s="1"/>
  <c r="O34" i="1"/>
  <c r="R38" i="1"/>
  <c r="R39" i="1" l="1"/>
  <c r="O33" i="1" s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3" i="1" l="1"/>
  <c r="R23" i="1" s="1"/>
  <c r="Q22" i="1"/>
  <c r="R22" i="1" s="1"/>
  <c r="O41" i="1"/>
  <c r="E15" i="3"/>
  <c r="H22" i="1" l="1"/>
  <c r="Q21" i="1"/>
  <c r="F15" i="3"/>
  <c r="R21" i="1" l="1"/>
  <c r="H21" i="1" l="1"/>
  <c r="H27" i="1" l="1"/>
  <c r="H28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<sst xmlns="http://schemas.openxmlformats.org/spreadsheetml/2006/main" count="490" uniqueCount="295">
  <si>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</si>
  <si>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</si>
  <si>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</si>
  <si>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</si>
  <si>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</si>
  <si>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</si>
  <si>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</si>
  <si>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</si>
  <si>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</si>
  <si>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</si>
  <si>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</si>
  <si>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</si>
  <si>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</si>
  <si>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</si>
  <si>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</si>
  <si>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</si>
  <si>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</si>
  <si>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</si>
  <si>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</si>
  <si>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</si>
  <si>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</si>
  <si>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</si>
  <si>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</si>
  <si>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</si>
  <si>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</si>
  <si>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</si>
  <si>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</si>
  <si>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</si>
  <si>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</si>
  <si>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</si>
  <si>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</si>
  <si>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</si>
  <si>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</si>
  <si>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</si>
  <si>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</si>
  <si>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</si>
  <si>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</si>
  <si>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</si>
  <si>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</si>
  <si>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</si>
  <si>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</si>
  <si>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</si>
  <si>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</si>
  <si>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</si>
  <si>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</si>
  <si>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</si>
  <si>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</si>
  <si>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</si>
  <si>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</si>
  <si>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</si>
  <si>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</si>
  <si>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</si>
  <si>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</si>
  <si>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</si>
  <si>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</si>
  <si>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</si>
  <si>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</si>
  <si>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</si>
  <si>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</si>
  <si>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</si>
  <si>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</si>
  <si>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</si>
  <si>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</si>
  <si>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</si>
  <si>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</si>
  <si>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</si>
  <si>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</si>
  <si>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</si>
  <si>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</si>
  <si>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</si>
  <si>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</si>
  <si>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</si>
  <si>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</si>
  <si>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</si>
  <si>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</si>
  <si>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</si>
  <si>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</si>
  <si>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</si>
  <si>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</si>
  <si>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</si>
  <si>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</si>
  <si>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</si>
  <si>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</si>
  <si>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</si>
  <si>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</si>
  <si>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</si>
  <si>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</si>
  <si>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</si>
  <si>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</si>
  <si>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</si>
  <si>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</si>
  <si>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</si>
  <si>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</si>
  <si>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</si>
  <si>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</si>
  <si>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</si>
  <si>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</si>
  <si>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</si>
  <si>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</si>
  <si>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</si>
  <si>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</si>
  <si>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</si>
  <si>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</si>
  <si>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</si>
  <si>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</si>
  <si>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</si>
  <si>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</si>
  <si>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</si>
  <si>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</si>
  <si>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</si>
  <si>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</si>
  <si>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</si>
  <si>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</si>
  <si>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</si>
  <si>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</si>
  <si>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</si>
  <si>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</si>
  <si>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</si>
  <si>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</si>
  <si>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</si>
  <si>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</si>
  <si>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</si>
  <si>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</si>
  <si>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</si>
  <si>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</si>
  <si>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</si>
  <si>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</si>
  <si>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</si>
  <si>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</si>
  <si>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</si>
  <si>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</si>
  <si>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</si>
  <si>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</si>
  <si>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</si>
  <si>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</si>
  <si>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</si>
  <si>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</si>
  <si>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</si>
  <si>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</si>
  <si>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</si>
  <si>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</si>
  <si>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</si>
  <si>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</si>
  <si>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</si>
  <si>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</si>
  <si>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</si>
  <si>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</si>
  <si>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</si>
  <si>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</si>
  <si>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</si>
  <si>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</si>
  <si>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</si>
  <si>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</si>
  <si>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</si>
  <si>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</si>
  <si>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</si>
  <si>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</si>
  <si>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</si>
  <si>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</si>
  <si>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</si>
  <si>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</si>
  <si>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</si>
  <si>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</si>
  <si>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</si>
  <si>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</si>
  <si>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</si>
  <si>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</si>
  <si>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</si>
  <si>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</si>
  <si>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</si>
  <si>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</si>
  <si>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</si>
  <si>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</si>
  <si>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</si>
  <si>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</si>
  <si>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</si>
  <si>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</si>
  <si>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</si>
  <si>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</si>
  <si>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</si>
  <si>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</si>
  <si>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</si>
  <si>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</si>
  <si>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</si>
  <si>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</si>
  <si>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</si>
  <si>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</si>
  <si>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</si>
  <si>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</si>
  <si>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</si>
  <si>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</si>
  <si>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</si>
  <si>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</si>
  <si>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</si>
  <si>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</si>
  <si>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</si>
  <si>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</si>
  <si>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</si>
  <si>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</si>
  <si>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</si>
  <si>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</si>
  <si>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</si>
  <si>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</si>
  <si>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</si>
  <si>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</si>
  <si>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</si>
  <si>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</si>
  <si>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</si>
  <si>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</si>
  <si>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</si>
  <si>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</si>
  <si>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</si>
  <si>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</si>
  <si>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</si>
  <si>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</si>
  <si>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</si>
  <si>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</si>
  <si>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</si>
  <si>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</si>
  <si>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</si>
  <si>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</si>
  <si>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</si>
  <si>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</si>
  <si>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</si>
  <si>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</si>
  <si>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</si>
  <si>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</si>
  <si>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</si>
  <si>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</si>
  <si>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</si>
  <si>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</si>
  <si>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</si>
  <si>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</si>
  <si>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</si>
  <si>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</si>
  <si>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</si>
  <si>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</si>
  <si>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</si>
  <si>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</si>
  <si>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</si>
  <si>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</si>
  <si>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</si>
  <si>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</si>
  <si>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</si>
  <si>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</si>
  <si>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</si>
  <si>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</si>
  <si>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</si>
  <si>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</si>
  <si>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</si>
  <si>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</si>
  <si>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</si>
  <si>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</si>
  <si>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</si>
  <si>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</si>
  <si>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</si>
  <si>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</si>
  <si>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</si>
  <si>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</si>
  <si>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</si>
  <si>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</si>
  <si>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</si>
  <si>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</si>
  <si>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</si>
  <si>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</si>
  <si>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</si>
  <si>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</si>
  <si>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</si>
  <si>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</si>
  <si>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</si>
  <si>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</si>
  <si>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</si>
  <si>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</si>
  <si>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</si>
  <si>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</si>
  <si>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</si>
  <si>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</si>
  <si>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</si>
  <si>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</si>
  <si>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</si>
  <si>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</si>
  <si>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</si>
  <si>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</si>
  <si>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</si>
  <si>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</si>
  <si>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</si>
  <si>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</si>
  <si>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</si>
  <si>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SI</t>
  </si>
  <si>
    <t>N° 12138</t>
  </si>
  <si>
    <t>CUB C/R FRENTE 90° R8</t>
  </si>
  <si>
    <t>GRANITINO NEGRO 3014 MT</t>
  </si>
  <si>
    <t>MIRIAM ACUÑA</t>
  </si>
  <si>
    <t>+56 9 7166 5105</t>
  </si>
  <si>
    <t>7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</si>
</sst>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0" fontId="30" fillId="0" borderId="0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166" fontId="30" fillId="0" borderId="0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153629</xdr:rowOff>
    </xdr:from>
    <xdr:to>
      <xdr:col>5</xdr:col>
      <xdr:colOff>1736459</xdr:colOff>
      <xdr:row>27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7" zoomScale="93" zoomScaleNormal="93" workbookViewId="0">
      <selection activeCell="G16" sqref="G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292</v>
      </c>
      <c r="D10" s="243"/>
      <c r="E10" s="243"/>
      <c r="F10" s="417" t="s">
        <v>277</v>
      </c>
      <c r="G10" s="275">
        <v>46156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294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288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288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293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2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431" t="s">
        <v>95</v>
      </c>
      <c r="C19" s="432"/>
      <c r="D19" s="432"/>
      <c r="E19" s="432"/>
      <c r="F19" s="432"/>
      <c r="G19" s="432"/>
      <c r="H19" s="433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O40</f>
        <v>75638.851674641162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57">
        <v>1</v>
      </c>
      <c r="C21" s="458" t="s">
        <v>290</v>
      </c>
      <c r="D21" s="459">
        <v>2.79</v>
      </c>
      <c r="E21" s="459">
        <v>0.55000000000000004</v>
      </c>
      <c r="F21" s="457" t="s">
        <v>291</v>
      </c>
      <c r="G21" s="460">
        <v>119396</v>
      </c>
      <c r="H21" s="460">
        <f>G21*B21</f>
        <v>119396</v>
      </c>
      <c r="I21" s="305"/>
      <c r="J21" s="264"/>
      <c r="K21" s="47"/>
      <c r="L21" s="47">
        <f>B21</f>
        <v>1</v>
      </c>
      <c r="M21" s="39">
        <f>D21+M$19</f>
        <v>2.87</v>
      </c>
      <c r="N21" s="39">
        <f>E21+$N$19</f>
        <v>0.55000000000000004</v>
      </c>
      <c r="O21" s="260">
        <f t="shared" ref="O21" si="0">M21*N21</f>
        <v>1.5785000000000002</v>
      </c>
      <c r="P21" s="258">
        <f t="shared" ref="P21" si="1">O21*L21</f>
        <v>1.5785000000000002</v>
      </c>
      <c r="Q21" s="251">
        <f t="shared" ref="Q21" si="2">Q$20*O21</f>
        <v>119395.92736842109</v>
      </c>
      <c r="R21" s="304">
        <f t="shared" ref="R21" si="3">Q21+R$20</f>
        <v>122395.92736842109</v>
      </c>
      <c r="S21" s="290">
        <f>M21*L21</f>
        <v>2.87</v>
      </c>
      <c r="T21" s="46">
        <f>N21*2*L21*2</f>
        <v>2.2000000000000002</v>
      </c>
      <c r="U21" s="9"/>
      <c r="X21" s="4"/>
    </row>
    <row r="22" spans="2:25" ht="17.399999999999999" x14ac:dyDescent="0.3">
      <c r="B22" s="457">
        <v>1</v>
      </c>
      <c r="C22" s="458" t="s">
        <v>290</v>
      </c>
      <c r="D22" s="459">
        <v>1.62</v>
      </c>
      <c r="E22" s="459">
        <v>0.55000000000000004</v>
      </c>
      <c r="F22" s="457" t="s">
        <v>291</v>
      </c>
      <c r="G22" s="460">
        <v>70722</v>
      </c>
      <c r="H22" s="460">
        <f t="shared" ref="H22:H23" si="4">G22*B22</f>
        <v>70722</v>
      </c>
      <c r="I22" s="305"/>
      <c r="J22" s="264"/>
      <c r="K22" s="47"/>
      <c r="L22" s="47">
        <f t="shared" ref="L22:L23" si="5">B22</f>
        <v>1</v>
      </c>
      <c r="M22" s="39">
        <f t="shared" ref="M22:M23" si="6">D22+M$19</f>
        <v>1.7000000000000002</v>
      </c>
      <c r="N22" s="39">
        <f t="shared" ref="N22:N23" si="7">E22+$N$19</f>
        <v>0.55000000000000004</v>
      </c>
      <c r="O22" s="260">
        <f t="shared" ref="O22:O23" si="8">M22*N22</f>
        <v>0.93500000000000016</v>
      </c>
      <c r="P22" s="258">
        <f t="shared" ref="P22:P23" si="9">O22*L22</f>
        <v>0.93500000000000016</v>
      </c>
      <c r="Q22" s="251">
        <f t="shared" ref="Q22:Q23" si="10">Q$20*O22</f>
        <v>70722.326315789498</v>
      </c>
      <c r="R22" s="304">
        <f t="shared" ref="R22:R23" si="11">Q22+R$20</f>
        <v>73722.326315789498</v>
      </c>
      <c r="S22" s="290"/>
      <c r="T22" s="46"/>
      <c r="U22" s="9"/>
      <c r="X22" s="4"/>
    </row>
    <row r="23" spans="2:25" ht="17.399999999999999" x14ac:dyDescent="0.3">
      <c r="B23" s="457">
        <v>1</v>
      </c>
      <c r="C23" s="458" t="s">
        <v>290</v>
      </c>
      <c r="D23" s="459">
        <v>0.48</v>
      </c>
      <c r="E23" s="459">
        <v>0.55000000000000004</v>
      </c>
      <c r="F23" s="457" t="s">
        <v>291</v>
      </c>
      <c r="G23" s="460">
        <v>23297</v>
      </c>
      <c r="H23" s="460">
        <f t="shared" si="4"/>
        <v>23297</v>
      </c>
      <c r="I23" s="305"/>
      <c r="J23" s="264"/>
      <c r="K23" s="47"/>
      <c r="L23" s="47">
        <f t="shared" si="5"/>
        <v>1</v>
      </c>
      <c r="M23" s="39">
        <f t="shared" si="6"/>
        <v>0.55999999999999994</v>
      </c>
      <c r="N23" s="39">
        <f t="shared" si="7"/>
        <v>0.55000000000000004</v>
      </c>
      <c r="O23" s="260">
        <f t="shared" si="8"/>
        <v>0.308</v>
      </c>
      <c r="P23" s="258">
        <f t="shared" si="9"/>
        <v>0.308</v>
      </c>
      <c r="Q23" s="251">
        <f t="shared" si="10"/>
        <v>23296.766315789479</v>
      </c>
      <c r="R23" s="304">
        <f t="shared" si="11"/>
        <v>26296.766315789479</v>
      </c>
      <c r="S23" s="290"/>
      <c r="T23" s="46"/>
      <c r="U23" s="9"/>
      <c r="X23" s="4"/>
    </row>
    <row r="24" spans="2:25" ht="17.399999999999999" x14ac:dyDescent="0.3">
      <c r="B24" s="454"/>
      <c r="C24" s="455"/>
      <c r="D24" s="456"/>
      <c r="E24" s="456"/>
      <c r="F24" s="454"/>
      <c r="G24" s="305"/>
      <c r="H24" s="305"/>
      <c r="I24" s="305"/>
      <c r="J24" s="264"/>
      <c r="K24" s="47"/>
      <c r="L24" s="47"/>
      <c r="M24" s="39"/>
      <c r="N24" s="39"/>
      <c r="O24" s="260"/>
      <c r="P24" s="258"/>
      <c r="Q24" s="251"/>
      <c r="R24" s="304"/>
      <c r="S24" s="290"/>
      <c r="T24" s="46"/>
      <c r="U24" s="9"/>
      <c r="X24" s="4"/>
    </row>
    <row r="25" spans="2:25" ht="18" thickBot="1" x14ac:dyDescent="0.35">
      <c r="B25" s="283"/>
      <c r="C25" s="324"/>
      <c r="D25" s="284"/>
      <c r="E25" s="284"/>
      <c r="F25" s="283"/>
      <c r="G25" s="264"/>
      <c r="H25" s="306"/>
      <c r="I25" s="308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283"/>
      <c r="D26" s="284"/>
      <c r="E26" s="284"/>
      <c r="F26" s="283"/>
      <c r="G26" s="309" t="s">
        <v>28</v>
      </c>
      <c r="H26" s="310">
        <f>SUM(H21:H23)</f>
        <v>213415</v>
      </c>
      <c r="I26" s="307"/>
      <c r="J26" s="264"/>
      <c r="K26" s="47"/>
      <c r="L26" s="47"/>
      <c r="M26" s="39"/>
      <c r="N26" s="39"/>
      <c r="O26" s="260"/>
      <c r="P26" s="258"/>
      <c r="Q26" s="251"/>
      <c r="R26" s="257"/>
      <c r="S26" s="290"/>
      <c r="T26" s="46">
        <f>SUM(T21:T21)</f>
        <v>2.2000000000000002</v>
      </c>
      <c r="U26" s="9"/>
      <c r="X26" s="4"/>
    </row>
    <row r="27" spans="2:25" ht="17.399999999999999" x14ac:dyDescent="0.3">
      <c r="B27" s="277"/>
      <c r="C27" s="280"/>
      <c r="D27" s="281"/>
      <c r="E27" s="281"/>
      <c r="F27" s="282"/>
      <c r="G27" s="289" t="s">
        <v>51</v>
      </c>
      <c r="H27" s="287">
        <f>H26*19%</f>
        <v>40548.85</v>
      </c>
      <c r="I27" s="307"/>
      <c r="J27" s="264"/>
      <c r="K27" s="47"/>
      <c r="L27" s="47"/>
      <c r="M27" s="39">
        <f>SUM(M21:M26)</f>
        <v>5.13</v>
      </c>
      <c r="N27" s="12"/>
      <c r="O27" s="12"/>
      <c r="P27" s="252">
        <f>SUM(P21:P25)</f>
        <v>2.8215000000000003</v>
      </c>
      <c r="Q27" s="14"/>
      <c r="R27" s="12"/>
      <c r="S27" s="239"/>
      <c r="T27" s="46"/>
      <c r="U27" s="9"/>
      <c r="X27" s="4"/>
    </row>
    <row r="28" spans="2:25" ht="18" thickBot="1" x14ac:dyDescent="0.35">
      <c r="B28" s="274"/>
      <c r="C28" s="279"/>
      <c r="D28" s="271"/>
      <c r="E28" s="271"/>
      <c r="F28" s="272"/>
      <c r="G28" s="278" t="s">
        <v>6</v>
      </c>
      <c r="H28" s="288">
        <f>H26+H27</f>
        <v>253963.85</v>
      </c>
      <c r="I28" s="307"/>
      <c r="J28" s="264"/>
      <c r="K28" s="47"/>
      <c r="L28" s="47"/>
      <c r="M28" s="39"/>
      <c r="N28" s="12"/>
      <c r="O28" s="12"/>
      <c r="P28" s="252">
        <f>P27</f>
        <v>2.8215000000000003</v>
      </c>
      <c r="Q28" s="14"/>
      <c r="R28" s="12"/>
      <c r="S28" s="239">
        <f>SUM(S21:S27)</f>
        <v>2.87</v>
      </c>
      <c r="T28" s="46"/>
      <c r="U28" s="9"/>
      <c r="X28" s="4"/>
    </row>
    <row r="29" spans="2:25" ht="17.399999999999999" x14ac:dyDescent="0.3">
      <c r="B29" s="274"/>
      <c r="C29" s="270"/>
      <c r="D29" s="271"/>
      <c r="E29" s="271"/>
      <c r="F29" s="272"/>
      <c r="J29" s="264"/>
      <c r="K29" s="47"/>
      <c r="L29" s="47"/>
      <c r="M29" s="14"/>
      <c r="N29" s="12"/>
      <c r="O29" s="12"/>
      <c r="P29" s="39">
        <f>P28*20%</f>
        <v>0.56430000000000013</v>
      </c>
      <c r="Q29" s="39" t="s">
        <v>129</v>
      </c>
      <c r="R29" s="42"/>
      <c r="S29" s="240">
        <f>S28+T26</f>
        <v>5.07</v>
      </c>
      <c r="T29" s="14"/>
      <c r="U29" s="9"/>
      <c r="X29" s="4"/>
    </row>
    <row r="30" spans="2:25" ht="17.399999999999999" x14ac:dyDescent="0.35">
      <c r="B30" s="268"/>
      <c r="C30" s="230"/>
      <c r="D30" s="230"/>
      <c r="E30" s="233"/>
      <c r="F30" s="234"/>
      <c r="G30" s="230"/>
      <c r="H30" s="273"/>
      <c r="I30" s="273"/>
      <c r="J30" s="264"/>
      <c r="K30" s="47"/>
      <c r="L30" s="47"/>
      <c r="M30" s="14"/>
      <c r="N30" s="12"/>
      <c r="O30" s="12"/>
      <c r="P30" s="46">
        <f>P28+P29</f>
        <v>3.3858000000000006</v>
      </c>
      <c r="Q30" s="14"/>
      <c r="R30" s="14"/>
      <c r="S30" s="238">
        <f>S29*20%</f>
        <v>1.014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3"/>
      <c r="J31" s="264"/>
      <c r="K31" s="47"/>
      <c r="L31" s="47"/>
      <c r="M31" s="14"/>
      <c r="N31" s="14"/>
      <c r="O31" s="14"/>
      <c r="P31" s="14"/>
      <c r="Q31" s="14"/>
      <c r="R31" s="14"/>
      <c r="S31" s="240">
        <f>S29+S30</f>
        <v>6.0840000000000005</v>
      </c>
      <c r="T31" s="14"/>
      <c r="U31" s="294" t="s">
        <v>21</v>
      </c>
      <c r="V31" s="291" t="s">
        <v>149</v>
      </c>
      <c r="W31" s="295">
        <v>44971</v>
      </c>
      <c r="X31" s="296"/>
    </row>
    <row r="32" spans="2:25" ht="17.399999999999999" x14ac:dyDescent="0.35">
      <c r="B32" s="230"/>
      <c r="C32" s="230"/>
      <c r="D32" s="230"/>
      <c r="E32" s="230"/>
      <c r="F32" s="230"/>
      <c r="G32" s="230"/>
      <c r="J32" s="264"/>
      <c r="K32" s="47"/>
      <c r="L32" s="47"/>
      <c r="M32" s="39">
        <f>P30</f>
        <v>3.3858000000000006</v>
      </c>
      <c r="N32" s="12">
        <v>4000</v>
      </c>
      <c r="O32" s="12">
        <f t="shared" ref="O32:O37" si="12">M32*N32</f>
        <v>13543.200000000003</v>
      </c>
      <c r="P32" s="14" t="s">
        <v>21</v>
      </c>
      <c r="Q32" s="14"/>
      <c r="R32" s="14"/>
      <c r="S32" s="241"/>
      <c r="T32" s="14"/>
      <c r="U32" s="294" t="s">
        <v>150</v>
      </c>
      <c r="V32" s="291">
        <v>3625</v>
      </c>
      <c r="W32" s="59" t="s">
        <v>151</v>
      </c>
      <c r="X32" s="296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4"/>
      <c r="K33" s="47"/>
      <c r="L33" s="47"/>
      <c r="M33" s="248">
        <v>1</v>
      </c>
      <c r="N33" s="12">
        <v>25000</v>
      </c>
      <c r="O33" s="12">
        <f t="shared" si="12"/>
        <v>25000</v>
      </c>
      <c r="P33" s="39" t="s">
        <v>31</v>
      </c>
      <c r="Q33" s="42"/>
      <c r="R33" s="14"/>
      <c r="S33" s="240"/>
      <c r="T33" s="14"/>
      <c r="U33" s="294"/>
      <c r="V33" s="59">
        <v>906.25</v>
      </c>
      <c r="W33" s="59" t="s">
        <v>152</v>
      </c>
      <c r="X33" s="296"/>
    </row>
    <row r="34" spans="1:24" s="230" customFormat="1" ht="17.399999999999999" x14ac:dyDescent="0.35">
      <c r="B34" s="24" t="s">
        <v>148</v>
      </c>
      <c r="J34" s="261"/>
      <c r="K34" s="232"/>
      <c r="L34" s="249"/>
      <c r="M34" s="14">
        <v>1</v>
      </c>
      <c r="N34" s="249">
        <v>52823</v>
      </c>
      <c r="O34" s="12">
        <f t="shared" si="12"/>
        <v>52823</v>
      </c>
      <c r="P34" s="39" t="s">
        <v>30</v>
      </c>
      <c r="Q34" s="42"/>
      <c r="S34" s="240"/>
      <c r="T34" s="255"/>
      <c r="U34" s="59"/>
      <c r="V34" s="59">
        <f>V33*20%</f>
        <v>181.25</v>
      </c>
      <c r="W34" s="296" t="s">
        <v>153</v>
      </c>
      <c r="X34" s="59"/>
    </row>
    <row r="35" spans="1:24" s="230" customFormat="1" ht="17.399999999999999" x14ac:dyDescent="0.35">
      <c r="B35" s="24" t="s">
        <v>162</v>
      </c>
      <c r="C35"/>
      <c r="D35"/>
      <c r="E35"/>
      <c r="F35"/>
      <c r="J35" s="261"/>
      <c r="K35" s="232"/>
      <c r="L35" s="249"/>
      <c r="M35" s="14"/>
      <c r="N35" s="249">
        <f>(68790/1.19)*0.88</f>
        <v>50869.915966386558</v>
      </c>
      <c r="O35" s="12">
        <f t="shared" si="12"/>
        <v>0</v>
      </c>
      <c r="P35" s="14" t="s">
        <v>139</v>
      </c>
      <c r="Q35" s="17"/>
      <c r="S35" s="238"/>
      <c r="T35" s="255"/>
      <c r="U35" s="59"/>
      <c r="V35" s="59">
        <f>V33+V34</f>
        <v>1087.5</v>
      </c>
      <c r="W35" s="296" t="s">
        <v>154</v>
      </c>
      <c r="X35" s="59"/>
    </row>
    <row r="36" spans="1:24" s="230" customFormat="1" ht="17.399999999999999" x14ac:dyDescent="0.35">
      <c r="A36" s="230" t="s">
        <v>283</v>
      </c>
      <c r="B36" s="29" t="s">
        <v>124</v>
      </c>
      <c r="C36"/>
      <c r="D36"/>
      <c r="E36"/>
      <c r="F36" s="229" t="s">
        <v>15</v>
      </c>
      <c r="J36" s="261"/>
      <c r="K36" s="259"/>
      <c r="L36" s="249"/>
      <c r="M36" s="248"/>
      <c r="N36" s="249">
        <v>900</v>
      </c>
      <c r="O36" s="12">
        <f t="shared" si="12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86"/>
      <c r="K37" s="259"/>
      <c r="L37" s="249"/>
      <c r="M37" s="265">
        <v>5.13</v>
      </c>
      <c r="N37" s="12">
        <v>2000</v>
      </c>
      <c r="O37" s="12">
        <f t="shared" si="12"/>
        <v>10260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59"/>
      <c r="L38" s="249"/>
      <c r="M38" s="14"/>
      <c r="N38" s="12"/>
      <c r="O38" s="12">
        <f>SUM(O32:O37)</f>
        <v>101626.20000000001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49"/>
      <c r="M39" s="253" t="s">
        <v>33</v>
      </c>
      <c r="N39" s="12"/>
      <c r="O39" s="254">
        <f>O38*2.1</f>
        <v>213415.02000000005</v>
      </c>
      <c r="P39" s="14" t="s">
        <v>138</v>
      </c>
      <c r="Q39" s="14"/>
      <c r="R39" s="40">
        <f>P30/R38</f>
        <v>0.91290983606557385</v>
      </c>
      <c r="S39"/>
      <c r="T39" s="256"/>
    </row>
    <row r="40" spans="1:24" s="230" customFormat="1" ht="17.399999999999999" x14ac:dyDescent="0.35">
      <c r="G40"/>
      <c r="H40" s="259"/>
      <c r="I40" s="259"/>
      <c r="J40" s="259"/>
      <c r="K40" s="230">
        <v>42800</v>
      </c>
      <c r="L40" s="249"/>
      <c r="M40" s="14"/>
      <c r="N40" s="12"/>
      <c r="O40" s="12">
        <f>O39/P28</f>
        <v>75638.851674641162</v>
      </c>
      <c r="P40" s="45" t="s">
        <v>24</v>
      </c>
      <c r="Q40" s="14"/>
      <c r="R40" s="14"/>
      <c r="S40"/>
      <c r="T40" s="238"/>
      <c r="U40" s="59" t="s">
        <v>155</v>
      </c>
      <c r="V40" s="291">
        <v>43650</v>
      </c>
    </row>
    <row r="41" spans="1:24" s="230" customFormat="1" ht="17.399999999999999" x14ac:dyDescent="0.35">
      <c r="G41"/>
      <c r="K41" s="230">
        <f>K40/1.19</f>
        <v>35966.386554621851</v>
      </c>
      <c r="L41" s="249"/>
      <c r="M41" s="13"/>
      <c r="N41" s="14"/>
      <c r="O41" s="17">
        <f>O39/O38</f>
        <v>2.1</v>
      </c>
      <c r="P41" s="15"/>
      <c r="Q41"/>
      <c r="R41"/>
      <c r="S41"/>
      <c r="T41" s="238"/>
      <c r="U41" s="59" t="s">
        <v>157</v>
      </c>
      <c r="V41" s="292" t="s">
        <v>156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158</v>
      </c>
      <c r="V42" s="293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153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49"/>
    </row>
    <row r="46" spans="1:24" x14ac:dyDescent="0.3">
      <c r="L46" s="249"/>
      <c r="T46" s="269"/>
    </row>
    <row r="47" spans="1:24" x14ac:dyDescent="0.3">
      <c r="L47" s="249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1">
    <mergeCell ref="B19:H19"/>
  </mergeCells>
  <phoneticPr fontId="32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46156</v>
      </c>
    </row>
    <row r="6" spans="2:31" ht="16.2" thickBot="1" x14ac:dyDescent="0.35">
      <c r="B6" s="140" t="s">
        <v>2</v>
      </c>
      <c r="C6" s="139" t="str">
        <f>'2229'!C10</f>
        <v>MIRIAM ACUÑA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5" t="s">
        <v>98</v>
      </c>
      <c r="I7" s="436"/>
      <c r="J7" s="436"/>
      <c r="K7" s="437"/>
      <c r="N7" s="75"/>
      <c r="O7" s="43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12138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-2239.0867001207712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213415</v>
      </c>
      <c r="E11" s="132">
        <f>D11*0.19</f>
        <v>40548.85</v>
      </c>
      <c r="F11" s="131">
        <f>E11+D11</f>
        <v>253963.85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103750.91329987923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121200.29078743962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85750.913299879234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92214.709212560381</v>
      </c>
      <c r="E13" s="221">
        <f>(D11/D12)-1</f>
        <v>0.76084561029879061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76750.913299879234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37750.913299879227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199980.47979927537</v>
      </c>
      <c r="F15" s="216">
        <f>E15-D12</f>
        <v>78780.189011835755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37750.913299879227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77750.913299879234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52823</v>
      </c>
      <c r="E18" s="123">
        <f>D18*0.19</f>
        <v>10036.370000000001</v>
      </c>
      <c r="F18" s="120">
        <f>SUM(D18:E18)</f>
        <v>62859.37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13543.200000000003</v>
      </c>
      <c r="E20" s="121">
        <f>D20*0.19</f>
        <v>2573.2080000000005</v>
      </c>
      <c r="F20" s="120">
        <f>SUM(D20:E20)</f>
        <v>16116.408000000003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91366.2</v>
      </c>
      <c r="E21" s="116">
        <f>SUM(E18:E20)</f>
        <v>17359.578000000001</v>
      </c>
      <c r="F21" s="115">
        <f>SUM(F18:F20)</f>
        <v>108725.77799999999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23189.271999999997</v>
      </c>
    </row>
    <row r="41" spans="2:16" ht="15" thickBot="1" x14ac:dyDescent="0.35">
      <c r="H41" s="438" t="s">
        <v>60</v>
      </c>
      <c r="I41" s="439"/>
      <c r="J41" s="439"/>
      <c r="K41" s="439"/>
      <c r="L41" s="439"/>
      <c r="M41" s="44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213415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91366.2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92214.709212560381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92214.709212560381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12138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MIRIAM ACUÑA</v>
      </c>
      <c r="D10" s="349"/>
      <c r="E10" s="349"/>
      <c r="F10" s="350" t="s">
        <v>167</v>
      </c>
      <c r="G10" s="351">
        <f>'2229'!G10</f>
        <v>46156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46163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SI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+56 9 7166 5105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41" t="s">
        <v>175</v>
      </c>
      <c r="G17" s="441"/>
      <c r="H17" s="44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3" t="s">
        <v>176</v>
      </c>
      <c r="C20" s="444"/>
      <c r="D20" s="444"/>
      <c r="E20" s="444"/>
      <c r="F20" s="444"/>
      <c r="G20" s="444"/>
      <c r="H20" s="445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C/R FRENTE 90° R8</v>
      </c>
      <c r="D22" s="320">
        <f>'2229'!D21*1000</f>
        <v>2790</v>
      </c>
      <c r="E22" s="320">
        <f>'2229'!E21*1000</f>
        <v>550</v>
      </c>
      <c r="F22" s="321" t="str">
        <f>'2229'!F21</f>
        <v>GRANITINO NEGRO 3014 MT</v>
      </c>
      <c r="G22" s="313">
        <f>'2229'!G21</f>
        <v>119396</v>
      </c>
      <c r="H22" s="322">
        <f>G22*B22</f>
        <v>119396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119396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22685.24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142081.24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6" t="s">
        <v>182</v>
      </c>
      <c r="C2" s="446"/>
      <c r="D2" s="446"/>
      <c r="E2" s="360"/>
      <c r="G2" s="446" t="s">
        <v>183</v>
      </c>
      <c r="H2" s="446"/>
      <c r="I2" s="446"/>
      <c r="P2" s="447" t="s">
        <v>184</v>
      </c>
      <c r="Q2" s="447"/>
      <c r="R2" s="447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47" t="s">
        <v>184</v>
      </c>
      <c r="M8" s="447"/>
      <c r="N8" s="447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2" t="s">
        <v>265</v>
      </c>
      <c r="L3" s="452"/>
      <c r="M3" s="452" t="s">
        <v>266</v>
      </c>
      <c r="N3" s="452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MIRIAM ACUÑA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46156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46163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3" t="s">
        <v>265</v>
      </c>
      <c r="B10" s="453"/>
      <c r="C10" s="453"/>
      <c r="D10" s="453"/>
      <c r="E10" s="453"/>
      <c r="F10" s="453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3" t="s">
        <v>266</v>
      </c>
      <c r="B17" s="453"/>
      <c r="C17" s="453"/>
      <c r="D17" s="453"/>
      <c r="E17" s="453"/>
      <c r="F17" s="453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3" t="s">
        <v>272</v>
      </c>
      <c r="B45" s="453"/>
      <c r="C45" s="453"/>
      <c r="D45" s="453"/>
      <c r="E45" s="453"/>
      <c r="F45" s="45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48" t="s">
        <v>95</v>
      </c>
      <c r="C47" s="449"/>
      <c r="D47" s="450"/>
      <c r="E47" s="450"/>
      <c r="F47" s="451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12138</v>
      </c>
      <c r="C2" s="1">
        <f>'NOTA DE VENTA'!$G$10</f>
        <v>46156</v>
      </c>
      <c r="D2" s="1">
        <f>'NOTA DE VENTA'!$G$11</f>
        <v>46163</v>
      </c>
      <c r="E2" t="str">
        <f>'NOTA DE VENTA'!$C$10</f>
        <v>MIRIAM ACUÑA</v>
      </c>
      <c r="F2" t="str">
        <f>'NOTA DE VENTA'!$C$22</f>
        <v>CUB C/R FRENTE 90° R8</v>
      </c>
      <c r="G2" t="str">
        <f>'NOTA DE VENTA'!$F$22</f>
        <v>GRANITINO NEGRO 3014 MT</v>
      </c>
      <c r="H2" s="415">
        <f>'NOTA DE VENTA'!$H$25</f>
        <v>119396</v>
      </c>
      <c r="I2" s="415">
        <f>H2*0.19</f>
        <v>22685.24</v>
      </c>
      <c r="J2" s="415">
        <f>I2+H2</f>
        <v>142081.24</v>
      </c>
      <c r="L2" s="61">
        <f>J2-K2</f>
        <v>142081.24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2026-04-28T16:45:30Z</cp:lastPrinted>
  <dcterms:created xsi:type="dcterms:W3CDTF">2013-03-18T13:35:42Z</dcterms:created>
  <dcterms:modified xsi:type="dcterms:W3CDTF">2026-05-14T16:30:47Z</dcterms:modified>
</cp:coreProperties>
</file>