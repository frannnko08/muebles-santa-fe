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E84D860B-0ABB-4B42-9085-2DF3B135176B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 s="1"/>
  <c r="P23" i="1" s="1"/>
  <c r="P28" i="1" s="1"/>
  <c r="S23" i="1"/>
  <c r="L24" i="1"/>
  <c r="M24" i="1"/>
  <c r="N24" i="1"/>
  <c r="O24" i="1"/>
  <c r="P24" i="1"/>
  <c r="S24" i="1"/>
  <c r="H22" i="1"/>
  <c r="O34" i="1"/>
  <c r="T21" i="1" l="1"/>
  <c r="T27" i="1" s="1"/>
  <c r="N5" i="6"/>
  <c r="A2" i="7"/>
  <c r="S29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8" i="1"/>
  <c r="L28" i="1" s="1"/>
  <c r="S30" i="1" l="1"/>
  <c r="K42" i="1"/>
  <c r="S31" i="1" l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3" i="1" l="1"/>
  <c r="Q24" i="1"/>
  <c r="O42" i="1"/>
  <c r="E15" i="3"/>
  <c r="R23" i="1" l="1"/>
  <c r="G23" i="1"/>
  <c r="H23" i="1" s="1"/>
  <c r="H27" i="1" s="1"/>
  <c r="R24" i="1"/>
  <c r="G24" i="1"/>
  <c r="H24" i="1" s="1"/>
  <c r="H21" i="1"/>
  <c r="F15" i="3"/>
  <c r="H28" i="1" l="1"/>
  <c r="H29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<sst xmlns="http://schemas.openxmlformats.org/spreadsheetml/2006/main" count="492" uniqueCount="298">
  <si>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</si>
  <si>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</si>
  <si>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</si>
  <si>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</si>
  <si>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</si>
  <si>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</si>
  <si>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</si>
  <si>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</si>
  <si>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</si>
  <si>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</si>
  <si>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</si>
  <si>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</si>
  <si>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</si>
  <si>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</si>
  <si>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</si>
  <si>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</si>
  <si>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</si>
  <si>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</si>
  <si>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</si>
  <si>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</si>
  <si>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</si>
  <si>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</si>
  <si>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</si>
  <si>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</si>
  <si>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</si>
  <si>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</si>
  <si>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</si>
  <si>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</si>
  <si>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</si>
  <si>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</si>
  <si>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</si>
  <si>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</si>
  <si>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</si>
  <si>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</si>
  <si>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</si>
  <si>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</si>
  <si>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</si>
  <si>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</si>
  <si>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</si>
  <si>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</si>
  <si>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</si>
  <si>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</si>
  <si>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</si>
  <si>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</si>
  <si>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</si>
  <si>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</si>
  <si>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</si>
  <si>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</si>
  <si>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</si>
  <si>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</si>
  <si>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</si>
  <si>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</si>
  <si>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</si>
  <si>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</si>
  <si>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</si>
  <si>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</si>
  <si>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</si>
  <si>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</si>
  <si>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</si>
  <si>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</si>
  <si>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</si>
  <si>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</si>
  <si>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</si>
  <si>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</si>
  <si>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</si>
  <si>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</si>
  <si>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</si>
  <si>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</si>
  <si>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</si>
  <si>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</si>
  <si>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</si>
  <si>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</si>
  <si>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</si>
  <si>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</si>
  <si>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</si>
  <si>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</si>
  <si>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</si>
  <si>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</si>
  <si>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</si>
  <si>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</si>
  <si>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</si>
  <si>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</si>
  <si>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</si>
  <si>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</si>
  <si>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</si>
  <si>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</si>
  <si>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</si>
  <si>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</si>
  <si>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</si>
  <si>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</si>
  <si>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</si>
  <si>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</si>
  <si>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</si>
  <si>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</si>
  <si>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</si>
  <si>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</si>
  <si>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</si>
  <si>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</si>
  <si>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</si>
  <si>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</si>
  <si>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</si>
  <si>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</si>
  <si>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</si>
  <si>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</si>
  <si>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</si>
  <si>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</si>
  <si>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</si>
  <si>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</si>
  <si>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</si>
  <si>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</si>
  <si>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</si>
  <si>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</si>
  <si>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</si>
  <si>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</si>
  <si>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</si>
  <si>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</si>
  <si>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</si>
  <si>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</si>
  <si>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</si>
  <si>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</si>
  <si>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</si>
  <si>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</si>
  <si>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</si>
  <si>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</si>
  <si>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</si>
  <si>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</si>
  <si>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</si>
  <si>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</si>
  <si>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</si>
  <si>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</si>
  <si>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</si>
  <si>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</si>
  <si>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</si>
  <si>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</si>
  <si>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</si>
  <si>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</si>
  <si>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</si>
  <si>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</si>
  <si>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</si>
  <si>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</si>
  <si>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</si>
  <si>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</si>
  <si>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</si>
  <si>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</si>
  <si>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</si>
  <si>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</si>
  <si>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</si>
  <si>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</si>
  <si>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</si>
  <si>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</si>
  <si>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</si>
  <si>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</si>
  <si>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</si>
  <si>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</si>
  <si>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</si>
  <si>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</si>
  <si>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</si>
  <si>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</si>
  <si>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</si>
  <si>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</si>
  <si>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</si>
  <si>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</si>
  <si>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</si>
  <si>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</si>
  <si>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</si>
  <si>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</si>
  <si>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</si>
  <si>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</si>
  <si>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</si>
  <si>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</si>
  <si>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</si>
  <si>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</si>
  <si>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</si>
  <si>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</si>
  <si>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</si>
  <si>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</si>
  <si>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</si>
  <si>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</si>
  <si>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</si>
  <si>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</si>
  <si>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</si>
  <si>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</si>
  <si>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</si>
  <si>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</si>
  <si>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</si>
  <si>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</si>
  <si>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</si>
  <si>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</si>
  <si>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</si>
  <si>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</si>
  <si>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</si>
  <si>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</si>
  <si>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</si>
  <si>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</si>
  <si>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</si>
  <si>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</si>
  <si>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</si>
  <si>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</si>
  <si>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</si>
  <si>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</si>
  <si>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</si>
  <si>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</si>
  <si>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</si>
  <si>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</si>
  <si>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</si>
  <si>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</si>
  <si>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</si>
  <si>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</si>
  <si>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</si>
  <si>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</si>
  <si>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</si>
  <si>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</si>
  <si>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</si>
  <si>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</si>
  <si>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</si>
  <si>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</si>
  <si>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</si>
  <si>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</si>
  <si>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</si>
  <si>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</si>
  <si>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</si>
  <si>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</si>
  <si>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</si>
  <si>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</si>
  <si>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</si>
  <si>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</si>
  <si>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</si>
  <si>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</si>
  <si>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</si>
  <si>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</si>
  <si>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</si>
  <si>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</si>
  <si>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</si>
  <si>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</si>
  <si>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</si>
  <si>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</si>
  <si>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</si>
  <si>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</si>
  <si>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</si>
  <si>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</si>
  <si>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</si>
  <si>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</si>
  <si>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</si>
  <si>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</si>
  <si>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</si>
  <si>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</si>
  <si>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</si>
  <si>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</si>
  <si>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</si>
  <si>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</si>
  <si>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</si>
  <si>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</si>
  <si>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</si>
  <si>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</si>
  <si>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</si>
  <si>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</si>
  <si>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</si>
  <si>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</si>
  <si>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</si>
  <si>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</si>
  <si>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</si>
  <si>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</si>
  <si>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</si>
  <si>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</si>
  <si>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</si>
  <si>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</si>
  <si>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</si>
  <si>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</si>
  <si>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</si>
  <si>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</si>
  <si>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</si>
  <si>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</si>
  <si>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</si>
  <si>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</si>
  <si>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</si>
  <si>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</si>
  <si>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</si>
  <si>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</si>
  <si>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</si>
  <si>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</si>
  <si>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</si>
  <si>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</si>
  <si>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</si>
  <si>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</si>
  <si>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</si>
  <si>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</si>
  <si>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</si>
  <si>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</si>
  <si>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</si>
  <si>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</si>
  <si>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5 DÍAS HÁBILES</t>
  </si>
  <si>
    <t>VICTOR CABRERA</t>
  </si>
  <si>
    <t>N° 12133</t>
  </si>
  <si>
    <t>+569 7202 3868</t>
  </si>
  <si>
    <t>SUNSET 2239</t>
  </si>
  <si>
    <t>CUB CON RESPALDO FTE 180°</t>
  </si>
  <si>
    <t>PUERTA R8</t>
  </si>
  <si>
    <t>MAPLE FUSION 1323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</si>
</sst>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50" fillId="0" borderId="0" xfId="0" quotePrefix="1" applyFont="1" applyAlignment="1">
      <alignment horizontal="left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5</xdr:col>
      <xdr:colOff>1736459</xdr:colOff>
      <xdr:row>28</xdr:row>
      <xdr:rowOff>217415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8214" y="4950907"/>
          <a:ext cx="6331487" cy="88730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CORTADAS A LA</a:t>
          </a:r>
          <a:r>
            <a:rPr lang="es-CL" sz="1200" b="1" baseline="0"/>
            <a:t> MEDIDA Y ENCHAPADAS. RESPALDO DE 7cm DESDE LA BASE.</a:t>
          </a:r>
        </a:p>
        <a:p>
          <a:pPr algn="l"/>
          <a:r>
            <a:rPr lang="es-CL" sz="1200" b="1" baseline="0"/>
            <a:t>PUERTAS CORTADAS A LA MEDIDA Y ENCHAPADAS.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5" zoomScale="91" zoomScaleNormal="91" workbookViewId="0">
      <selection activeCell="F25" sqref="F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291</v>
      </c>
      <c r="D10" s="243"/>
      <c r="E10" s="243"/>
      <c r="F10" s="418" t="s">
        <v>275</v>
      </c>
      <c r="G10" s="275">
        <v>46155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2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3" t="s">
        <v>94</v>
      </c>
      <c r="C19" s="444"/>
      <c r="D19" s="444"/>
      <c r="E19" s="444"/>
      <c r="F19" s="444"/>
      <c r="G19" s="444"/>
      <c r="H19" s="44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129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O41</f>
        <v>62227.963674617327</v>
      </c>
      <c r="R20" s="257">
        <v>2000</v>
      </c>
      <c r="S20" s="38"/>
      <c r="T20" s="14" t="s">
        <v>126</v>
      </c>
      <c r="U20" s="9"/>
      <c r="X20" s="4"/>
    </row>
    <row r="21" spans="2:25" ht="17.399999999999999" x14ac:dyDescent="0.3">
      <c r="B21" s="312">
        <v>1</v>
      </c>
      <c r="C21" s="313" t="s">
        <v>295</v>
      </c>
      <c r="D21" s="434">
        <v>1.9119999999999999</v>
      </c>
      <c r="E21" s="434">
        <v>0.55000000000000004</v>
      </c>
      <c r="F21" s="313" t="s">
        <v>294</v>
      </c>
      <c r="G21" s="314">
        <v>120224</v>
      </c>
      <c r="H21" s="435">
        <f>G21*B21</f>
        <v>120224</v>
      </c>
      <c r="I21" s="306"/>
      <c r="J21" s="264"/>
      <c r="K21" s="47"/>
      <c r="L21" s="47"/>
      <c r="M21" s="39"/>
      <c r="N21" s="39"/>
      <c r="O21" s="260"/>
      <c r="P21" s="258"/>
      <c r="Q21" s="251"/>
      <c r="R21" s="305"/>
      <c r="S21" s="290"/>
      <c r="T21" s="46">
        <f>N21*L21*2</f>
        <v>0</v>
      </c>
      <c r="U21" s="9"/>
      <c r="X21" s="4"/>
    </row>
    <row r="22" spans="2:25" ht="17.399999999999999" x14ac:dyDescent="0.3">
      <c r="B22" s="436">
        <v>1</v>
      </c>
      <c r="C22" s="431" t="s">
        <v>295</v>
      </c>
      <c r="D22" s="432">
        <v>1.702</v>
      </c>
      <c r="E22" s="432">
        <v>0.55000000000000004</v>
      </c>
      <c r="F22" s="431" t="s">
        <v>294</v>
      </c>
      <c r="G22" s="433">
        <v>107549</v>
      </c>
      <c r="H22" s="437">
        <f>G22*B22</f>
        <v>107549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7.399999999999999" x14ac:dyDescent="0.3">
      <c r="B23" s="436">
        <v>5</v>
      </c>
      <c r="C23" s="431" t="s">
        <v>296</v>
      </c>
      <c r="D23" s="432">
        <v>0.7</v>
      </c>
      <c r="E23" s="432">
        <v>0.379</v>
      </c>
      <c r="F23" s="431" t="s">
        <v>297</v>
      </c>
      <c r="G23" s="433">
        <f>Q23</f>
        <v>18395.830621490375</v>
      </c>
      <c r="H23" s="437">
        <f>G23*B23</f>
        <v>91979.153107451872</v>
      </c>
      <c r="I23" s="306"/>
      <c r="J23" s="264"/>
      <c r="K23" s="47"/>
      <c r="L23" s="47">
        <f t="shared" ref="L23:L24" si="0">B23</f>
        <v>5</v>
      </c>
      <c r="M23" s="39">
        <f t="shared" ref="M23:M24" si="1">D23+M$19</f>
        <v>0.77999999999999992</v>
      </c>
      <c r="N23" s="39">
        <f t="shared" ref="N23:N24" si="2">E23+$N$19</f>
        <v>0.379</v>
      </c>
      <c r="O23" s="260">
        <f t="shared" ref="O23:O24" si="3">M23*N23</f>
        <v>0.29561999999999999</v>
      </c>
      <c r="P23" s="258">
        <f t="shared" ref="P23:P24" si="4">O23*L23</f>
        <v>1.4781</v>
      </c>
      <c r="Q23" s="251">
        <f t="shared" ref="Q23:Q24" si="5">Q$20*O23</f>
        <v>18395.830621490375</v>
      </c>
      <c r="R23" s="305">
        <f t="shared" ref="R23:R24" si="6">Q23+R$20</f>
        <v>20395.830621490375</v>
      </c>
      <c r="S23" s="290">
        <f t="shared" ref="S23:S24" si="7">M23*L23*2</f>
        <v>7.7999999999999989</v>
      </c>
      <c r="T23" s="46"/>
      <c r="U23" s="9"/>
      <c r="X23" s="4"/>
    </row>
    <row r="24" spans="2:25" ht="18" thickBot="1" x14ac:dyDescent="0.35">
      <c r="B24" s="438">
        <v>4</v>
      </c>
      <c r="C24" s="439" t="s">
        <v>296</v>
      </c>
      <c r="D24" s="440">
        <v>0.7</v>
      </c>
      <c r="E24" s="440">
        <v>0.42199999999999999</v>
      </c>
      <c r="F24" s="439" t="s">
        <v>297</v>
      </c>
      <c r="G24" s="441">
        <f>Q24</f>
        <v>20482.956523137036</v>
      </c>
      <c r="H24" s="442">
        <f>G24*B24</f>
        <v>81931.826092548145</v>
      </c>
      <c r="I24" s="306"/>
      <c r="J24" s="264"/>
      <c r="K24" s="47"/>
      <c r="L24" s="47">
        <f t="shared" si="0"/>
        <v>4</v>
      </c>
      <c r="M24" s="39">
        <f t="shared" si="1"/>
        <v>0.77999999999999992</v>
      </c>
      <c r="N24" s="39">
        <f t="shared" si="2"/>
        <v>0.42199999999999999</v>
      </c>
      <c r="O24" s="260">
        <f t="shared" si="3"/>
        <v>0.32915999999999995</v>
      </c>
      <c r="P24" s="258">
        <f t="shared" si="4"/>
        <v>1.3166399999999998</v>
      </c>
      <c r="Q24" s="251">
        <f t="shared" si="5"/>
        <v>20482.956523137036</v>
      </c>
      <c r="R24" s="305">
        <f t="shared" si="6"/>
        <v>22482.956523137036</v>
      </c>
      <c r="S24" s="290">
        <f t="shared" si="7"/>
        <v>6.2399999999999993</v>
      </c>
      <c r="T24" s="46"/>
      <c r="U24" s="9"/>
      <c r="X24" s="4"/>
    </row>
    <row r="25" spans="2:25" ht="17.399999999999999" x14ac:dyDescent="0.3">
      <c r="B25" s="283"/>
      <c r="C25" s="283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401683.9792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SUM(T21:T26)</f>
        <v>0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50</v>
      </c>
      <c r="H28" s="287">
        <f>H27*19%</f>
        <v>76319.956048000007</v>
      </c>
      <c r="I28" s="308"/>
      <c r="J28" s="264"/>
      <c r="K28" s="47"/>
      <c r="L28" s="429">
        <f>M28*10</f>
        <v>15.599999999999998</v>
      </c>
      <c r="M28" s="39">
        <f>SUM(M21:M27)</f>
        <v>1.5599999999999998</v>
      </c>
      <c r="N28" s="12"/>
      <c r="O28" s="12"/>
      <c r="P28" s="252">
        <f>SUM(P21:P26)</f>
        <v>2.79474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478003.93524800002</v>
      </c>
      <c r="I29" s="308"/>
      <c r="J29" s="264"/>
      <c r="K29" s="47"/>
      <c r="L29" s="47"/>
      <c r="M29" s="39"/>
      <c r="N29" s="12"/>
      <c r="O29" s="12"/>
      <c r="P29" s="252">
        <f>P28</f>
        <v>2.79474</v>
      </c>
      <c r="Q29" s="14"/>
      <c r="R29" s="12"/>
      <c r="S29" s="239">
        <f>SUM(S21:S28)</f>
        <v>14.04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0.558948</v>
      </c>
      <c r="Q30" s="39" t="s">
        <v>128</v>
      </c>
      <c r="R30" s="42"/>
      <c r="S30" s="240">
        <f>S29+T27</f>
        <v>14.04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3.353688</v>
      </c>
      <c r="Q31" s="14"/>
      <c r="R31" s="14"/>
      <c r="S31" s="238">
        <f>S30*20%</f>
        <v>2.8079999999999998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16.847999999999999</v>
      </c>
      <c r="T32" s="14"/>
      <c r="U32" s="294" t="s">
        <v>21</v>
      </c>
      <c r="V32" s="291" t="s">
        <v>147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3.353688</v>
      </c>
      <c r="N33" s="12">
        <v>4000</v>
      </c>
      <c r="O33" s="12">
        <f t="shared" ref="O33:O38" si="8">M33*N33</f>
        <v>13414.752</v>
      </c>
      <c r="P33" s="14" t="s">
        <v>21</v>
      </c>
      <c r="Q33" s="14"/>
      <c r="R33" s="14"/>
      <c r="S33" s="241"/>
      <c r="T33" s="14"/>
      <c r="U33" s="294" t="s">
        <v>148</v>
      </c>
      <c r="V33" s="291">
        <v>3625</v>
      </c>
      <c r="W33" s="59" t="s">
        <v>149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0.9</v>
      </c>
      <c r="N34" s="12">
        <v>42000</v>
      </c>
      <c r="O34" s="12">
        <f t="shared" si="8"/>
        <v>37800</v>
      </c>
      <c r="P34" s="39" t="s">
        <v>286</v>
      </c>
      <c r="Q34" s="42"/>
      <c r="R34" s="14"/>
      <c r="S34" s="240"/>
      <c r="T34" s="14"/>
      <c r="U34" s="294"/>
      <c r="V34" s="59">
        <v>906.25</v>
      </c>
      <c r="W34" s="59" t="s">
        <v>150</v>
      </c>
      <c r="X34" s="296"/>
    </row>
    <row r="35" spans="1:24" s="230" customFormat="1" ht="17.399999999999999" x14ac:dyDescent="0.35">
      <c r="B35" s="24" t="s">
        <v>146</v>
      </c>
      <c r="J35" s="261"/>
      <c r="K35" s="232"/>
      <c r="L35" s="249"/>
      <c r="M35" s="14"/>
      <c r="N35" s="249">
        <v>33975</v>
      </c>
      <c r="O35" s="12">
        <f t="shared" si="8"/>
        <v>0</v>
      </c>
      <c r="P35" s="39" t="s">
        <v>287</v>
      </c>
      <c r="Q35" s="42"/>
      <c r="S35" s="240"/>
      <c r="T35" s="255"/>
      <c r="U35" s="59"/>
      <c r="V35" s="59">
        <f>V34*20%</f>
        <v>181.25</v>
      </c>
      <c r="W35" s="296" t="s">
        <v>151</v>
      </c>
      <c r="X35" s="59"/>
    </row>
    <row r="36" spans="1:24" s="230" customFormat="1" ht="17.399999999999999" x14ac:dyDescent="0.35">
      <c r="B36" s="24" t="s">
        <v>160</v>
      </c>
      <c r="C36"/>
      <c r="D36"/>
      <c r="E36"/>
      <c r="F36"/>
      <c r="J36" s="261"/>
      <c r="K36" s="232"/>
      <c r="L36" s="249"/>
      <c r="M36" s="14">
        <v>2</v>
      </c>
      <c r="N36" s="249">
        <v>15800</v>
      </c>
      <c r="O36" s="12">
        <f t="shared" si="8"/>
        <v>31600</v>
      </c>
      <c r="P36" s="14" t="s">
        <v>288</v>
      </c>
      <c r="Q36" s="17"/>
      <c r="S36" s="238"/>
      <c r="T36" s="255"/>
      <c r="U36" s="59"/>
      <c r="V36" s="59">
        <f>V34+V35</f>
        <v>1087.5</v>
      </c>
      <c r="W36" s="296" t="s">
        <v>152</v>
      </c>
      <c r="X36" s="59"/>
    </row>
    <row r="37" spans="1:24" s="230" customFormat="1" ht="17.399999999999999" x14ac:dyDescent="0.35">
      <c r="A37" s="230" t="s">
        <v>281</v>
      </c>
      <c r="B37" s="29" t="s">
        <v>123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90000</v>
      </c>
      <c r="O37" s="12">
        <f t="shared" si="8"/>
        <v>0</v>
      </c>
      <c r="P37" s="14" t="s">
        <v>289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2000</v>
      </c>
      <c r="O38" s="12">
        <f t="shared" si="8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82814.752000000008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32</v>
      </c>
      <c r="N40" s="12"/>
      <c r="O40" s="254">
        <f>O39*2.1</f>
        <v>173910.97920000003</v>
      </c>
      <c r="P40" s="14" t="s">
        <v>137</v>
      </c>
      <c r="Q40" s="14"/>
      <c r="R40" s="40">
        <f>P31/R39</f>
        <v>0.90425150992234682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51290</v>
      </c>
      <c r="L41" s="249"/>
      <c r="M41" s="14"/>
      <c r="N41" s="12"/>
      <c r="O41" s="12">
        <f>O40/P29</f>
        <v>62227.963674617327</v>
      </c>
      <c r="P41" s="45" t="s">
        <v>24</v>
      </c>
      <c r="Q41" s="14"/>
      <c r="R41" s="14"/>
      <c r="S41"/>
      <c r="T41" s="238"/>
      <c r="U41" s="59" t="s">
        <v>153</v>
      </c>
      <c r="V41" s="291">
        <v>43650</v>
      </c>
    </row>
    <row r="42" spans="1:24" s="230" customFormat="1" ht="17.399999999999999" x14ac:dyDescent="0.35">
      <c r="G42"/>
      <c r="K42" s="230">
        <f>K41/1.19</f>
        <v>43100.840336134454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155</v>
      </c>
      <c r="V42" s="292" t="s">
        <v>154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156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151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143</v>
      </c>
    </row>
    <row r="77" spans="3:15" x14ac:dyDescent="0.3">
      <c r="C77" t="s">
        <v>142</v>
      </c>
    </row>
    <row r="80" spans="3:15" x14ac:dyDescent="0.3">
      <c r="C80" t="s">
        <v>142</v>
      </c>
    </row>
    <row r="157" spans="3:3" x14ac:dyDescent="0.3">
      <c r="C157" t="s">
        <v>142</v>
      </c>
    </row>
    <row r="158" spans="3:3" x14ac:dyDescent="0.3">
      <c r="C158" t="s">
        <v>144</v>
      </c>
    </row>
    <row r="159" spans="3:3" x14ac:dyDescent="0.3">
      <c r="C159" t="s">
        <v>145</v>
      </c>
    </row>
    <row r="584" spans="3:3" x14ac:dyDescent="0.3">
      <c r="C584" t="s">
        <v>142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46155</v>
      </c>
    </row>
    <row r="6" spans="2:31" ht="16.2" thickBot="1" x14ac:dyDescent="0.35">
      <c r="B6" s="140" t="s">
        <v>2</v>
      </c>
      <c r="C6" s="139" t="str">
        <f>'2229'!C10</f>
        <v>VICTOR CABRERA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7" t="s">
        <v>97</v>
      </c>
      <c r="I7" s="448"/>
      <c r="J7" s="448"/>
      <c r="K7" s="449"/>
      <c r="N7" s="75"/>
      <c r="O7" s="44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12133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-44658.898100120772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'2229'!H27</f>
        <v>401683.9792</v>
      </c>
      <c r="E11" s="132">
        <f>D11*0.19</f>
        <v>76319.956048000007</v>
      </c>
      <c r="F11" s="131">
        <f>E11+D11</f>
        <v>478003.93524800002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61331.101899879228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81048.842787439615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43331.101899879228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320635.13641256036</v>
      </c>
      <c r="E13" s="221">
        <f>(D11/D12)-1</f>
        <v>3.9560729726081938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34331.101899879228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-4668.8981001207721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133730.59059927537</v>
      </c>
      <c r="F15" s="216">
        <f>E15-D12</f>
        <v>52681.747811835754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-4668.8981001207721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35331.101899879228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'2229'!O34</f>
        <v>37800</v>
      </c>
      <c r="E19" s="123">
        <f>D19*0.19</f>
        <v>7182</v>
      </c>
      <c r="F19" s="120">
        <f>SUM(D19:E19)</f>
        <v>44982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13414.752</v>
      </c>
      <c r="E20" s="121">
        <f>D20*0.19</f>
        <v>2548.8028800000002</v>
      </c>
      <c r="F20" s="120">
        <f>SUM(D20:E20)</f>
        <v>15963.55488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51214.752</v>
      </c>
      <c r="E21" s="116">
        <f>SUM(E18:E20)</f>
        <v>9730.8028799999993</v>
      </c>
      <c r="F21" s="115">
        <f>SUM(F18:F20)</f>
        <v>60945.554879999996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66589.153168000004</v>
      </c>
    </row>
    <row r="41" spans="2:16" ht="15" thickBot="1" x14ac:dyDescent="0.35">
      <c r="H41" s="450" t="s">
        <v>59</v>
      </c>
      <c r="I41" s="451"/>
      <c r="J41" s="451"/>
      <c r="K41" s="451"/>
      <c r="L41" s="451"/>
      <c r="M41" s="45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401683.9792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51214.752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320635.13641256036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320635.13641256036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12133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VICTOR CABRERA</v>
      </c>
      <c r="D10" s="350"/>
      <c r="E10" s="350"/>
      <c r="F10" s="351" t="s">
        <v>165</v>
      </c>
      <c r="G10" s="352">
        <f>'2229'!G10</f>
        <v>46155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46162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+569 7202 3868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3" t="s">
        <v>173</v>
      </c>
      <c r="G17" s="453"/>
      <c r="H17" s="45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5" t="s">
        <v>174</v>
      </c>
      <c r="C20" s="456"/>
      <c r="D20" s="456"/>
      <c r="E20" s="456"/>
      <c r="F20" s="456"/>
      <c r="G20" s="456"/>
      <c r="H20" s="45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8" t="s">
        <v>180</v>
      </c>
      <c r="C2" s="458"/>
      <c r="D2" s="458"/>
      <c r="E2" s="361"/>
      <c r="G2" s="458" t="s">
        <v>181</v>
      </c>
      <c r="H2" s="458"/>
      <c r="I2" s="458"/>
      <c r="P2" s="459" t="s">
        <v>182</v>
      </c>
      <c r="Q2" s="459"/>
      <c r="R2" s="459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9" t="s">
        <v>182</v>
      </c>
      <c r="M8" s="459"/>
      <c r="N8" s="459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4" t="s">
        <v>263</v>
      </c>
      <c r="L3" s="464"/>
      <c r="M3" s="464" t="s">
        <v>264</v>
      </c>
      <c r="N3" s="464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VICTOR CABRERA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46155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5" t="s">
        <v>263</v>
      </c>
      <c r="B10" s="465"/>
      <c r="C10" s="465"/>
      <c r="D10" s="465"/>
      <c r="E10" s="465"/>
      <c r="F10" s="46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5" t="s">
        <v>264</v>
      </c>
      <c r="B17" s="465"/>
      <c r="C17" s="465"/>
      <c r="D17" s="465"/>
      <c r="E17" s="465"/>
      <c r="F17" s="46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5" t="s">
        <v>270</v>
      </c>
      <c r="B45" s="465"/>
      <c r="C45" s="465"/>
      <c r="D45" s="465"/>
      <c r="E45" s="465"/>
      <c r="F45" s="46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0" t="s">
        <v>94</v>
      </c>
      <c r="C47" s="461"/>
      <c r="D47" s="462"/>
      <c r="E47" s="462"/>
      <c r="F47" s="463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12133</v>
      </c>
      <c r="C2" s="1">
        <f>'NOTA DE VENTA'!$G$10</f>
        <v>46155</v>
      </c>
      <c r="D2" s="1">
        <f>'NOTA DE VENTA'!$G$11</f>
        <v>46162</v>
      </c>
      <c r="E2" t="str">
        <f>'NOTA DE VENTA'!$C$10</f>
        <v>VICTOR CABRERA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2026-05-13T13:34:01Z</cp:lastPrinted>
  <dcterms:created xsi:type="dcterms:W3CDTF">2013-03-18T13:35:42Z</dcterms:created>
  <dcterms:modified xsi:type="dcterms:W3CDTF">2026-05-13T14:59:33Z</dcterms:modified>
</cp:coreProperties>
</file>