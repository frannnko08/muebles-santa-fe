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4F399521-4639-472D-9857-AEE15E184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H22" i="1" l="1"/>
  <c r="Q21" i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<sst xmlns="http://schemas.openxmlformats.org/spreadsheetml/2006/main" count="488" uniqueCount="295">
  <si>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</si>
  <si>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</si>
  <si>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</si>
  <si>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</si>
  <si>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</si>
  <si>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</si>
  <si>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</si>
  <si>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</si>
  <si>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</si>
  <si>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</si>
  <si>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</si>
  <si>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</si>
  <si>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</si>
  <si>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</si>
  <si>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</si>
  <si>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</si>
  <si>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</si>
  <si>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</si>
  <si>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</si>
  <si>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</si>
  <si>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</si>
  <si>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</si>
  <si>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</si>
  <si>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</si>
  <si>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</si>
  <si>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</si>
  <si>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</si>
  <si>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</si>
  <si>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</si>
  <si>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</si>
  <si>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</si>
  <si>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</si>
  <si>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</si>
  <si>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</si>
  <si>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</si>
  <si>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</si>
  <si>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</si>
  <si>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</si>
  <si>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</si>
  <si>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</si>
  <si>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</si>
  <si>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</si>
  <si>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</si>
  <si>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</si>
  <si>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</si>
  <si>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</si>
  <si>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</si>
  <si>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</si>
  <si>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</si>
  <si>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</si>
  <si>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</si>
  <si>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</si>
  <si>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</si>
  <si>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</si>
  <si>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</si>
  <si>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</si>
  <si>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</si>
  <si>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</si>
  <si>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</si>
  <si>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</si>
  <si>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</si>
  <si>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</si>
  <si>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</si>
  <si>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</si>
  <si>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</si>
  <si>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</si>
  <si>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</si>
  <si>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</si>
  <si>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</si>
  <si>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</si>
  <si>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</si>
  <si>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</si>
  <si>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</si>
  <si>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</si>
  <si>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</si>
  <si>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</si>
  <si>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</si>
  <si>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</si>
  <si>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</si>
  <si>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</si>
  <si>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</si>
  <si>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</si>
  <si>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</si>
  <si>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</si>
  <si>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</si>
  <si>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</si>
  <si>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</si>
  <si>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</si>
  <si>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</si>
  <si>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</si>
  <si>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</si>
  <si>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</si>
  <si>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</si>
  <si>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</si>
  <si>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</si>
  <si>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</si>
  <si>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</si>
  <si>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</si>
  <si>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</si>
  <si>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</si>
  <si>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</si>
  <si>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</si>
  <si>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</si>
  <si>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</si>
  <si>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</si>
  <si>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</si>
  <si>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</si>
  <si>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</si>
  <si>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</si>
  <si>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</si>
  <si>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</si>
  <si>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</si>
  <si>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</si>
  <si>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</si>
  <si>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</si>
  <si>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</si>
  <si>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</si>
  <si>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</si>
  <si>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</si>
  <si>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</si>
  <si>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</si>
  <si>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</si>
  <si>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</si>
  <si>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</si>
  <si>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</si>
  <si>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</si>
  <si>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</si>
  <si>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</si>
  <si>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</si>
  <si>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</si>
  <si>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</si>
  <si>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</si>
  <si>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</si>
  <si>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</si>
  <si>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</si>
  <si>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</si>
  <si>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</si>
  <si>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</si>
  <si>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</si>
  <si>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</si>
  <si>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</si>
  <si>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</si>
  <si>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</si>
  <si>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</si>
  <si>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</si>
  <si>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</si>
  <si>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</si>
  <si>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</si>
  <si>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</si>
  <si>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</si>
  <si>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</si>
  <si>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</si>
  <si>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</si>
  <si>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</si>
  <si>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</si>
  <si>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</si>
  <si>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</si>
  <si>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</si>
  <si>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</si>
  <si>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</si>
  <si>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</si>
  <si>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</si>
  <si>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</si>
  <si>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</si>
  <si>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</si>
  <si>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</si>
  <si>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</si>
  <si>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</si>
  <si>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</si>
  <si>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</si>
  <si>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</si>
  <si>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</si>
  <si>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</si>
  <si>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</si>
  <si>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</si>
  <si>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</si>
  <si>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</si>
  <si>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</si>
  <si>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</si>
  <si>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</si>
  <si>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</si>
  <si>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</si>
  <si>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</si>
  <si>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</si>
  <si>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</si>
  <si>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</si>
  <si>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</si>
  <si>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</si>
  <si>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</si>
  <si>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</si>
  <si>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</si>
  <si>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</si>
  <si>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</si>
  <si>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</si>
  <si>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</si>
  <si>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</si>
  <si>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</si>
  <si>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</si>
  <si>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</si>
  <si>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</si>
  <si>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</si>
  <si>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</si>
  <si>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</si>
  <si>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</si>
  <si>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</si>
  <si>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</si>
  <si>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</si>
  <si>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</si>
  <si>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</si>
  <si>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</si>
  <si>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</si>
  <si>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</si>
  <si>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</si>
  <si>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</si>
  <si>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</si>
  <si>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</si>
  <si>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</si>
  <si>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</si>
  <si>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</si>
  <si>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</si>
  <si>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</si>
  <si>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</si>
  <si>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</si>
  <si>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</si>
  <si>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</si>
  <si>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</si>
  <si>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</si>
  <si>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</si>
  <si>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</si>
  <si>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</si>
  <si>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</si>
  <si>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</si>
  <si>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</si>
  <si>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</si>
  <si>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</si>
  <si>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</si>
  <si>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</si>
  <si>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</si>
  <si>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</si>
  <si>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</si>
  <si>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</si>
  <si>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</si>
  <si>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</si>
  <si>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</si>
  <si>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</si>
  <si>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</si>
  <si>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</si>
  <si>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</si>
  <si>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</si>
  <si>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</si>
  <si>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</si>
  <si>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</si>
  <si>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</si>
  <si>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</si>
  <si>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</si>
  <si>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</si>
  <si>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</si>
  <si>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</si>
  <si>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</si>
  <si>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</si>
  <si>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</si>
  <si>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</si>
  <si>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</si>
  <si>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</si>
  <si>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</si>
  <si>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</si>
  <si>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</si>
  <si>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</si>
  <si>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</si>
  <si>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</si>
  <si>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</si>
  <si>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</si>
  <si>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</si>
  <si>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</si>
  <si>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</si>
  <si>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</si>
  <si>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</si>
  <si>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</si>
  <si>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</si>
  <si>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</si>
  <si>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</si>
  <si>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</si>
  <si>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</si>
  <si>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</si>
  <si>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</si>
  <si>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</si>
  <si>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</si>
  <si>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</si>
  <si>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SANTIAGO</t>
  </si>
  <si>
    <t>TARIM</t>
  </si>
  <si>
    <t>N° 12138</t>
  </si>
  <si>
    <t>+56 9 6649 6125</t>
  </si>
  <si>
    <t>RIVERSIDE OAK 1541 PR</t>
  </si>
  <si>
    <t>ROYAL WALNUT 1536 MT</t>
  </si>
  <si>
    <t>PUERTAS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</si>
</sst>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C15" zoomScale="93" zoomScaleNormal="93" workbookViewId="0">
      <selection activeCell="I12" sqref="I1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288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87469.351976084552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4</v>
      </c>
      <c r="C21" s="430" t="s">
        <v>294</v>
      </c>
      <c r="D21" s="431">
        <v>2.2999999999999998</v>
      </c>
      <c r="E21" s="431">
        <v>0.495</v>
      </c>
      <c r="F21" s="312" t="s">
        <v>293</v>
      </c>
      <c r="G21" s="313">
        <v>101871</v>
      </c>
      <c r="H21" s="432">
        <f>G21*B21</f>
        <v>407484</v>
      </c>
      <c r="I21" s="305"/>
      <c r="J21" s="264"/>
      <c r="K21" s="47"/>
      <c r="L21" s="47">
        <f>B21</f>
        <v>4</v>
      </c>
      <c r="M21" s="39">
        <f>D21+M$19</f>
        <v>2.38</v>
      </c>
      <c r="N21" s="39">
        <f>E21+$N$19</f>
        <v>0.495</v>
      </c>
      <c r="O21" s="260">
        <f t="shared" ref="O21" si="0">M21*N21</f>
        <v>1.1780999999999999</v>
      </c>
      <c r="P21" s="258">
        <f t="shared" ref="P21" si="1">O21*L21</f>
        <v>4.7123999999999997</v>
      </c>
      <c r="Q21" s="251">
        <f t="shared" ref="Q21" si="2">Q$20*O21</f>
        <v>103047.64356302521</v>
      </c>
      <c r="R21" s="304">
        <f t="shared" ref="R21" si="3">Q21+R$20</f>
        <v>106047.64356302521</v>
      </c>
      <c r="S21" s="290">
        <f>M21*L21</f>
        <v>9.52</v>
      </c>
      <c r="T21" s="46">
        <f>N21*2*L21*2</f>
        <v>7.92</v>
      </c>
      <c r="U21" s="9"/>
      <c r="X21" s="4"/>
    </row>
    <row r="22" spans="1:25" ht="18" thickBot="1" x14ac:dyDescent="0.35">
      <c r="B22" s="434">
        <v>4</v>
      </c>
      <c r="C22" s="435" t="s">
        <v>294</v>
      </c>
      <c r="D22" s="436">
        <v>2.2999999999999998</v>
      </c>
      <c r="E22" s="436">
        <v>0.495</v>
      </c>
      <c r="F22" s="437" t="s">
        <v>292</v>
      </c>
      <c r="G22" s="438">
        <v>103048</v>
      </c>
      <c r="H22" s="439">
        <f t="shared" ref="H22" si="4">G22*B22</f>
        <v>412192</v>
      </c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SUM(H21:H22)</f>
        <v>819676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7.92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155738.44</v>
      </c>
      <c r="I25" s="307"/>
      <c r="J25" s="264"/>
      <c r="K25" s="47"/>
      <c r="L25" s="47"/>
      <c r="M25" s="39">
        <f>SUM(M21:M24)</f>
        <v>2.38</v>
      </c>
      <c r="N25" s="12"/>
      <c r="O25" s="12"/>
      <c r="P25" s="252">
        <f>SUM(P21:P23)</f>
        <v>4.7123999999999997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975414.44</v>
      </c>
      <c r="I26" s="307"/>
      <c r="J26" s="264"/>
      <c r="K26" s="47"/>
      <c r="L26" s="47"/>
      <c r="M26" s="39"/>
      <c r="N26" s="12"/>
      <c r="O26" s="12"/>
      <c r="P26" s="252">
        <f>P25</f>
        <v>4.7123999999999997</v>
      </c>
      <c r="Q26" s="14"/>
      <c r="R26" s="12"/>
      <c r="S26" s="239">
        <f>SUM(S21:S25)</f>
        <v>9.52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0.94247999999999998</v>
      </c>
      <c r="Q27" s="39" t="s">
        <v>129</v>
      </c>
      <c r="R27" s="42"/>
      <c r="S27" s="240">
        <f>S26+T24</f>
        <v>17.439999999999998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5.6548799999999995</v>
      </c>
      <c r="Q28" s="14"/>
      <c r="R28" s="14"/>
      <c r="S28" s="238">
        <f>S27*20%</f>
        <v>3.4879999999999995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20.927999999999997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5.6548799999999995</v>
      </c>
      <c r="N30" s="12">
        <v>4000</v>
      </c>
      <c r="O30" s="12">
        <f t="shared" ref="O30:O35" si="5">M30*N30</f>
        <v>22619.519999999997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1.5</v>
      </c>
      <c r="N31" s="12">
        <v>42000</v>
      </c>
      <c r="O31" s="12">
        <f t="shared" si="5"/>
        <v>63000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5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2</v>
      </c>
      <c r="N33" s="249">
        <f>(68790/1.19)*0.88</f>
        <v>50869.915966386558</v>
      </c>
      <c r="O33" s="12">
        <f t="shared" si="5"/>
        <v>101739.83193277312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187359.3519327731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412190.57425210084</v>
      </c>
      <c r="P37" s="14" t="s">
        <v>138</v>
      </c>
      <c r="Q37" s="14"/>
      <c r="R37" s="40">
        <f>P28/R36</f>
        <v>1.5247195858498703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87469.351976084552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46156</v>
      </c>
    </row>
    <row r="6" spans="2:31" ht="16.2" thickBot="1" x14ac:dyDescent="0.35">
      <c r="B6" s="140" t="s">
        <v>2</v>
      </c>
      <c r="C6" s="139" t="str">
        <f>'2229'!C10</f>
        <v>TARIM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12138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-104862.92370012078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819676</v>
      </c>
      <c r="E11" s="132">
        <f>D11*0.19</f>
        <v>155738.44</v>
      </c>
      <c r="F11" s="131">
        <f>E11+D11</f>
        <v>975414.44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1127.0762998792197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115453.6107874396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-16872.92370012078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704222.38921256037</v>
      </c>
      <c r="E13" s="221">
        <f>(D11/D12)-1</f>
        <v>6.0996133807291368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-25872.92370012078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-64872.92370012078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190498.45779927532</v>
      </c>
      <c r="F15" s="216">
        <f>E15-D12</f>
        <v>75044.847011835722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-64872.92370012078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-24872.92370012078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63000</v>
      </c>
      <c r="E19" s="123">
        <f>D19*0.19</f>
        <v>11970</v>
      </c>
      <c r="F19" s="120">
        <f>SUM(D19:E19)</f>
        <v>74970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22619.519999999997</v>
      </c>
      <c r="E20" s="121">
        <f>D20*0.19</f>
        <v>4297.7087999999994</v>
      </c>
      <c r="F20" s="120">
        <f>SUM(D20:E20)</f>
        <v>26917.228799999997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85619.51999999999</v>
      </c>
      <c r="E21" s="116">
        <f>SUM(E18:E20)</f>
        <v>16267.7088</v>
      </c>
      <c r="F21" s="115">
        <f>SUM(F18:F20)</f>
        <v>101887.2288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139470.73120000001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819676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85619.51999999999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704222.38921256037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704222.38921256037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12138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TARIM</v>
      </c>
      <c r="D10" s="349"/>
      <c r="E10" s="349"/>
      <c r="F10" s="350" t="s">
        <v>167</v>
      </c>
      <c r="G10" s="351">
        <f>'2229'!G10</f>
        <v>46156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46163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+56 9 6649 6125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4</v>
      </c>
      <c r="C22" s="312" t="str">
        <f>'2229'!C21</f>
        <v>PUERTAS R6</v>
      </c>
      <c r="D22" s="320">
        <f>'2229'!D21*1000</f>
        <v>2300</v>
      </c>
      <c r="E22" s="320">
        <f>'2229'!E21*1000</f>
        <v>495</v>
      </c>
      <c r="F22" s="321" t="str">
        <f>'2229'!F21</f>
        <v>ROYAL WALNUT 1536 MT</v>
      </c>
      <c r="G22" s="313">
        <f>'2229'!G21</f>
        <v>101871</v>
      </c>
      <c r="H22" s="322">
        <f>G22*B22</f>
        <v>407484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407484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77421.960000000006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484905.96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TARIM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46156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12138</v>
      </c>
      <c r="C2" s="1">
        <f>'NOTA DE VENTA'!$G$10</f>
        <v>46156</v>
      </c>
      <c r="D2" s="1">
        <f>'NOTA DE VENTA'!$G$11</f>
        <v>46163</v>
      </c>
      <c r="E2" t="str">
        <f>'NOTA DE VENTA'!$C$10</f>
        <v>TARIM</v>
      </c>
      <c r="F2" t="str">
        <f>'NOTA DE VENTA'!$C$22</f>
        <v>PUERTAS R6</v>
      </c>
      <c r="G2" t="str">
        <f>'NOTA DE VENTA'!$F$22</f>
        <v>ROYAL WALNUT 1536 MT</v>
      </c>
      <c r="H2" s="415">
        <f>'NOTA DE VENTA'!$H$25</f>
        <v>407484</v>
      </c>
      <c r="I2" s="415">
        <f>H2*0.19</f>
        <v>77421.960000000006</v>
      </c>
      <c r="J2" s="415">
        <f>I2+H2</f>
        <v>484905.96</v>
      </c>
      <c r="L2" s="61">
        <f>J2-K2</f>
        <v>484905.96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2026-04-28T16:45:30Z</cp:lastPrinted>
  <dcterms:created xsi:type="dcterms:W3CDTF">2013-03-18T13:35:42Z</dcterms:created>
  <dcterms:modified xsi:type="dcterms:W3CDTF">2026-05-14T16:23:18Z</dcterms:modified>
</cp:coreProperties>
</file>