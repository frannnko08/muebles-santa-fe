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BDAC381B-61BD-4470-894F-A2D7091E4FF0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22" i="1"/>
  <c r="L21" i="1"/>
  <c r="N5" i="6"/>
  <c r="A2" i="7"/>
  <c r="M25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<sst xmlns="http://schemas.openxmlformats.org/spreadsheetml/2006/main" count="488" uniqueCount="294">
  <si>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</si>
  <si>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</si>
  <si>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</si>
  <si>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</si>
  <si>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</si>
  <si>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</si>
  <si>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</si>
  <si>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</si>
  <si>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</si>
  <si>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</si>
  <si>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</si>
  <si>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</si>
  <si>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</si>
  <si>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</si>
  <si>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</si>
  <si>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</si>
  <si>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</si>
  <si>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</si>
  <si>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</si>
  <si>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</si>
  <si>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</si>
  <si>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</si>
  <si>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</si>
  <si>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</si>
  <si>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</si>
  <si>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</si>
  <si>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</si>
  <si>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</si>
  <si>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</si>
  <si>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</si>
  <si>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</si>
  <si>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</si>
  <si>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</si>
  <si>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</si>
  <si>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</si>
  <si>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</si>
  <si>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</si>
  <si>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</si>
  <si>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</si>
  <si>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</si>
  <si>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</si>
  <si>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</si>
  <si>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</si>
  <si>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</si>
  <si>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</si>
  <si>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</si>
  <si>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</si>
  <si>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</si>
  <si>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</si>
  <si>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</si>
  <si>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</si>
  <si>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</si>
  <si>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</si>
  <si>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</si>
  <si>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</si>
  <si>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</si>
  <si>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</si>
  <si>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</si>
  <si>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</si>
  <si>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</si>
  <si>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</si>
  <si>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</si>
  <si>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</si>
  <si>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</si>
  <si>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</si>
  <si>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</si>
  <si>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</si>
  <si>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</si>
  <si>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</si>
  <si>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</si>
  <si>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</si>
  <si>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</si>
  <si>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</si>
  <si>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</si>
  <si>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</si>
  <si>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</si>
  <si>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</si>
  <si>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</si>
  <si>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</si>
  <si>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</si>
  <si>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</si>
  <si>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</si>
  <si>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</si>
  <si>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</si>
  <si>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</si>
  <si>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</si>
  <si>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</si>
  <si>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</si>
  <si>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</si>
  <si>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</si>
  <si>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</si>
  <si>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</si>
  <si>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</si>
  <si>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</si>
  <si>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</si>
  <si>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</si>
  <si>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</si>
  <si>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</si>
  <si>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</si>
  <si>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</si>
  <si>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</si>
  <si>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</si>
  <si>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</si>
  <si>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</si>
  <si>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</si>
  <si>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</si>
  <si>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</si>
  <si>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</si>
  <si>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</si>
  <si>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</si>
  <si>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</si>
  <si>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</si>
  <si>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</si>
  <si>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</si>
  <si>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</si>
  <si>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</si>
  <si>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</si>
  <si>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</si>
  <si>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</si>
  <si>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</si>
  <si>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</si>
  <si>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</si>
  <si>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</si>
  <si>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</si>
  <si>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</si>
  <si>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</si>
  <si>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</si>
  <si>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</si>
  <si>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</si>
  <si>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</si>
  <si>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</si>
  <si>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</si>
  <si>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</si>
  <si>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</si>
  <si>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</si>
  <si>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</si>
  <si>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</si>
  <si>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</si>
  <si>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</si>
  <si>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</si>
  <si>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</si>
  <si>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</si>
  <si>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</si>
  <si>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</si>
  <si>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</si>
  <si>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</si>
  <si>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</si>
  <si>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</si>
  <si>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</si>
  <si>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</si>
  <si>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</si>
  <si>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</si>
  <si>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</si>
  <si>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</si>
  <si>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</si>
  <si>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</si>
  <si>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</si>
  <si>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</si>
  <si>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</si>
  <si>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</si>
  <si>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</si>
  <si>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</si>
  <si>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</si>
  <si>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</si>
  <si>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</si>
  <si>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</si>
  <si>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</si>
  <si>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</si>
  <si>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</si>
  <si>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</si>
  <si>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</si>
  <si>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</si>
  <si>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</si>
  <si>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</si>
  <si>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</si>
  <si>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</si>
  <si>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</si>
  <si>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</si>
  <si>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</si>
  <si>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</si>
  <si>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</si>
  <si>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</si>
  <si>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</si>
  <si>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</si>
  <si>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</si>
  <si>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</si>
  <si>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</si>
  <si>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</si>
  <si>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</si>
  <si>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</si>
  <si>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</si>
  <si>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</si>
  <si>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</si>
  <si>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</si>
  <si>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</si>
  <si>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</si>
  <si>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</si>
  <si>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</si>
  <si>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</si>
  <si>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</si>
  <si>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</si>
  <si>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</si>
  <si>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</si>
  <si>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</si>
  <si>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</si>
  <si>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</si>
  <si>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</si>
  <si>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</si>
  <si>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</si>
  <si>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</si>
  <si>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</si>
  <si>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</si>
  <si>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</si>
  <si>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</si>
  <si>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</si>
  <si>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</si>
  <si>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</si>
  <si>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</si>
  <si>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</si>
  <si>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</si>
  <si>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</si>
  <si>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</si>
  <si>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</si>
  <si>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</si>
  <si>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</si>
  <si>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</si>
  <si>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</si>
  <si>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</si>
  <si>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</si>
  <si>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</si>
  <si>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</si>
  <si>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</si>
  <si>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</si>
  <si>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</si>
  <si>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</si>
  <si>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</si>
  <si>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</si>
  <si>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</si>
  <si>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</si>
  <si>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</si>
  <si>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</si>
  <si>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</si>
  <si>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</si>
  <si>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</si>
  <si>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</si>
  <si>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</si>
  <si>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</si>
  <si>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</si>
  <si>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</si>
  <si>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</si>
  <si>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</si>
  <si>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</si>
  <si>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</si>
  <si>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</si>
  <si>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</si>
  <si>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</si>
  <si>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</si>
  <si>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</si>
  <si>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</si>
  <si>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</si>
  <si>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</si>
  <si>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</si>
  <si>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</si>
  <si>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</si>
  <si>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</si>
  <si>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</si>
  <si>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</si>
  <si>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</si>
  <si>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</si>
  <si>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</si>
  <si>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</si>
  <si>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</si>
  <si>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</si>
  <si>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</si>
  <si>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</si>
  <si>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</si>
  <si>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</si>
  <si>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</si>
  <si>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</si>
  <si>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</si>
  <si>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</si>
  <si>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</si>
  <si>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</si>
  <si>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</si>
  <si>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</si>
  <si>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</si>
  <si>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</si>
  <si>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</si>
  <si>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</si>
  <si>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GUSTAVO</t>
  </si>
  <si>
    <t>+569 7954 8370</t>
  </si>
  <si>
    <t>CUB MESA 3 LADOS</t>
  </si>
  <si>
    <t>WHITE LILY BR</t>
  </si>
  <si>
    <t>N° 12126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</si>
</sst>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POSTFORMADA EN AMBOS LARGOS Y 1 LADO ANCHO ENCHAPADO CON</a:t>
          </a:r>
          <a:r>
            <a:rPr lang="es-CL" sz="1200" b="1" baseline="0"/>
            <a:t> REGRUESO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7" zoomScale="93" zoomScaleNormal="93" workbookViewId="0">
      <selection activeCell="H22" sqref="B21:H22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0" t="s">
        <v>289</v>
      </c>
      <c r="D10" s="243"/>
      <c r="E10" s="243"/>
      <c r="F10" s="418" t="s">
        <v>277</v>
      </c>
      <c r="G10" s="275">
        <v>46153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290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87175.222672064774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313" t="s">
        <v>291</v>
      </c>
      <c r="D21" s="454">
        <v>1.64</v>
      </c>
      <c r="E21" s="454">
        <v>0.76</v>
      </c>
      <c r="F21" s="313" t="s">
        <v>292</v>
      </c>
      <c r="G21" s="314">
        <f>Q21</f>
        <v>111967.856</v>
      </c>
      <c r="H21" s="455">
        <f>G21*B21</f>
        <v>111967.856</v>
      </c>
      <c r="I21" s="306"/>
      <c r="J21" s="264"/>
      <c r="K21" s="47"/>
      <c r="L21" s="47">
        <f>B21</f>
        <v>1</v>
      </c>
      <c r="M21" s="39">
        <f>D21+M$19</f>
        <v>1.69</v>
      </c>
      <c r="N21" s="39">
        <f>E21+$N$19</f>
        <v>0.76</v>
      </c>
      <c r="O21" s="260">
        <f t="shared" ref="O21" si="0">M21*N21</f>
        <v>1.2844</v>
      </c>
      <c r="P21" s="258">
        <f t="shared" ref="P21" si="1">O21*L21</f>
        <v>1.2844</v>
      </c>
      <c r="Q21" s="251">
        <f t="shared" ref="Q21" si="2">Q$20*O21</f>
        <v>111967.856</v>
      </c>
      <c r="R21" s="305">
        <f t="shared" ref="R21" si="3">Q21+R$20</f>
        <v>114967.856</v>
      </c>
      <c r="S21" s="290">
        <f>M21*L21</f>
        <v>1.69</v>
      </c>
      <c r="T21" s="46">
        <f>N21*2*L21*2</f>
        <v>3.04</v>
      </c>
      <c r="U21" s="9"/>
      <c r="X21" s="4"/>
    </row>
    <row r="22" spans="1:25" ht="18" thickBot="1" x14ac:dyDescent="0.35">
      <c r="B22" s="456">
        <v>1</v>
      </c>
      <c r="C22" s="457" t="s">
        <v>32</v>
      </c>
      <c r="D22" s="458">
        <v>0.76</v>
      </c>
      <c r="E22" s="458">
        <v>0.1</v>
      </c>
      <c r="F22" s="457" t="s">
        <v>292</v>
      </c>
      <c r="G22" s="459">
        <f>7000/1.19</f>
        <v>5882.3529411764712</v>
      </c>
      <c r="H22" s="460">
        <f>G22*B22</f>
        <v>5882.3529411764712</v>
      </c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117850.20894117648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SUM(T21:T23)</f>
        <v>3.04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H24*0.19</f>
        <v>22391.53969882353</v>
      </c>
      <c r="I25" s="308"/>
      <c r="J25" s="264"/>
      <c r="K25" s="47"/>
      <c r="L25" s="47"/>
      <c r="M25" s="39">
        <f>SUM(M23:M24)</f>
        <v>0</v>
      </c>
      <c r="N25" s="12"/>
      <c r="O25" s="12"/>
      <c r="P25" s="252">
        <f>SUM(P21:P21)</f>
        <v>1.2844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140241.74864000001</v>
      </c>
      <c r="I26" s="308"/>
      <c r="J26" s="264"/>
      <c r="K26" s="47"/>
      <c r="L26" s="47"/>
      <c r="M26" s="39"/>
      <c r="N26" s="12"/>
      <c r="O26" s="12"/>
      <c r="P26" s="252">
        <f>P25</f>
        <v>1.2844</v>
      </c>
      <c r="Q26" s="14"/>
      <c r="R26" s="12"/>
      <c r="S26" s="239">
        <f>SUM(S21:S25)</f>
        <v>1.69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0.25688</v>
      </c>
      <c r="Q27" s="39" t="s">
        <v>129</v>
      </c>
      <c r="R27" s="42"/>
      <c r="S27" s="240">
        <f>S26+T24</f>
        <v>4.7300000000000004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1.54128</v>
      </c>
      <c r="Q28" s="14"/>
      <c r="R28" s="14"/>
      <c r="S28" s="238">
        <f>S27*20%</f>
        <v>0.94600000000000017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5.6760000000000002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1.54128</v>
      </c>
      <c r="N30" s="12">
        <v>3500</v>
      </c>
      <c r="O30" s="12">
        <f t="shared" ref="O30:O35" si="4">M30*N30</f>
        <v>5394.48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25000</v>
      </c>
      <c r="O31" s="12">
        <f t="shared" si="4"/>
        <v>12500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33000</v>
      </c>
      <c r="O33" s="12">
        <f t="shared" si="4"/>
        <v>33000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50894.479999999996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111967.856</v>
      </c>
      <c r="P37" s="14" t="s">
        <v>138</v>
      </c>
      <c r="Q37" s="14"/>
      <c r="R37" s="40">
        <f>P28/R36</f>
        <v>0.41557377049180327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70970</v>
      </c>
      <c r="L38" s="249"/>
      <c r="M38" s="14"/>
      <c r="N38" s="12"/>
      <c r="O38" s="12">
        <f>O37/P26</f>
        <v>87175.222672064774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59638.655462184877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46153</v>
      </c>
    </row>
    <row r="6" spans="2:31" ht="16.2" thickBot="1" x14ac:dyDescent="0.35">
      <c r="B6" s="140" t="s">
        <v>2</v>
      </c>
      <c r="C6" s="139" t="str">
        <f>'2229'!C10</f>
        <v>GUSTAVO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12126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-6516.3445236501839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117850.20894117648</v>
      </c>
      <c r="E11" s="132">
        <f>D11*0.19</f>
        <v>22391.53969882353</v>
      </c>
      <c r="F11" s="131">
        <f>E11+D11</f>
        <v>140241.74864000001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99473.655476349813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47728.570787439618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81473.655476349813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70121.638153736858</v>
      </c>
      <c r="E13" s="221">
        <f>(D11/D12)-1</f>
        <v>1.4691753177782196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72473.655476349813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33473.655476349813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78752.14179927537</v>
      </c>
      <c r="F15" s="216">
        <f>E15-D12</f>
        <v>31023.571011835753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33473.655476349813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73473.655476349813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5394.48</v>
      </c>
      <c r="E20" s="121">
        <f>D20*0.19</f>
        <v>1024.9512</v>
      </c>
      <c r="F20" s="120">
        <f>SUM(D20:E20)</f>
        <v>6419.4311999999991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17894.48</v>
      </c>
      <c r="E21" s="116">
        <f>SUM(E18:E20)</f>
        <v>3399.9512</v>
      </c>
      <c r="F21" s="115">
        <f>SUM(F18:F20)</f>
        <v>21294.431199999999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18991.58849882353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117850.20894117648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17894.48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70121.638153736858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70121.638153736858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12126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GUSTAVO</v>
      </c>
      <c r="D10" s="350"/>
      <c r="E10" s="350"/>
      <c r="F10" s="351" t="s">
        <v>167</v>
      </c>
      <c r="G10" s="352">
        <f>'2229'!G10</f>
        <v>46153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46160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+569 7954 8370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MESA 3 LADOS</v>
      </c>
      <c r="D22" s="321">
        <f>'2229'!D21*1000</f>
        <v>1640</v>
      </c>
      <c r="E22" s="321">
        <f>'2229'!E21*1000</f>
        <v>760</v>
      </c>
      <c r="F22" s="322" t="str">
        <f>'2229'!F21</f>
        <v>WHITE LILY BR</v>
      </c>
      <c r="G22" s="314">
        <f>'2229'!G21</f>
        <v>111967.856</v>
      </c>
      <c r="H22" s="323">
        <f>G22*B22</f>
        <v>111967.856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111967.856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21273.892640000002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133241.74864000001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1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GUSTAVO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46160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12126</v>
      </c>
      <c r="C2" s="1">
        <f>'NOTA DE VENTA'!$G$10</f>
        <v>46153</v>
      </c>
      <c r="D2" s="1">
        <f>'NOTA DE VENTA'!$G$11</f>
        <v>46160</v>
      </c>
      <c r="E2" t="str">
        <f>'NOTA DE VENTA'!$C$10</f>
        <v>GUSTAVO</v>
      </c>
      <c r="F2" t="str">
        <f>'NOTA DE VENTA'!$C$22</f>
        <v>CUB MESA 3 LADOS</v>
      </c>
      <c r="G2" t="str">
        <f>'NOTA DE VENTA'!$F$22</f>
        <v>WHITE LILY BR</v>
      </c>
      <c r="H2" s="416">
        <f>'NOTA DE VENTA'!$H$25</f>
        <v>111967.856</v>
      </c>
      <c r="I2" s="416">
        <f>H2*0.19</f>
        <v>21273.892640000002</v>
      </c>
      <c r="J2" s="416">
        <f>I2+H2</f>
        <v>133241.74864000001</v>
      </c>
      <c r="L2" s="61">
        <f>J2-K2</f>
        <v>133241.74864000001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2026-05-15T18:32:04Z</cp:lastPrinted>
  <dcterms:created xsi:type="dcterms:W3CDTF">2013-03-18T13:35:42Z</dcterms:created>
  <dcterms:modified xsi:type="dcterms:W3CDTF">2026-05-15T20:26:24Z</dcterms:modified>
</cp:coreProperties>
</file>