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BB3DF415-B471-4B9A-9BB5-822753C49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<sst xmlns="http://schemas.openxmlformats.org/spreadsheetml/2006/main" count="487" uniqueCount="295">
  <si>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</si>
  <si>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</si>
  <si>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</si>
  <si>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</si>
  <si>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</si>
  <si>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</si>
  <si>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</si>
  <si>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</si>
  <si>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</si>
  <si>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</si>
  <si>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</si>
  <si>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</si>
  <si>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</si>
  <si>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</si>
  <si>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</si>
  <si>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</si>
  <si>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</si>
  <si>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</si>
  <si>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</si>
  <si>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</si>
  <si>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</si>
  <si>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</si>
  <si>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</si>
  <si>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</si>
  <si>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</si>
  <si>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</si>
  <si>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</si>
  <si>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</si>
  <si>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</si>
  <si>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</si>
  <si>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</si>
  <si>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</si>
  <si>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</si>
  <si>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</si>
  <si>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</si>
  <si>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</si>
  <si>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</si>
  <si>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</si>
  <si>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</si>
  <si>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</si>
  <si>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</si>
  <si>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</si>
  <si>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</si>
  <si>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</si>
  <si>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</si>
  <si>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</si>
  <si>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</si>
  <si>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</si>
  <si>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</si>
  <si>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</si>
  <si>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</si>
  <si>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</si>
  <si>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</si>
  <si>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</si>
  <si>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</si>
  <si>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</si>
  <si>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</si>
  <si>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</si>
  <si>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</si>
  <si>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</si>
  <si>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</si>
  <si>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</si>
  <si>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</si>
  <si>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</si>
  <si>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</si>
  <si>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</si>
  <si>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</si>
  <si>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</si>
  <si>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</si>
  <si>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</si>
  <si>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</si>
  <si>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</si>
  <si>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</si>
  <si>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</si>
  <si>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</si>
  <si>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</si>
  <si>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</si>
  <si>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</si>
  <si>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</si>
  <si>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</si>
  <si>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</si>
  <si>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</si>
  <si>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</si>
  <si>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</si>
  <si>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</si>
  <si>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</si>
  <si>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</si>
  <si>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</si>
  <si>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</si>
  <si>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</si>
  <si>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</si>
  <si>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</si>
  <si>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</si>
  <si>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</si>
  <si>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</si>
  <si>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</si>
  <si>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</si>
  <si>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</si>
  <si>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</si>
  <si>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</si>
  <si>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</si>
  <si>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</si>
  <si>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</si>
  <si>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</si>
  <si>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</si>
  <si>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</si>
  <si>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</si>
  <si>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</si>
  <si>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</si>
  <si>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</si>
  <si>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</si>
  <si>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</si>
  <si>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</si>
  <si>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</si>
  <si>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</si>
  <si>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</si>
  <si>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</si>
  <si>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</si>
  <si>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</si>
  <si>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</si>
  <si>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</si>
  <si>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</si>
  <si>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</si>
  <si>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</si>
  <si>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</si>
  <si>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</si>
  <si>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</si>
  <si>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</si>
  <si>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</si>
  <si>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</si>
  <si>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</si>
  <si>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</si>
  <si>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</si>
  <si>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</si>
  <si>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</si>
  <si>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</si>
  <si>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</si>
  <si>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</si>
  <si>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</si>
  <si>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</si>
  <si>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</si>
  <si>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</si>
  <si>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</si>
  <si>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</si>
  <si>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</si>
  <si>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</si>
  <si>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</si>
  <si>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</si>
  <si>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</si>
  <si>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</si>
  <si>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</si>
  <si>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</si>
  <si>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</si>
  <si>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</si>
  <si>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</si>
  <si>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</si>
  <si>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</si>
  <si>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</si>
  <si>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</si>
  <si>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</si>
  <si>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</si>
  <si>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</si>
  <si>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</si>
  <si>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</si>
  <si>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</si>
  <si>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</si>
  <si>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</si>
  <si>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</si>
  <si>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</si>
  <si>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</si>
  <si>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</si>
  <si>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</si>
  <si>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</si>
  <si>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</si>
  <si>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</si>
  <si>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</si>
  <si>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</si>
  <si>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</si>
  <si>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</si>
  <si>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</si>
  <si>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</si>
  <si>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</si>
  <si>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</si>
  <si>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</si>
  <si>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</si>
  <si>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</si>
  <si>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</si>
  <si>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</si>
  <si>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</si>
  <si>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</si>
  <si>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</si>
  <si>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</si>
  <si>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</si>
  <si>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</si>
  <si>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</si>
  <si>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</si>
  <si>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</si>
  <si>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</si>
  <si>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</si>
  <si>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</si>
  <si>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</si>
  <si>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</si>
  <si>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</si>
  <si>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</si>
  <si>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</si>
  <si>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</si>
  <si>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</si>
  <si>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</si>
  <si>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</si>
  <si>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</si>
  <si>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</si>
  <si>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</si>
  <si>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</si>
  <si>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</si>
  <si>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</si>
  <si>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</si>
  <si>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</si>
  <si>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</si>
  <si>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</si>
  <si>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</si>
  <si>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</si>
  <si>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</si>
  <si>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</si>
  <si>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</si>
  <si>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</si>
  <si>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</si>
  <si>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</si>
  <si>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</si>
  <si>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</si>
  <si>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</si>
  <si>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</si>
  <si>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</si>
  <si>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</si>
  <si>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</si>
  <si>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</si>
  <si>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</si>
  <si>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</si>
  <si>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</si>
  <si>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</si>
  <si>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</si>
  <si>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</si>
  <si>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</si>
  <si>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</si>
  <si>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</si>
  <si>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</si>
  <si>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</si>
  <si>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</si>
  <si>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</si>
  <si>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</si>
  <si>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</si>
  <si>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</si>
  <si>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</si>
  <si>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</si>
  <si>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</si>
  <si>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</si>
  <si>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</si>
  <si>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</si>
  <si>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</si>
  <si>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</si>
  <si>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</si>
  <si>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</si>
  <si>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</si>
  <si>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</si>
  <si>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</si>
  <si>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</si>
  <si>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</si>
  <si>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</si>
  <si>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</si>
  <si>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</si>
  <si>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</si>
  <si>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</si>
  <si>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</si>
  <si>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</si>
  <si>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</si>
  <si>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</si>
  <si>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</si>
  <si>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</si>
  <si>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</si>
  <si>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</si>
  <si>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</si>
  <si>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</si>
  <si>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</si>
  <si>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</si>
  <si>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</si>
  <si>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</si>
  <si>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</si>
  <si>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</si>
  <si>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</si>
  <si>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CUBIERTA SIN RESPALDO Y FRENTE 90°</t>
  </si>
  <si>
    <t>INMOBIBILIARIA FENIX EIRL</t>
  </si>
  <si>
    <t>GRIS A-5083 TX</t>
  </si>
  <si>
    <t>3 A 5 DÍAS HÁBILES</t>
  </si>
  <si>
    <t>+56 9 9303 5040</t>
  </si>
  <si>
    <t>N° 12165</t>
  </si>
  <si>
    <t>RODRIGO CORNEJO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</si>
</sst>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37" sqref="A3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46167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291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294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292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43028.86363636364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1">
        <v>6</v>
      </c>
      <c r="C21" s="432" t="s">
        <v>288</v>
      </c>
      <c r="D21" s="433">
        <v>3</v>
      </c>
      <c r="E21" s="433">
        <v>0.6</v>
      </c>
      <c r="F21" s="431" t="s">
        <v>290</v>
      </c>
      <c r="G21" s="434">
        <v>79500</v>
      </c>
      <c r="H21" s="434">
        <f>G21*B21</f>
        <v>477000</v>
      </c>
      <c r="I21" s="305"/>
      <c r="J21" s="264"/>
      <c r="K21" s="47"/>
      <c r="L21" s="47">
        <f>B21</f>
        <v>6</v>
      </c>
      <c r="M21" s="39">
        <f>D21+M$19</f>
        <v>3.08</v>
      </c>
      <c r="N21" s="39">
        <f>E21+$N$19</f>
        <v>0.6</v>
      </c>
      <c r="O21" s="260">
        <f t="shared" ref="O21" si="0">M21*N21</f>
        <v>1.8479999999999999</v>
      </c>
      <c r="P21" s="258">
        <f>O21*L21</f>
        <v>11.087999999999999</v>
      </c>
      <c r="Q21" s="251">
        <f t="shared" ref="Q21" si="1">Q$20*O21</f>
        <v>79517.34</v>
      </c>
      <c r="R21" s="304">
        <f t="shared" ref="R21" si="2">Q21+R$20</f>
        <v>82517.34</v>
      </c>
      <c r="S21" s="290">
        <f>M21*L21</f>
        <v>18.48</v>
      </c>
      <c r="T21" s="46">
        <f>N21*2*L21*2</f>
        <v>14.399999999999999</v>
      </c>
      <c r="U21" s="9"/>
      <c r="X21" s="4"/>
    </row>
    <row r="22" spans="1:25" ht="17.399999999999999" x14ac:dyDescent="0.3">
      <c r="B22" s="283"/>
      <c r="C22" s="324"/>
      <c r="D22" s="284"/>
      <c r="E22" s="284"/>
      <c r="F22" s="283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SUM(H21:H21)</f>
        <v>477000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14.399999999999999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90630</v>
      </c>
      <c r="I25" s="307"/>
      <c r="J25" s="264"/>
      <c r="K25" s="47"/>
      <c r="L25" s="47"/>
      <c r="M25" s="39">
        <f>SUM(M21:M24)</f>
        <v>3.08</v>
      </c>
      <c r="N25" s="12"/>
      <c r="O25" s="12"/>
      <c r="P25" s="252">
        <f>SUM(P21:P23)</f>
        <v>11.087999999999999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567630</v>
      </c>
      <c r="I26" s="307"/>
      <c r="J26" s="264"/>
      <c r="K26" s="47"/>
      <c r="L26" s="47"/>
      <c r="M26" s="39"/>
      <c r="N26" s="12"/>
      <c r="O26" s="12"/>
      <c r="P26" s="252">
        <f>P25</f>
        <v>11.087999999999999</v>
      </c>
      <c r="Q26" s="14"/>
      <c r="R26" s="12"/>
      <c r="S26" s="239">
        <f>SUM(S21:S25)</f>
        <v>18.48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2.2176</v>
      </c>
      <c r="Q27" s="39" t="s">
        <v>129</v>
      </c>
      <c r="R27" s="42"/>
      <c r="S27" s="240">
        <f>S26+T24</f>
        <v>32.879999999999995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13.305599999999998</v>
      </c>
      <c r="Q28" s="14"/>
      <c r="R28" s="14"/>
      <c r="S28" s="238">
        <f>S27*20%</f>
        <v>6.5759999999999996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H29">
        <v>0</v>
      </c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39.455999999999996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13.305599999999998</v>
      </c>
      <c r="N30" s="12">
        <v>4000</v>
      </c>
      <c r="O30" s="12">
        <f t="shared" ref="O30:O35" si="3">M30*N30</f>
        <v>53222.399999999994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3</v>
      </c>
      <c r="N31" s="12">
        <v>25000</v>
      </c>
      <c r="O31" s="12">
        <f t="shared" si="3"/>
        <v>75000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3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3</v>
      </c>
      <c r="N33" s="249">
        <v>32990</v>
      </c>
      <c r="O33" s="12">
        <f t="shared" si="3"/>
        <v>98970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3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2000</v>
      </c>
      <c r="O35" s="12">
        <f t="shared" si="3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227192.4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O36*2.1</f>
        <v>477104.04</v>
      </c>
      <c r="P37" s="14" t="s">
        <v>138</v>
      </c>
      <c r="Q37" s="14"/>
      <c r="R37" s="40">
        <f>P28/R36</f>
        <v>3.5875754961173421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39260</v>
      </c>
      <c r="L38" s="249"/>
      <c r="M38" s="14"/>
      <c r="N38" s="12"/>
      <c r="O38" s="12">
        <f>O37/P26</f>
        <v>43028.86363636364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32991.596638655465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46167</v>
      </c>
    </row>
    <row r="6" spans="2:31" ht="16.2" thickBot="1" x14ac:dyDescent="0.35">
      <c r="B6" s="140" t="s">
        <v>2</v>
      </c>
      <c r="C6" s="139" t="str">
        <f>'2229'!C10</f>
        <v>INMOBIBILIARIA FENIX EIRL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-36034.465033454115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477000</v>
      </c>
      <c r="E11" s="132">
        <f>D11*0.19</f>
        <v>90630</v>
      </c>
      <c r="F11" s="131">
        <f>E11+D11</f>
        <v>567630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69955.534966545878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158056.4907874396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51955.534966545885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318943.50921256037</v>
      </c>
      <c r="E13" s="221">
        <f>(D11/D12)-1</f>
        <v>2.0179083290004698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42955.534966545885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3955.5349665458853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260793.20979927533</v>
      </c>
      <c r="F15" s="216">
        <f>E15-D12</f>
        <v>102736.71901183572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3955.5349665458853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43955.534966545885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75000</v>
      </c>
      <c r="E19" s="123">
        <f>D19*0.19</f>
        <v>14250</v>
      </c>
      <c r="F19" s="120">
        <f>SUM(D19:E19)</f>
        <v>89250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53222.399999999994</v>
      </c>
      <c r="E20" s="121">
        <f>D20*0.19</f>
        <v>10112.255999999999</v>
      </c>
      <c r="F20" s="120">
        <f>SUM(D20:E20)</f>
        <v>63334.655999999995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128222.39999999999</v>
      </c>
      <c r="E21" s="116">
        <f>SUM(E18:E20)</f>
        <v>24362.256000000001</v>
      </c>
      <c r="F21" s="115">
        <f>SUM(F18:F20)</f>
        <v>152584.65599999999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66267.744000000006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477000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128222.39999999999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318943.50921256037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318943.50921256037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12165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INMOBIBILIARIA FENIX EIRL</v>
      </c>
      <c r="D10" s="349"/>
      <c r="E10" s="349"/>
      <c r="F10" s="350" t="s">
        <v>167</v>
      </c>
      <c r="G10" s="351">
        <f>'2229'!G10</f>
        <v>46167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46174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RODRIGO CORNEJO</v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+56 9 9303 5040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6</v>
      </c>
      <c r="C22" s="312" t="str">
        <f>'2229'!C21</f>
        <v>CUBIERTA SIN RESPALDO Y FRENTE 90°</v>
      </c>
      <c r="D22" s="320">
        <f>'2229'!D21*1000</f>
        <v>3000</v>
      </c>
      <c r="E22" s="320">
        <f>'2229'!E21*1000</f>
        <v>600</v>
      </c>
      <c r="F22" s="321" t="str">
        <f>'2229'!F21</f>
        <v>GRIS A-5083 TX</v>
      </c>
      <c r="G22" s="313">
        <f>'2229'!G21</f>
        <v>79500</v>
      </c>
      <c r="H22" s="322">
        <f>G22*B22</f>
        <v>477000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477000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90630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567630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0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INMOBIBILIARIA FENIX EIRL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46167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12165</v>
      </c>
      <c r="C2" s="1">
        <f>'NOTA DE VENTA'!$G$10</f>
        <v>46167</v>
      </c>
      <c r="D2" s="1">
        <f>'NOTA DE VENTA'!$G$11</f>
        <v>46174</v>
      </c>
      <c r="E2" t="str">
        <f>'NOTA DE VENTA'!$C$10</f>
        <v>INMOBIBILIARIA FENIX EIRL</v>
      </c>
      <c r="F2" t="str">
        <f>'NOTA DE VENTA'!$C$22</f>
        <v>CUBIERTA SIN RESPALDO Y FRENTE 90°</v>
      </c>
      <c r="G2" t="str">
        <f>'NOTA DE VENTA'!$F$22</f>
        <v>GRIS A-5083 TX</v>
      </c>
      <c r="H2" s="415">
        <f>'NOTA DE VENTA'!$H$25</f>
        <v>477000</v>
      </c>
      <c r="I2" s="415">
        <f>H2*0.19</f>
        <v>90630</v>
      </c>
      <c r="J2" s="415">
        <f>I2+H2</f>
        <v>567630</v>
      </c>
      <c r="L2" s="61">
        <f>J2-K2</f>
        <v>567630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2026-05-25T15:12:38Z</cp:lastPrinted>
  <dcterms:created xsi:type="dcterms:W3CDTF">2013-03-18T13:35:42Z</dcterms:created>
  <dcterms:modified xsi:type="dcterms:W3CDTF">2026-05-25T19:26:53Z</dcterms:modified>
</cp:coreProperties>
</file>