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6EB6416C-6BD2-4F8A-B944-A5B9AC970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S22" i="1" s="1"/>
  <c r="N22" i="1"/>
  <c r="L21" i="1"/>
  <c r="O22" i="1" l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J21" i="6" s="1"/>
  <c r="C27" i="6"/>
  <c r="F21" i="6" s="1"/>
  <c r="B27" i="6"/>
  <c r="I21" i="6" s="1"/>
  <c r="K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O39" i="1"/>
  <c r="E15" i="3"/>
  <c r="R22" i="1" l="1"/>
  <c r="G22" i="1"/>
  <c r="H22" i="1" s="1"/>
  <c r="Q21" i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<sst xmlns="http://schemas.openxmlformats.org/spreadsheetml/2006/main" count="488" uniqueCount="295">
  <si>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</si>
  <si>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</si>
  <si>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</si>
  <si>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</si>
  <si>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</si>
  <si>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</si>
  <si>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</si>
  <si>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</si>
  <si>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</si>
  <si>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</si>
  <si>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</si>
  <si>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</si>
  <si>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</si>
  <si>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</si>
  <si>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</si>
  <si>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</si>
  <si>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</si>
  <si>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</si>
  <si>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</si>
  <si>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</si>
  <si>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</si>
  <si>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</si>
  <si>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</si>
  <si>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</si>
  <si>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</si>
  <si>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</si>
  <si>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</si>
  <si>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</si>
  <si>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</si>
  <si>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</si>
  <si>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</si>
  <si>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</si>
  <si>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</si>
  <si>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</si>
  <si>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</si>
  <si>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</si>
  <si>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</si>
  <si>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</si>
  <si>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</si>
  <si>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</si>
  <si>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</si>
  <si>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</si>
  <si>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</si>
  <si>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</si>
  <si>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</si>
  <si>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</si>
  <si>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</si>
  <si>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</si>
  <si>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</si>
  <si>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</si>
  <si>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</si>
  <si>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</si>
  <si>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</si>
  <si>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</si>
  <si>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</si>
  <si>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</si>
  <si>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</si>
  <si>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</si>
  <si>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</si>
  <si>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</si>
  <si>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</si>
  <si>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</si>
  <si>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</si>
  <si>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</si>
  <si>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</si>
  <si>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</si>
  <si>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</si>
  <si>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</si>
  <si>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</si>
  <si>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</si>
  <si>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</si>
  <si>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</si>
  <si>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</si>
  <si>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</si>
  <si>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</si>
  <si>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</si>
  <si>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</si>
  <si>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</si>
  <si>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</si>
  <si>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</si>
  <si>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</si>
  <si>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</si>
  <si>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</si>
  <si>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</si>
  <si>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</si>
  <si>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</si>
  <si>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</si>
  <si>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</si>
  <si>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</si>
  <si>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</si>
  <si>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</si>
  <si>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</si>
  <si>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</si>
  <si>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</si>
  <si>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</si>
  <si>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</si>
  <si>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</si>
  <si>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</si>
  <si>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</si>
  <si>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</si>
  <si>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</si>
  <si>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</si>
  <si>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</si>
  <si>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</si>
  <si>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</si>
  <si>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</si>
  <si>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</si>
  <si>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</si>
  <si>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</si>
  <si>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</si>
  <si>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</si>
  <si>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</si>
  <si>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</si>
  <si>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</si>
  <si>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</si>
  <si>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</si>
  <si>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</si>
  <si>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</si>
  <si>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</si>
  <si>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</si>
  <si>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</si>
  <si>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</si>
  <si>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</si>
  <si>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</si>
  <si>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</si>
  <si>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</si>
  <si>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</si>
  <si>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</si>
  <si>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</si>
  <si>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</si>
  <si>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</si>
  <si>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</si>
  <si>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</si>
  <si>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</si>
  <si>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</si>
  <si>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</si>
  <si>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</si>
  <si>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</si>
  <si>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</si>
  <si>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</si>
  <si>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</si>
  <si>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</si>
  <si>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</si>
  <si>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</si>
  <si>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</si>
  <si>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</si>
  <si>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</si>
  <si>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</si>
  <si>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</si>
  <si>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</si>
  <si>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</si>
  <si>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</si>
  <si>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</si>
  <si>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</si>
  <si>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</si>
  <si>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</si>
  <si>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</si>
  <si>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</si>
  <si>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</si>
  <si>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</si>
  <si>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</si>
  <si>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</si>
  <si>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</si>
  <si>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</si>
  <si>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</si>
  <si>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</si>
  <si>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</si>
  <si>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</si>
  <si>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</si>
  <si>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</si>
  <si>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</si>
  <si>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</si>
  <si>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</si>
  <si>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</si>
  <si>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</si>
  <si>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</si>
  <si>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</si>
  <si>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</si>
  <si>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</si>
  <si>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</si>
  <si>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</si>
  <si>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</si>
  <si>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</si>
  <si>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</si>
  <si>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</si>
  <si>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</si>
  <si>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</si>
  <si>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</si>
  <si>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</si>
  <si>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</si>
  <si>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</si>
  <si>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</si>
  <si>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</si>
  <si>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</si>
  <si>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</si>
  <si>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</si>
  <si>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</si>
  <si>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</si>
  <si>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</si>
  <si>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</si>
  <si>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</si>
  <si>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</si>
  <si>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</si>
  <si>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</si>
  <si>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</si>
  <si>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</si>
  <si>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</si>
  <si>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</si>
  <si>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</si>
  <si>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</si>
  <si>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</si>
  <si>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</si>
  <si>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</si>
  <si>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</si>
  <si>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</si>
  <si>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</si>
  <si>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</si>
  <si>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</si>
  <si>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</si>
  <si>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</si>
  <si>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</si>
  <si>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</si>
  <si>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</si>
  <si>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</si>
  <si>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</si>
  <si>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</si>
  <si>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</si>
  <si>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</si>
  <si>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</si>
  <si>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</si>
  <si>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</si>
  <si>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</si>
  <si>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</si>
  <si>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</si>
  <si>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</si>
  <si>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</si>
  <si>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</si>
  <si>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</si>
  <si>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</si>
  <si>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</si>
  <si>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</si>
  <si>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</si>
  <si>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</si>
  <si>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</si>
  <si>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</si>
  <si>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</si>
  <si>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</si>
  <si>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</si>
  <si>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</si>
  <si>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</si>
  <si>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</si>
  <si>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</si>
  <si>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</si>
  <si>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</si>
  <si>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</si>
  <si>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</si>
  <si>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</si>
  <si>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</si>
  <si>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</si>
  <si>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</si>
  <si>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</si>
  <si>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</si>
  <si>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</si>
  <si>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</si>
  <si>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</si>
  <si>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</si>
  <si>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</si>
  <si>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</si>
  <si>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</si>
  <si>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</si>
  <si>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</si>
  <si>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</si>
  <si>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</si>
  <si>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</si>
  <si>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</si>
  <si>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</si>
  <si>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</si>
  <si>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</si>
  <si>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</si>
  <si>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</si>
  <si>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</si>
  <si>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</si>
  <si>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</si>
  <si>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</si>
  <si>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</si>
  <si>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</si>
  <si>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</si>
  <si>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</si>
  <si>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CUB CON RESPALDO FTE 90°</t>
  </si>
  <si>
    <t>VALE EVANS</t>
  </si>
  <si>
    <t>SANTIAGO</t>
  </si>
  <si>
    <t>+56 9 9895 2360</t>
  </si>
  <si>
    <t>SI</t>
  </si>
  <si>
    <t>CHAMPAÑA METALIZADO 0220 MT</t>
  </si>
  <si>
    <t>N° 12135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</si>
</sst>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B9" zoomScale="93" zoomScaleNormal="93" workbookViewId="0">
      <selection activeCell="J29" sqref="J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292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292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291</v>
      </c>
      <c r="D15" s="424"/>
      <c r="F15" s="29" t="s">
        <v>284</v>
      </c>
      <c r="G15" s="75" t="s">
        <v>292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290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86324.173913043487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0" t="s">
        <v>288</v>
      </c>
      <c r="D21" s="431">
        <v>0.27</v>
      </c>
      <c r="E21" s="431">
        <v>0.5</v>
      </c>
      <c r="F21" s="312" t="s">
        <v>293</v>
      </c>
      <c r="G21" s="313">
        <f>Q21</f>
        <v>15106.730434782612</v>
      </c>
      <c r="H21" s="432">
        <f>G21*B21</f>
        <v>15106.730434782612</v>
      </c>
      <c r="I21" s="305"/>
      <c r="J21" s="264"/>
      <c r="K21" s="47"/>
      <c r="L21" s="47">
        <f>B21</f>
        <v>1</v>
      </c>
      <c r="M21" s="39">
        <f>D21+M$19</f>
        <v>0.35000000000000003</v>
      </c>
      <c r="N21" s="39">
        <f>E21+$N$19</f>
        <v>0.5</v>
      </c>
      <c r="O21" s="260">
        <f t="shared" ref="O21" si="0">M21*N21</f>
        <v>0.17500000000000002</v>
      </c>
      <c r="P21" s="258">
        <f t="shared" ref="P21" si="1">O21*L21</f>
        <v>0.17500000000000002</v>
      </c>
      <c r="Q21" s="251">
        <f t="shared" ref="Q21" si="2">Q$20*O21</f>
        <v>15106.730434782612</v>
      </c>
      <c r="R21" s="304">
        <f t="shared" ref="R21" si="3">Q21+R$20</f>
        <v>18106.730434782614</v>
      </c>
      <c r="S21" s="290">
        <f>M21*L21</f>
        <v>0.35000000000000003</v>
      </c>
      <c r="T21" s="46">
        <f>N21*2*L21*2</f>
        <v>2</v>
      </c>
      <c r="U21" s="9"/>
      <c r="X21" s="4"/>
    </row>
    <row r="22" spans="1:25" ht="18" thickBot="1" x14ac:dyDescent="0.35">
      <c r="B22" s="434">
        <v>1</v>
      </c>
      <c r="C22" s="435" t="s">
        <v>288</v>
      </c>
      <c r="D22" s="436">
        <v>0.72</v>
      </c>
      <c r="E22" s="436">
        <v>0.5</v>
      </c>
      <c r="F22" s="437" t="s">
        <v>293</v>
      </c>
      <c r="G22" s="438">
        <f t="shared" ref="G22" si="4">Q22</f>
        <v>34529.669565217395</v>
      </c>
      <c r="H22" s="439">
        <f t="shared" ref="H22" si="5">G22*B22</f>
        <v>34529.669565217395</v>
      </c>
      <c r="I22" s="305"/>
      <c r="J22" s="264"/>
      <c r="K22" s="47"/>
      <c r="L22" s="47">
        <f t="shared" ref="L22" si="6">B22</f>
        <v>1</v>
      </c>
      <c r="M22" s="39">
        <f t="shared" ref="M22" si="7">D22+M$19</f>
        <v>0.79999999999999993</v>
      </c>
      <c r="N22" s="39">
        <f t="shared" ref="N22" si="8">E22+$N$19</f>
        <v>0.5</v>
      </c>
      <c r="O22" s="260">
        <f t="shared" ref="O22" si="9">M22*N22</f>
        <v>0.39999999999999997</v>
      </c>
      <c r="P22" s="258">
        <f t="shared" ref="P22" si="10">O22*L22</f>
        <v>0.39999999999999997</v>
      </c>
      <c r="Q22" s="251">
        <f t="shared" ref="Q22" si="11">Q$20*O22</f>
        <v>34529.669565217395</v>
      </c>
      <c r="R22" s="304">
        <f t="shared" ref="R22" si="12">Q22+R$20</f>
        <v>37529.669565217395</v>
      </c>
      <c r="S22" s="290">
        <f t="shared" ref="S22" si="13">M22*L22</f>
        <v>0.79999999999999993</v>
      </c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SUM(H21:H22)</f>
        <v>49636.400000000009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9430.9160000000011</v>
      </c>
      <c r="I25" s="307"/>
      <c r="J25" s="264"/>
      <c r="K25" s="47"/>
      <c r="L25" s="47"/>
      <c r="M25" s="39">
        <f>SUM(M21:M24)</f>
        <v>1.1499999999999999</v>
      </c>
      <c r="N25" s="12"/>
      <c r="O25" s="12"/>
      <c r="P25" s="252">
        <f>SUM(P21:P23)</f>
        <v>0.57499999999999996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59067.316000000006</v>
      </c>
      <c r="I26" s="307"/>
      <c r="J26" s="264"/>
      <c r="K26" s="47"/>
      <c r="L26" s="47"/>
      <c r="M26" s="39"/>
      <c r="N26" s="12"/>
      <c r="O26" s="12"/>
      <c r="P26" s="252">
        <f>P25</f>
        <v>0.57499999999999996</v>
      </c>
      <c r="Q26" s="14"/>
      <c r="R26" s="12"/>
      <c r="S26" s="239">
        <f>SUM(S21:S25)</f>
        <v>1.1499999999999999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0.11499999999999999</v>
      </c>
      <c r="Q27" s="39" t="s">
        <v>129</v>
      </c>
      <c r="R27" s="42"/>
      <c r="S27" s="240">
        <f>S26+T24</f>
        <v>3.15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0.69</v>
      </c>
      <c r="Q28" s="14"/>
      <c r="R28" s="14"/>
      <c r="S28" s="238">
        <f>S27*20%</f>
        <v>0.63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3.78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0.69</v>
      </c>
      <c r="N30" s="12">
        <v>4000</v>
      </c>
      <c r="O30" s="12">
        <f t="shared" ref="O30:O35" si="14">M30*N30</f>
        <v>2760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0.2</v>
      </c>
      <c r="N31" s="12">
        <v>24910</v>
      </c>
      <c r="O31" s="12">
        <f t="shared" si="14"/>
        <v>4982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1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0.36</v>
      </c>
      <c r="N33" s="249">
        <v>37000</v>
      </c>
      <c r="O33" s="12">
        <f t="shared" si="14"/>
        <v>13320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</v>
      </c>
      <c r="N35" s="12">
        <v>1500</v>
      </c>
      <c r="O35" s="12">
        <f t="shared" si="14"/>
        <v>1500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22562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49636.4</v>
      </c>
      <c r="P37" s="14" t="s">
        <v>138</v>
      </c>
      <c r="Q37" s="14"/>
      <c r="R37" s="40">
        <f>P28/R36</f>
        <v>0.18604400345125105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86324.173913043487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46156</v>
      </c>
    </row>
    <row r="6" spans="2:31" ht="16.2" thickBot="1" x14ac:dyDescent="0.35">
      <c r="B6" s="140" t="s">
        <v>2</v>
      </c>
      <c r="C6" s="139" t="str">
        <f>'2229'!C10</f>
        <v>VALE EVANS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12135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2060.6916332125584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49636.400000000009</v>
      </c>
      <c r="E11" s="132">
        <f>D11*0.19</f>
        <v>9430.9160000000011</v>
      </c>
      <c r="F11" s="131">
        <f>E11+D11</f>
        <v>59067.316000000006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108050.69163321255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37576.090787439614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90050.691633212555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12060.309212560394</v>
      </c>
      <c r="E13" s="221">
        <f>(D11/D12)-1</f>
        <v>0.3209569957871119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81050.691633212555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42050.691633212555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62000.549799275359</v>
      </c>
      <c r="F15" s="216">
        <f>E15-D12</f>
        <v>24424.459011835745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42050.691633212555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82050.691633212555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4982</v>
      </c>
      <c r="E19" s="123">
        <f>D19*0.19</f>
        <v>946.58</v>
      </c>
      <c r="F19" s="120">
        <f>SUM(D19:E19)</f>
        <v>5928.58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2760</v>
      </c>
      <c r="E20" s="121">
        <f>D20*0.19</f>
        <v>524.4</v>
      </c>
      <c r="F20" s="120">
        <f>SUM(D20:E20)</f>
        <v>3284.4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7742</v>
      </c>
      <c r="E21" s="116">
        <f>SUM(E18:E20)</f>
        <v>1470.98</v>
      </c>
      <c r="F21" s="115">
        <f>SUM(F18:F20)</f>
        <v>9212.98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7959.9360000000015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49636.400000000009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7742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12060.309212560394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12060.309212560394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12135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VALE EVANS</v>
      </c>
      <c r="D10" s="349"/>
      <c r="E10" s="349"/>
      <c r="F10" s="350" t="s">
        <v>167</v>
      </c>
      <c r="G10" s="351">
        <f>'2229'!G10</f>
        <v>46156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46163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SI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+56 9 9895 2360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270</v>
      </c>
      <c r="E22" s="320">
        <f>'2229'!E21*1000</f>
        <v>500</v>
      </c>
      <c r="F22" s="321" t="str">
        <f>'2229'!F21</f>
        <v>CHAMPAÑA METALIZADO 0220 MT</v>
      </c>
      <c r="G22" s="313">
        <f>'2229'!G21</f>
        <v>15106.730434782612</v>
      </c>
      <c r="H22" s="322">
        <f>G22*B22</f>
        <v>15106.730434782612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15106.730434782612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2870.2787826086965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17977.009217391307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0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VALE EVANS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46156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12135</v>
      </c>
      <c r="C2" s="1">
        <f>'NOTA DE VENTA'!$G$10</f>
        <v>46156</v>
      </c>
      <c r="D2" s="1">
        <f>'NOTA DE VENTA'!$G$11</f>
        <v>46163</v>
      </c>
      <c r="E2" t="str">
        <f>'NOTA DE VENTA'!$C$10</f>
        <v>VALE EVANS</v>
      </c>
      <c r="F2" t="str">
        <f>'NOTA DE VENTA'!$C$22</f>
        <v>CUB CON RESPALDO FTE 90°</v>
      </c>
      <c r="G2" t="str">
        <f>'NOTA DE VENTA'!$F$22</f>
        <v>CHAMPAÑA METALIZADO 0220 MT</v>
      </c>
      <c r="H2" s="415">
        <f>'NOTA DE VENTA'!$H$25</f>
        <v>15106.730434782612</v>
      </c>
      <c r="I2" s="415">
        <f>H2*0.19</f>
        <v>2870.2787826086965</v>
      </c>
      <c r="J2" s="415">
        <f>I2+H2</f>
        <v>17977.009217391307</v>
      </c>
      <c r="L2" s="61">
        <f>J2-K2</f>
        <v>17977.009217391307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2026-05-14T14:39:17Z</cp:lastPrinted>
  <dcterms:created xsi:type="dcterms:W3CDTF">2013-03-18T13:35:42Z</dcterms:created>
  <dcterms:modified xsi:type="dcterms:W3CDTF">2026-05-15T20:26:37Z</dcterms:modified>
</cp:coreProperties>
</file>