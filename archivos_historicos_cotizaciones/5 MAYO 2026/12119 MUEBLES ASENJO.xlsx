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08905DAC-F98A-4ABB-9AC1-B81BC469C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P42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N27" i="1"/>
  <c r="O27" i="1"/>
  <c r="P27" i="1" s="1"/>
  <c r="S27" i="1"/>
  <c r="L28" i="1"/>
  <c r="M28" i="1"/>
  <c r="N28" i="1"/>
  <c r="O28" i="1"/>
  <c r="P28" i="1" s="1"/>
  <c r="S28" i="1"/>
  <c r="L29" i="1"/>
  <c r="M29" i="1"/>
  <c r="N29" i="1"/>
  <c r="O29" i="1"/>
  <c r="P29" i="1" s="1"/>
  <c r="S29" i="1"/>
  <c r="L30" i="1"/>
  <c r="M30" i="1"/>
  <c r="N30" i="1"/>
  <c r="O30" i="1"/>
  <c r="P30" i="1" s="1"/>
  <c r="S30" i="1"/>
  <c r="L31" i="1"/>
  <c r="M31" i="1"/>
  <c r="N31" i="1"/>
  <c r="O31" i="1"/>
  <c r="P31" i="1" s="1"/>
  <c r="S31" i="1"/>
  <c r="L32" i="1"/>
  <c r="M32" i="1"/>
  <c r="N32" i="1"/>
  <c r="O32" i="1"/>
  <c r="P32" i="1" s="1"/>
  <c r="S32" i="1"/>
  <c r="L33" i="1"/>
  <c r="M33" i="1"/>
  <c r="N33" i="1"/>
  <c r="O33" i="1"/>
  <c r="P33" i="1" s="1"/>
  <c r="S33" i="1"/>
  <c r="L34" i="1"/>
  <c r="M34" i="1"/>
  <c r="N34" i="1"/>
  <c r="O34" i="1"/>
  <c r="P34" i="1" s="1"/>
  <c r="S34" i="1"/>
  <c r="L35" i="1"/>
  <c r="M35" i="1"/>
  <c r="N35" i="1"/>
  <c r="O35" i="1"/>
  <c r="P35" i="1" s="1"/>
  <c r="S35" i="1"/>
  <c r="L36" i="1"/>
  <c r="M36" i="1"/>
  <c r="N36" i="1"/>
  <c r="O36" i="1"/>
  <c r="P36" i="1" s="1"/>
  <c r="S36" i="1"/>
  <c r="L37" i="1"/>
  <c r="M37" i="1"/>
  <c r="N37" i="1"/>
  <c r="O37" i="1"/>
  <c r="P37" i="1" s="1"/>
  <c r="S37" i="1"/>
  <c r="L38" i="1"/>
  <c r="M38" i="1"/>
  <c r="N38" i="1"/>
  <c r="O38" i="1"/>
  <c r="P38" i="1" s="1"/>
  <c r="S38" i="1"/>
  <c r="B39" i="1"/>
  <c r="M21" i="1" l="1"/>
  <c r="L21" i="1"/>
  <c r="S21" i="1" l="1"/>
  <c r="N21" i="1" l="1"/>
  <c r="O21" i="1" l="1"/>
  <c r="P21" i="1" s="1"/>
  <c r="S43" i="1"/>
  <c r="M42" i="1"/>
  <c r="T41" i="1"/>
  <c r="S44" i="1" l="1"/>
  <c r="S45" i="1" s="1"/>
  <c r="S46" i="1" s="1"/>
  <c r="V49" i="1"/>
  <c r="V50" i="1" s="1"/>
  <c r="O48" i="1" l="1"/>
  <c r="P43" i="1" l="1"/>
  <c r="N20" i="1"/>
  <c r="L20" i="1"/>
  <c r="P44" i="1" l="1"/>
  <c r="P45" i="1" s="1"/>
  <c r="M47" i="1" s="1"/>
  <c r="O49" i="1"/>
  <c r="R53" i="1"/>
  <c r="R54" i="1" l="1"/>
  <c r="O5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2" i="1"/>
  <c r="O51" i="1"/>
  <c r="F18" i="3" l="1"/>
  <c r="O47" i="1" l="1"/>
  <c r="O53" i="1" s="1"/>
  <c r="O54" i="1" s="1"/>
  <c r="D20" i="3" l="1"/>
  <c r="E20" i="3" s="1"/>
  <c r="E21" i="3" s="1"/>
  <c r="O55" i="1" l="1"/>
  <c r="Q20" i="1" s="1"/>
  <c r="D21" i="3"/>
  <c r="M43" i="3" s="1"/>
  <c r="D12" i="3" s="1"/>
  <c r="F20" i="3"/>
  <c r="F21" i="3" s="1"/>
  <c r="Q22" i="1" l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21" i="1"/>
  <c r="O56" i="1"/>
  <c r="E15" i="3"/>
  <c r="R33" i="1" l="1"/>
  <c r="G33" i="1" s="1"/>
  <c r="H33" i="1"/>
  <c r="R25" i="1"/>
  <c r="G25" i="1" s="1"/>
  <c r="H25" i="1"/>
  <c r="R36" i="1"/>
  <c r="G36" i="1" s="1"/>
  <c r="H36" i="1"/>
  <c r="R32" i="1"/>
  <c r="G32" i="1" s="1"/>
  <c r="H32" i="1"/>
  <c r="R28" i="1"/>
  <c r="G28" i="1" s="1"/>
  <c r="H28" i="1"/>
  <c r="R24" i="1"/>
  <c r="G24" i="1" s="1"/>
  <c r="H24" i="1"/>
  <c r="R37" i="1"/>
  <c r="G37" i="1" s="1"/>
  <c r="H37" i="1"/>
  <c r="R29" i="1"/>
  <c r="G29" i="1" s="1"/>
  <c r="H29" i="1"/>
  <c r="R35" i="1"/>
  <c r="G35" i="1" s="1"/>
  <c r="H35" i="1"/>
  <c r="R31" i="1"/>
  <c r="G31" i="1" s="1"/>
  <c r="H31" i="1"/>
  <c r="R27" i="1"/>
  <c r="G27" i="1" s="1"/>
  <c r="H27" i="1"/>
  <c r="R23" i="1"/>
  <c r="G23" i="1" s="1"/>
  <c r="H23" i="1"/>
  <c r="R38" i="1"/>
  <c r="G38" i="1" s="1"/>
  <c r="H38" i="1"/>
  <c r="R34" i="1"/>
  <c r="G34" i="1" s="1"/>
  <c r="H34" i="1"/>
  <c r="R30" i="1"/>
  <c r="G30" i="1" s="1"/>
  <c r="H30" i="1"/>
  <c r="R26" i="1"/>
  <c r="G26" i="1" s="1"/>
  <c r="H26" i="1"/>
  <c r="R22" i="1"/>
  <c r="G22" i="1" s="1"/>
  <c r="H22" i="1"/>
  <c r="R21" i="1"/>
  <c r="G21" i="1" s="1"/>
  <c r="H21" i="1"/>
  <c r="H41" i="1" s="1"/>
  <c r="J46" i="1" s="1"/>
  <c r="F15" i="3"/>
  <c r="H42" i="1" l="1"/>
  <c r="H43" i="1" s="1"/>
  <c r="J43" i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<sst xmlns="http://schemas.openxmlformats.org/spreadsheetml/2006/main" count="264" uniqueCount="175">
  <si>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</si>
  <si>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</si>
  <si>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</si>
  <si>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</si>
  <si>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</si>
  <si>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</si>
  <si>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</si>
  <si>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</si>
  <si>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</si>
  <si>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</si>
  <si>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</si>
  <si>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</si>
  <si>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</si>
  <si>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</si>
  <si>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</si>
  <si>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</si>
  <si>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</si>
  <si>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</si>
  <si>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</si>
  <si>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</si>
  <si>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</si>
  <si>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</si>
  <si>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</si>
  <si>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</si>
  <si>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</si>
  <si>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</si>
  <si>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</si>
  <si>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</si>
  <si>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</si>
  <si>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</si>
  <si>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</si>
  <si>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</si>
  <si>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</si>
  <si>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</si>
  <si>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</si>
  <si>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</si>
  <si>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</si>
  <si>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</si>
  <si>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</si>
  <si>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</si>
  <si>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</si>
  <si>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</si>
  <si>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</si>
  <si>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</si>
  <si>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</si>
  <si>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</si>
  <si>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</si>
  <si>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</si>
  <si>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</si>
  <si>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</si>
  <si>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</si>
  <si>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</si>
  <si>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</si>
  <si>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</si>
  <si>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</si>
  <si>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</si>
  <si>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</si>
  <si>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</si>
  <si>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</si>
  <si>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</si>
  <si>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</si>
  <si>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</si>
  <si>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</si>
  <si>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</si>
  <si>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</si>
  <si>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</si>
  <si>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</si>
  <si>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</si>
  <si>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</si>
  <si>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</si>
  <si>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</si>
  <si>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</si>
  <si>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</si>
  <si>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</si>
  <si>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</si>
  <si>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</si>
  <si>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</si>
  <si>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</si>
  <si>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</si>
  <si>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</si>
  <si>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</si>
  <si>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</si>
  <si>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</si>
  <si>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</si>
  <si>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</si>
  <si>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</si>
  <si>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</si>
  <si>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</si>
  <si>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</si>
  <si>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</si>
  <si>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</si>
  <si>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</si>
  <si>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</si>
  <si>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</si>
  <si>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</si>
  <si>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</si>
  <si>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</si>
  <si>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</si>
  <si>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</si>
  <si>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</si>
  <si>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</si>
  <si>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</si>
  <si>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</si>
  <si>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</si>
  <si>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</si>
  <si>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</si>
  <si>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</si>
  <si>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</si>
  <si>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</si>
  <si>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</si>
  <si>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</si>
  <si>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</si>
  <si>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</si>
  <si>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</si>
  <si>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</si>
  <si>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</si>
  <si>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</si>
  <si>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</si>
  <si>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</si>
  <si>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</si>
  <si>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</si>
  <si>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</si>
  <si>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</si>
  <si>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</si>
  <si>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</si>
  <si>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</si>
  <si>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</si>
  <si>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</si>
  <si>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</si>
  <si>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</si>
  <si>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</si>
  <si>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</si>
  <si>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</si>
  <si>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</si>
  <si>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</si>
  <si>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</si>
  <si>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</si>
  <si>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</si>
  <si>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</si>
  <si>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</si>
  <si>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</si>
  <si>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</si>
  <si>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</si>
  <si>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</si>
  <si>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</si>
  <si>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</si>
  <si>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</si>
  <si>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</si>
  <si>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</si>
  <si>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</si>
  <si>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</si>
  <si>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</si>
  <si>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</si>
  <si>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</si>
  <si>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</si>
  <si>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</si>
  <si>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</si>
  <si>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</si>
  <si>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</si>
  <si>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</si>
  <si>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</si>
  <si>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</si>
  <si>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</si>
  <si>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</si>
  <si>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</si>
  <si>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</si>
  <si>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</si>
  <si>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</si>
  <si>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</si>
  <si>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</si>
  <si>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</si>
  <si>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N° 12119</t>
  </si>
  <si>
    <t>7 DIA HABIL</t>
  </si>
  <si>
    <t>CUB C/R 90° R8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</si>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</sst>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42" fontId="21" fillId="0" borderId="0" xfId="0" applyNumberFormat="1" applyFont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44</xdr:row>
      <xdr:rowOff>8194</xdr:rowOff>
    </xdr:from>
    <xdr:to>
      <xdr:col>8</xdr:col>
      <xdr:colOff>8193</xdr:colOff>
      <xdr:row>47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46</xdr:row>
      <xdr:rowOff>154305</xdr:rowOff>
    </xdr:from>
    <xdr:to>
      <xdr:col>7</xdr:col>
      <xdr:colOff>853440</xdr:colOff>
      <xdr:row>46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44</xdr:row>
      <xdr:rowOff>9525</xdr:rowOff>
    </xdr:from>
    <xdr:to>
      <xdr:col>5</xdr:col>
      <xdr:colOff>1745226</xdr:colOff>
      <xdr:row>47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40</xdr:row>
      <xdr:rowOff>25913</xdr:rowOff>
    </xdr:from>
    <xdr:to>
      <xdr:col>5</xdr:col>
      <xdr:colOff>1728839</xdr:colOff>
      <xdr:row>43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8"/>
  <sheetViews>
    <sheetView tabSelected="1" topLeftCell="A2" zoomScale="80" zoomScaleNormal="80" workbookViewId="0">
      <selection activeCell="R21" sqref="R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46149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O55</f>
        <v>26582.493448146764</v>
      </c>
      <c r="R20" s="258">
        <v>13000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2</v>
      </c>
      <c r="C21" s="330" t="s">
        <v>173</v>
      </c>
      <c r="D21" s="332">
        <v>3</v>
      </c>
      <c r="E21" s="332">
        <v>0.69</v>
      </c>
      <c r="F21" s="330" t="s">
        <v>174</v>
      </c>
      <c r="G21" s="331">
        <f>R21</f>
        <v>69493.115076001501</v>
      </c>
      <c r="H21" s="331">
        <f t="shared" ref="H21" si="1">G21*B21</f>
        <v>138986.230152003</v>
      </c>
      <c r="I21" s="320"/>
      <c r="J21" s="265"/>
      <c r="K21" s="47"/>
      <c r="L21" s="47">
        <f>B21</f>
        <v>2</v>
      </c>
      <c r="M21" s="39">
        <f>D21+M$19</f>
        <v>3.08</v>
      </c>
      <c r="N21" s="39">
        <f t="shared" ref="N21" si="2">E21+$N$19</f>
        <v>0.69</v>
      </c>
      <c r="O21" s="261">
        <f t="shared" ref="O21" si="3">M21*N21</f>
        <v>2.1252</v>
      </c>
      <c r="P21" s="259">
        <f t="shared" ref="P21" si="4">O21*L21</f>
        <v>4.2504</v>
      </c>
      <c r="Q21" s="252">
        <f t="shared" ref="Q21" si="5">Q$20*O21</f>
        <v>56493.115076001501</v>
      </c>
      <c r="R21" s="319">
        <f t="shared" ref="R21" si="6">Q21+R$20</f>
        <v>69493.115076001501</v>
      </c>
      <c r="S21" s="297">
        <f t="shared" ref="S21" si="7">L21*M21</f>
        <v>6.16</v>
      </c>
      <c r="T21" s="46"/>
      <c r="U21" s="9"/>
      <c r="X21" s="4"/>
    </row>
    <row r="22" spans="2:25" ht="17.399999999999999" x14ac:dyDescent="0.3">
      <c r="B22" s="330">
        <v>1</v>
      </c>
      <c r="C22" s="330" t="s">
        <v>173</v>
      </c>
      <c r="D22" s="332">
        <v>2.0299999999999998</v>
      </c>
      <c r="E22" s="332">
        <v>0.69</v>
      </c>
      <c r="F22" s="330" t="s">
        <v>174</v>
      </c>
      <c r="G22" s="331">
        <f t="shared" ref="G22:G38" si="8">R22</f>
        <v>51701.452211156866</v>
      </c>
      <c r="H22" s="331">
        <f t="shared" ref="H22:H38" si="9">G22*B22</f>
        <v>51701.452211156866</v>
      </c>
      <c r="I22" s="320"/>
      <c r="J22" s="265"/>
      <c r="K22" s="47"/>
      <c r="L22" s="47">
        <f t="shared" ref="L22:L38" si="10">B22</f>
        <v>1</v>
      </c>
      <c r="M22" s="39">
        <f t="shared" ref="M22:M38" si="11">D22+M$19</f>
        <v>2.11</v>
      </c>
      <c r="N22" s="39">
        <f t="shared" ref="N22:N38" si="12">E22+$N$19</f>
        <v>0.69</v>
      </c>
      <c r="O22" s="261">
        <f t="shared" ref="O22:O38" si="13">M22*N22</f>
        <v>1.4558999999999997</v>
      </c>
      <c r="P22" s="259">
        <f t="shared" ref="P22:P38" si="14">O22*L22</f>
        <v>1.4558999999999997</v>
      </c>
      <c r="Q22" s="252">
        <f t="shared" ref="Q22:Q38" si="15">Q$20*O22</f>
        <v>38701.452211156866</v>
      </c>
      <c r="R22" s="319">
        <f t="shared" ref="R22:R38" si="16">Q22+R$20</f>
        <v>51701.452211156866</v>
      </c>
      <c r="S22" s="297">
        <f t="shared" ref="S22:S38" si="17">L22*M22</f>
        <v>2.11</v>
      </c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2">
        <v>2.9</v>
      </c>
      <c r="E23" s="332">
        <v>0.69</v>
      </c>
      <c r="F23" s="330" t="s">
        <v>174</v>
      </c>
      <c r="G23" s="331">
        <f t="shared" si="8"/>
        <v>67658.923028079385</v>
      </c>
      <c r="H23" s="331">
        <f t="shared" si="9"/>
        <v>67658.923028079385</v>
      </c>
      <c r="I23" s="320"/>
      <c r="J23" s="265"/>
      <c r="K23" s="47"/>
      <c r="L23" s="47">
        <f t="shared" si="10"/>
        <v>1</v>
      </c>
      <c r="M23" s="39">
        <f t="shared" si="11"/>
        <v>2.98</v>
      </c>
      <c r="N23" s="39">
        <f t="shared" si="12"/>
        <v>0.69</v>
      </c>
      <c r="O23" s="261">
        <f t="shared" si="13"/>
        <v>2.0562</v>
      </c>
      <c r="P23" s="259">
        <f t="shared" si="14"/>
        <v>2.0562</v>
      </c>
      <c r="Q23" s="252">
        <f t="shared" si="15"/>
        <v>54658.923028079378</v>
      </c>
      <c r="R23" s="319">
        <f t="shared" si="16"/>
        <v>67658.923028079385</v>
      </c>
      <c r="S23" s="297">
        <f t="shared" si="17"/>
        <v>2.98</v>
      </c>
      <c r="T23" s="46"/>
      <c r="U23" s="9"/>
      <c r="X23" s="4"/>
    </row>
    <row r="24" spans="2:25" ht="17.399999999999999" x14ac:dyDescent="0.3">
      <c r="B24" s="330">
        <v>1</v>
      </c>
      <c r="C24" s="330" t="s">
        <v>173</v>
      </c>
      <c r="D24" s="332">
        <v>2.0699999999999998</v>
      </c>
      <c r="E24" s="332">
        <v>0.7</v>
      </c>
      <c r="F24" s="330" t="s">
        <v>174</v>
      </c>
      <c r="G24" s="331">
        <f t="shared" si="8"/>
        <v>53006.652639460881</v>
      </c>
      <c r="H24" s="331">
        <f t="shared" si="9"/>
        <v>53006.652639460881</v>
      </c>
      <c r="I24" s="320"/>
      <c r="J24" s="265"/>
      <c r="K24" s="47"/>
      <c r="L24" s="47">
        <f t="shared" si="10"/>
        <v>1</v>
      </c>
      <c r="M24" s="39">
        <f t="shared" si="11"/>
        <v>2.15</v>
      </c>
      <c r="N24" s="39">
        <f t="shared" si="12"/>
        <v>0.7</v>
      </c>
      <c r="O24" s="261">
        <f t="shared" si="13"/>
        <v>1.5049999999999999</v>
      </c>
      <c r="P24" s="259">
        <f t="shared" si="14"/>
        <v>1.5049999999999999</v>
      </c>
      <c r="Q24" s="252">
        <f t="shared" si="15"/>
        <v>40006.652639460881</v>
      </c>
      <c r="R24" s="319">
        <f t="shared" si="16"/>
        <v>53006.652639460881</v>
      </c>
      <c r="S24" s="297">
        <f t="shared" si="17"/>
        <v>2.15</v>
      </c>
      <c r="T24" s="46"/>
      <c r="U24" s="9"/>
      <c r="X24" s="4"/>
    </row>
    <row r="25" spans="2:25" ht="17.399999999999999" x14ac:dyDescent="0.3">
      <c r="B25" s="330">
        <v>1</v>
      </c>
      <c r="C25" s="330" t="s">
        <v>173</v>
      </c>
      <c r="D25" s="332">
        <v>2.0099999999999998</v>
      </c>
      <c r="E25" s="332">
        <v>0.7</v>
      </c>
      <c r="F25" s="330" t="s">
        <v>174</v>
      </c>
      <c r="G25" s="331">
        <f t="shared" si="8"/>
        <v>51890.187914638715</v>
      </c>
      <c r="H25" s="331">
        <f t="shared" si="9"/>
        <v>51890.187914638715</v>
      </c>
      <c r="I25" s="320"/>
      <c r="J25" s="265"/>
      <c r="K25" s="47"/>
      <c r="L25" s="47">
        <f t="shared" si="10"/>
        <v>1</v>
      </c>
      <c r="M25" s="39">
        <f t="shared" si="11"/>
        <v>2.09</v>
      </c>
      <c r="N25" s="39">
        <f t="shared" si="12"/>
        <v>0.7</v>
      </c>
      <c r="O25" s="261">
        <f t="shared" si="13"/>
        <v>1.4629999999999999</v>
      </c>
      <c r="P25" s="259">
        <f t="shared" si="14"/>
        <v>1.4629999999999999</v>
      </c>
      <c r="Q25" s="252">
        <f t="shared" si="15"/>
        <v>38890.187914638715</v>
      </c>
      <c r="R25" s="319">
        <f t="shared" si="16"/>
        <v>51890.187914638715</v>
      </c>
      <c r="S25" s="297">
        <f t="shared" si="17"/>
        <v>2.09</v>
      </c>
      <c r="T25" s="46"/>
      <c r="U25" s="9"/>
      <c r="X25" s="4"/>
    </row>
    <row r="26" spans="2:25" ht="17.399999999999999" x14ac:dyDescent="0.3">
      <c r="B26" s="330">
        <v>2</v>
      </c>
      <c r="C26" s="330" t="s">
        <v>173</v>
      </c>
      <c r="D26" s="332">
        <v>3</v>
      </c>
      <c r="E26" s="332">
        <v>0.7</v>
      </c>
      <c r="F26" s="330" t="s">
        <v>174</v>
      </c>
      <c r="G26" s="331">
        <f t="shared" si="8"/>
        <v>70311.855874204426</v>
      </c>
      <c r="H26" s="331">
        <f t="shared" si="9"/>
        <v>140623.71174840885</v>
      </c>
      <c r="I26" s="320"/>
      <c r="J26" s="265"/>
      <c r="K26" s="47"/>
      <c r="L26" s="47">
        <f t="shared" si="10"/>
        <v>2</v>
      </c>
      <c r="M26" s="39">
        <f t="shared" si="11"/>
        <v>3.08</v>
      </c>
      <c r="N26" s="39">
        <f t="shared" si="12"/>
        <v>0.7</v>
      </c>
      <c r="O26" s="261">
        <f t="shared" si="13"/>
        <v>2.1559999999999997</v>
      </c>
      <c r="P26" s="259">
        <f t="shared" si="14"/>
        <v>4.3119999999999994</v>
      </c>
      <c r="Q26" s="252">
        <f t="shared" si="15"/>
        <v>57311.855874204419</v>
      </c>
      <c r="R26" s="319">
        <f t="shared" si="16"/>
        <v>70311.855874204426</v>
      </c>
      <c r="S26" s="297">
        <f t="shared" si="17"/>
        <v>6.16</v>
      </c>
      <c r="T26" s="46"/>
      <c r="U26" s="9"/>
      <c r="X26" s="4"/>
    </row>
    <row r="27" spans="2:25" ht="17.399999999999999" x14ac:dyDescent="0.3">
      <c r="B27" s="330">
        <v>1</v>
      </c>
      <c r="C27" s="330" t="s">
        <v>173</v>
      </c>
      <c r="D27" s="332">
        <v>0.8</v>
      </c>
      <c r="E27" s="332">
        <v>0.7</v>
      </c>
      <c r="F27" s="330" t="s">
        <v>174</v>
      </c>
      <c r="G27" s="331">
        <f t="shared" si="8"/>
        <v>29374.815964058405</v>
      </c>
      <c r="H27" s="331">
        <f t="shared" si="9"/>
        <v>29374.815964058405</v>
      </c>
      <c r="I27" s="320"/>
      <c r="J27" s="265"/>
      <c r="K27" s="47"/>
      <c r="L27" s="47">
        <f t="shared" si="10"/>
        <v>1</v>
      </c>
      <c r="M27" s="39">
        <f t="shared" si="11"/>
        <v>0.88</v>
      </c>
      <c r="N27" s="39">
        <f t="shared" si="12"/>
        <v>0.7</v>
      </c>
      <c r="O27" s="261">
        <f t="shared" si="13"/>
        <v>0.61599999999999999</v>
      </c>
      <c r="P27" s="259">
        <f t="shared" si="14"/>
        <v>0.61599999999999999</v>
      </c>
      <c r="Q27" s="252">
        <f t="shared" si="15"/>
        <v>16374.815964058407</v>
      </c>
      <c r="R27" s="319">
        <f t="shared" si="16"/>
        <v>29374.815964058405</v>
      </c>
      <c r="S27" s="297">
        <f t="shared" si="17"/>
        <v>0.88</v>
      </c>
      <c r="T27" s="46"/>
      <c r="U27" s="9"/>
      <c r="X27" s="4"/>
    </row>
    <row r="28" spans="2:25" ht="17.399999999999999" x14ac:dyDescent="0.3">
      <c r="B28" s="330">
        <v>2</v>
      </c>
      <c r="C28" s="330" t="s">
        <v>173</v>
      </c>
      <c r="D28" s="332">
        <v>2.6</v>
      </c>
      <c r="E28" s="332">
        <v>0.7</v>
      </c>
      <c r="F28" s="330" t="s">
        <v>174</v>
      </c>
      <c r="G28" s="331">
        <f t="shared" si="8"/>
        <v>62868.757708723329</v>
      </c>
      <c r="H28" s="331">
        <f t="shared" si="9"/>
        <v>125737.51541744666</v>
      </c>
      <c r="I28" s="320"/>
      <c r="J28" s="265"/>
      <c r="K28" s="47"/>
      <c r="L28" s="47">
        <f t="shared" si="10"/>
        <v>2</v>
      </c>
      <c r="M28" s="39">
        <f t="shared" si="11"/>
        <v>2.68</v>
      </c>
      <c r="N28" s="39">
        <f t="shared" si="12"/>
        <v>0.7</v>
      </c>
      <c r="O28" s="261">
        <f t="shared" si="13"/>
        <v>1.8759999999999999</v>
      </c>
      <c r="P28" s="259">
        <f t="shared" si="14"/>
        <v>3.7519999999999998</v>
      </c>
      <c r="Q28" s="252">
        <f t="shared" si="15"/>
        <v>49868.757708723329</v>
      </c>
      <c r="R28" s="319">
        <f t="shared" si="16"/>
        <v>62868.757708723329</v>
      </c>
      <c r="S28" s="297">
        <f t="shared" si="17"/>
        <v>5.36</v>
      </c>
      <c r="T28" s="46"/>
      <c r="U28" s="9"/>
      <c r="X28" s="4"/>
    </row>
    <row r="29" spans="2:25" ht="17.399999999999999" x14ac:dyDescent="0.3">
      <c r="B29" s="330">
        <v>2</v>
      </c>
      <c r="C29" s="330" t="s">
        <v>173</v>
      </c>
      <c r="D29" s="332">
        <v>2.36</v>
      </c>
      <c r="E29" s="332">
        <v>0.7</v>
      </c>
      <c r="F29" s="330" t="s">
        <v>174</v>
      </c>
      <c r="G29" s="331">
        <f t="shared" si="8"/>
        <v>58402.898809434671</v>
      </c>
      <c r="H29" s="331">
        <f t="shared" si="9"/>
        <v>116805.79761886934</v>
      </c>
      <c r="I29" s="320"/>
      <c r="J29" s="265"/>
      <c r="K29" s="47"/>
      <c r="L29" s="47">
        <f t="shared" si="10"/>
        <v>2</v>
      </c>
      <c r="M29" s="39">
        <f t="shared" si="11"/>
        <v>2.44</v>
      </c>
      <c r="N29" s="39">
        <f t="shared" si="12"/>
        <v>0.7</v>
      </c>
      <c r="O29" s="261">
        <f t="shared" si="13"/>
        <v>1.708</v>
      </c>
      <c r="P29" s="259">
        <f t="shared" si="14"/>
        <v>3.4159999999999999</v>
      </c>
      <c r="Q29" s="252">
        <f t="shared" si="15"/>
        <v>45402.898809434671</v>
      </c>
      <c r="R29" s="319">
        <f t="shared" si="16"/>
        <v>58402.898809434671</v>
      </c>
      <c r="S29" s="297">
        <f t="shared" si="17"/>
        <v>4.88</v>
      </c>
      <c r="T29" s="46"/>
      <c r="U29" s="9"/>
      <c r="X29" s="4"/>
    </row>
    <row r="30" spans="2:25" ht="17.399999999999999" x14ac:dyDescent="0.3">
      <c r="B30" s="330">
        <v>1</v>
      </c>
      <c r="C30" s="330" t="s">
        <v>173</v>
      </c>
      <c r="D30" s="332">
        <v>2.75</v>
      </c>
      <c r="E30" s="332">
        <v>0.7</v>
      </c>
      <c r="F30" s="330" t="s">
        <v>174</v>
      </c>
      <c r="G30" s="331">
        <f t="shared" si="8"/>
        <v>65659.919520778727</v>
      </c>
      <c r="H30" s="331">
        <f t="shared" si="9"/>
        <v>65659.919520778727</v>
      </c>
      <c r="I30" s="320"/>
      <c r="J30" s="265"/>
      <c r="K30" s="47"/>
      <c r="L30" s="47">
        <f t="shared" si="10"/>
        <v>1</v>
      </c>
      <c r="M30" s="39">
        <f t="shared" si="11"/>
        <v>2.83</v>
      </c>
      <c r="N30" s="39">
        <f t="shared" si="12"/>
        <v>0.7</v>
      </c>
      <c r="O30" s="261">
        <f t="shared" si="13"/>
        <v>1.9809999999999999</v>
      </c>
      <c r="P30" s="259">
        <f t="shared" si="14"/>
        <v>1.9809999999999999</v>
      </c>
      <c r="Q30" s="252">
        <f t="shared" si="15"/>
        <v>52659.919520778734</v>
      </c>
      <c r="R30" s="319">
        <f t="shared" si="16"/>
        <v>65659.919520778727</v>
      </c>
      <c r="S30" s="297">
        <f t="shared" si="17"/>
        <v>2.83</v>
      </c>
      <c r="T30" s="46"/>
      <c r="U30" s="9"/>
      <c r="X30" s="4"/>
    </row>
    <row r="31" spans="2:25" ht="17.399999999999999" x14ac:dyDescent="0.3">
      <c r="B31" s="330">
        <v>1</v>
      </c>
      <c r="C31" s="330" t="s">
        <v>173</v>
      </c>
      <c r="D31" s="332">
        <v>2.7</v>
      </c>
      <c r="E31" s="332">
        <v>0.7</v>
      </c>
      <c r="F31" s="330" t="s">
        <v>174</v>
      </c>
      <c r="G31" s="331">
        <f t="shared" si="8"/>
        <v>64729.532250093602</v>
      </c>
      <c r="H31" s="331">
        <f t="shared" si="9"/>
        <v>64729.532250093602</v>
      </c>
      <c r="I31" s="320"/>
      <c r="J31" s="265"/>
      <c r="K31" s="47"/>
      <c r="L31" s="47">
        <f t="shared" si="10"/>
        <v>1</v>
      </c>
      <c r="M31" s="39">
        <f t="shared" si="11"/>
        <v>2.7800000000000002</v>
      </c>
      <c r="N31" s="39">
        <f t="shared" si="12"/>
        <v>0.7</v>
      </c>
      <c r="O31" s="261">
        <f t="shared" si="13"/>
        <v>1.946</v>
      </c>
      <c r="P31" s="259">
        <f t="shared" si="14"/>
        <v>1.946</v>
      </c>
      <c r="Q31" s="252">
        <f t="shared" si="15"/>
        <v>51729.532250093602</v>
      </c>
      <c r="R31" s="319">
        <f t="shared" si="16"/>
        <v>64729.532250093602</v>
      </c>
      <c r="S31" s="297">
        <f t="shared" si="17"/>
        <v>2.7800000000000002</v>
      </c>
      <c r="T31" s="46"/>
      <c r="U31" s="9"/>
      <c r="X31" s="4"/>
    </row>
    <row r="32" spans="2:25" ht="17.399999999999999" x14ac:dyDescent="0.3">
      <c r="B32" s="330">
        <v>1</v>
      </c>
      <c r="C32" s="330" t="s">
        <v>173</v>
      </c>
      <c r="D32" s="332">
        <v>0.93</v>
      </c>
      <c r="E32" s="332">
        <v>0.7</v>
      </c>
      <c r="F32" s="330" t="s">
        <v>174</v>
      </c>
      <c r="G32" s="331">
        <f t="shared" si="8"/>
        <v>31793.822867839761</v>
      </c>
      <c r="H32" s="331">
        <f t="shared" si="9"/>
        <v>31793.822867839761</v>
      </c>
      <c r="I32" s="320"/>
      <c r="J32" s="265"/>
      <c r="K32" s="47"/>
      <c r="L32" s="47">
        <f t="shared" si="10"/>
        <v>1</v>
      </c>
      <c r="M32" s="39">
        <f t="shared" si="11"/>
        <v>1.01</v>
      </c>
      <c r="N32" s="39">
        <f t="shared" si="12"/>
        <v>0.7</v>
      </c>
      <c r="O32" s="261">
        <f t="shared" si="13"/>
        <v>0.70699999999999996</v>
      </c>
      <c r="P32" s="259">
        <f t="shared" si="14"/>
        <v>0.70699999999999996</v>
      </c>
      <c r="Q32" s="252">
        <f t="shared" si="15"/>
        <v>18793.822867839761</v>
      </c>
      <c r="R32" s="319">
        <f t="shared" si="16"/>
        <v>31793.822867839761</v>
      </c>
      <c r="S32" s="297">
        <f t="shared" si="17"/>
        <v>1.01</v>
      </c>
      <c r="T32" s="46"/>
      <c r="U32" s="9"/>
      <c r="X32" s="4"/>
    </row>
    <row r="33" spans="1:24" ht="17.399999999999999" x14ac:dyDescent="0.3">
      <c r="B33" s="330">
        <v>1</v>
      </c>
      <c r="C33" s="330" t="s">
        <v>173</v>
      </c>
      <c r="D33" s="332">
        <v>2.73</v>
      </c>
      <c r="E33" s="332">
        <v>0.7</v>
      </c>
      <c r="F33" s="330" t="s">
        <v>174</v>
      </c>
      <c r="G33" s="331">
        <f t="shared" si="8"/>
        <v>65287.764612504681</v>
      </c>
      <c r="H33" s="331">
        <f t="shared" si="9"/>
        <v>65287.764612504681</v>
      </c>
      <c r="I33" s="320"/>
      <c r="J33" s="265"/>
      <c r="K33" s="47"/>
      <c r="L33" s="47">
        <f t="shared" si="10"/>
        <v>1</v>
      </c>
      <c r="M33" s="39">
        <f t="shared" si="11"/>
        <v>2.81</v>
      </c>
      <c r="N33" s="39">
        <f t="shared" si="12"/>
        <v>0.7</v>
      </c>
      <c r="O33" s="261">
        <f t="shared" si="13"/>
        <v>1.9669999999999999</v>
      </c>
      <c r="P33" s="259">
        <f t="shared" si="14"/>
        <v>1.9669999999999999</v>
      </c>
      <c r="Q33" s="252">
        <f t="shared" si="15"/>
        <v>52287.764612504681</v>
      </c>
      <c r="R33" s="319">
        <f t="shared" si="16"/>
        <v>65287.764612504681</v>
      </c>
      <c r="S33" s="297">
        <f t="shared" si="17"/>
        <v>2.81</v>
      </c>
      <c r="T33" s="46"/>
      <c r="U33" s="9"/>
      <c r="X33" s="4"/>
    </row>
    <row r="34" spans="1:24" ht="17.399999999999999" x14ac:dyDescent="0.3">
      <c r="B34" s="330">
        <v>1</v>
      </c>
      <c r="C34" s="330" t="s">
        <v>173</v>
      </c>
      <c r="D34" s="332">
        <v>2.71</v>
      </c>
      <c r="E34" s="332">
        <v>0.7</v>
      </c>
      <c r="F34" s="330" t="s">
        <v>174</v>
      </c>
      <c r="G34" s="331">
        <f t="shared" si="8"/>
        <v>64915.609704230628</v>
      </c>
      <c r="H34" s="331">
        <f t="shared" si="9"/>
        <v>64915.609704230628</v>
      </c>
      <c r="I34" s="320"/>
      <c r="J34" s="265"/>
      <c r="K34" s="47"/>
      <c r="L34" s="47">
        <f t="shared" si="10"/>
        <v>1</v>
      </c>
      <c r="M34" s="39">
        <f t="shared" si="11"/>
        <v>2.79</v>
      </c>
      <c r="N34" s="39">
        <f t="shared" si="12"/>
        <v>0.7</v>
      </c>
      <c r="O34" s="261">
        <f t="shared" si="13"/>
        <v>1.9529999999999998</v>
      </c>
      <c r="P34" s="259">
        <f t="shared" si="14"/>
        <v>1.9529999999999998</v>
      </c>
      <c r="Q34" s="252">
        <f t="shared" si="15"/>
        <v>51915.609704230628</v>
      </c>
      <c r="R34" s="319">
        <f t="shared" si="16"/>
        <v>64915.609704230628</v>
      </c>
      <c r="S34" s="297">
        <f t="shared" si="17"/>
        <v>2.79</v>
      </c>
      <c r="T34" s="46"/>
      <c r="U34" s="9"/>
      <c r="X34" s="4"/>
    </row>
    <row r="35" spans="1:24" ht="17.399999999999999" x14ac:dyDescent="0.3">
      <c r="B35" s="330">
        <v>1</v>
      </c>
      <c r="C35" s="330" t="s">
        <v>173</v>
      </c>
      <c r="D35" s="332">
        <v>2.4</v>
      </c>
      <c r="E35" s="332">
        <v>0.7</v>
      </c>
      <c r="F35" s="330" t="s">
        <v>174</v>
      </c>
      <c r="G35" s="331">
        <f t="shared" si="8"/>
        <v>59147.208625982785</v>
      </c>
      <c r="H35" s="331">
        <f t="shared" si="9"/>
        <v>59147.208625982785</v>
      </c>
      <c r="I35" s="320"/>
      <c r="J35" s="265"/>
      <c r="K35" s="47"/>
      <c r="L35" s="47">
        <f t="shared" si="10"/>
        <v>1</v>
      </c>
      <c r="M35" s="39">
        <f t="shared" si="11"/>
        <v>2.48</v>
      </c>
      <c r="N35" s="39">
        <f t="shared" si="12"/>
        <v>0.7</v>
      </c>
      <c r="O35" s="261">
        <f t="shared" si="13"/>
        <v>1.736</v>
      </c>
      <c r="P35" s="259">
        <f t="shared" si="14"/>
        <v>1.736</v>
      </c>
      <c r="Q35" s="252">
        <f t="shared" si="15"/>
        <v>46147.208625982785</v>
      </c>
      <c r="R35" s="319">
        <f t="shared" si="16"/>
        <v>59147.208625982785</v>
      </c>
      <c r="S35" s="297">
        <f t="shared" si="17"/>
        <v>2.48</v>
      </c>
      <c r="T35" s="46"/>
      <c r="U35" s="9"/>
      <c r="X35" s="4"/>
    </row>
    <row r="36" spans="1:24" ht="17.399999999999999" x14ac:dyDescent="0.3">
      <c r="B36" s="330">
        <v>1</v>
      </c>
      <c r="C36" s="330" t="s">
        <v>173</v>
      </c>
      <c r="D36" s="332">
        <v>2</v>
      </c>
      <c r="E36" s="332">
        <v>0.7</v>
      </c>
      <c r="F36" s="330" t="s">
        <v>174</v>
      </c>
      <c r="G36" s="331">
        <f t="shared" si="8"/>
        <v>51704.110460501688</v>
      </c>
      <c r="H36" s="331">
        <f t="shared" si="9"/>
        <v>51704.110460501688</v>
      </c>
      <c r="I36" s="320"/>
      <c r="J36" s="265"/>
      <c r="K36" s="47"/>
      <c r="L36" s="47">
        <f t="shared" si="10"/>
        <v>1</v>
      </c>
      <c r="M36" s="39">
        <f t="shared" si="11"/>
        <v>2.08</v>
      </c>
      <c r="N36" s="39">
        <f t="shared" si="12"/>
        <v>0.7</v>
      </c>
      <c r="O36" s="261">
        <f t="shared" si="13"/>
        <v>1.456</v>
      </c>
      <c r="P36" s="259">
        <f t="shared" si="14"/>
        <v>1.456</v>
      </c>
      <c r="Q36" s="252">
        <f t="shared" si="15"/>
        <v>38704.110460501688</v>
      </c>
      <c r="R36" s="319">
        <f t="shared" si="16"/>
        <v>51704.110460501688</v>
      </c>
      <c r="S36" s="297">
        <f t="shared" si="17"/>
        <v>2.08</v>
      </c>
      <c r="T36" s="46"/>
      <c r="U36" s="9"/>
      <c r="X36" s="4"/>
    </row>
    <row r="37" spans="1:24" ht="16.2" customHeight="1" x14ac:dyDescent="0.3">
      <c r="B37" s="330">
        <v>1</v>
      </c>
      <c r="C37" s="330" t="s">
        <v>173</v>
      </c>
      <c r="D37" s="332">
        <v>2.7</v>
      </c>
      <c r="E37" s="332">
        <v>0.9</v>
      </c>
      <c r="F37" s="330" t="s">
        <v>174</v>
      </c>
      <c r="G37" s="331">
        <f t="shared" si="8"/>
        <v>79509.398607263211</v>
      </c>
      <c r="H37" s="331">
        <f t="shared" si="9"/>
        <v>79509.398607263211</v>
      </c>
      <c r="I37" s="320"/>
      <c r="J37" s="265"/>
      <c r="K37" s="47"/>
      <c r="L37" s="47">
        <f t="shared" si="10"/>
        <v>1</v>
      </c>
      <c r="M37" s="39">
        <f t="shared" si="11"/>
        <v>2.7800000000000002</v>
      </c>
      <c r="N37" s="39">
        <f t="shared" si="12"/>
        <v>0.9</v>
      </c>
      <c r="O37" s="261">
        <f t="shared" si="13"/>
        <v>2.5020000000000002</v>
      </c>
      <c r="P37" s="259">
        <f t="shared" si="14"/>
        <v>2.5020000000000002</v>
      </c>
      <c r="Q37" s="252">
        <f t="shared" si="15"/>
        <v>66509.398607263211</v>
      </c>
      <c r="R37" s="319">
        <f t="shared" si="16"/>
        <v>79509.398607263211</v>
      </c>
      <c r="S37" s="297">
        <f t="shared" si="17"/>
        <v>2.7800000000000002</v>
      </c>
      <c r="T37" s="46"/>
      <c r="U37" s="9"/>
      <c r="X37" s="4"/>
    </row>
    <row r="38" spans="1:24" ht="16.2" customHeight="1" x14ac:dyDescent="0.3">
      <c r="B38" s="330">
        <v>1</v>
      </c>
      <c r="C38" s="330" t="s">
        <v>173</v>
      </c>
      <c r="D38" s="332">
        <v>3.11</v>
      </c>
      <c r="E38" s="332">
        <v>0.77</v>
      </c>
      <c r="F38" s="330" t="s">
        <v>174</v>
      </c>
      <c r="G38" s="331">
        <f t="shared" si="8"/>
        <v>78294.578656682905</v>
      </c>
      <c r="H38" s="331">
        <f t="shared" si="9"/>
        <v>78294.578656682905</v>
      </c>
      <c r="I38" s="320"/>
      <c r="J38" s="265"/>
      <c r="K38" s="47"/>
      <c r="L38" s="47">
        <f t="shared" si="10"/>
        <v>1</v>
      </c>
      <c r="M38" s="39">
        <f t="shared" si="11"/>
        <v>3.19</v>
      </c>
      <c r="N38" s="39">
        <f t="shared" si="12"/>
        <v>0.77</v>
      </c>
      <c r="O38" s="261">
        <f t="shared" si="13"/>
        <v>2.4563000000000001</v>
      </c>
      <c r="P38" s="259">
        <f t="shared" si="14"/>
        <v>2.4563000000000001</v>
      </c>
      <c r="Q38" s="252">
        <f t="shared" si="15"/>
        <v>65294.578656682905</v>
      </c>
      <c r="R38" s="319">
        <f t="shared" si="16"/>
        <v>78294.578656682905</v>
      </c>
      <c r="S38" s="297">
        <f t="shared" si="17"/>
        <v>3.19</v>
      </c>
      <c r="T38" s="46"/>
      <c r="U38" s="9"/>
      <c r="X38" s="4"/>
    </row>
    <row r="39" spans="1:24" ht="16.2" customHeight="1" x14ac:dyDescent="0.3">
      <c r="B39" s="285">
        <f>SUM(B21:B38)</f>
        <v>22</v>
      </c>
      <c r="C39" s="285"/>
      <c r="D39" s="286"/>
      <c r="E39" s="286"/>
      <c r="F39" s="285"/>
      <c r="G39" s="320"/>
      <c r="H39" s="320"/>
      <c r="I39" s="320"/>
      <c r="J39" s="265"/>
      <c r="K39" s="47"/>
      <c r="L39" s="47"/>
      <c r="M39" s="39"/>
      <c r="N39" s="39"/>
      <c r="O39" s="261"/>
      <c r="P39" s="259"/>
      <c r="Q39" s="252"/>
      <c r="R39" s="319"/>
      <c r="S39" s="297"/>
      <c r="T39" s="46"/>
      <c r="U39" s="9"/>
      <c r="X39" s="4"/>
    </row>
    <row r="40" spans="1:24" ht="16.2" customHeight="1" thickBot="1" x14ac:dyDescent="0.35">
      <c r="B40" s="285"/>
      <c r="C40" s="285"/>
      <c r="D40" s="286"/>
      <c r="E40" s="286"/>
      <c r="F40" s="285"/>
      <c r="G40" s="265"/>
      <c r="H40" s="321"/>
      <c r="I40" s="323"/>
      <c r="J40" s="233"/>
      <c r="K40" s="47"/>
      <c r="L40" s="47"/>
      <c r="M40" s="39"/>
      <c r="N40" s="39"/>
      <c r="O40" s="261"/>
      <c r="P40" s="259"/>
      <c r="Q40" s="252"/>
      <c r="R40" s="258"/>
      <c r="S40" s="297"/>
      <c r="T40" s="14"/>
      <c r="U40" s="9"/>
      <c r="X40" s="4"/>
    </row>
    <row r="41" spans="1:24" ht="17.399999999999999" x14ac:dyDescent="0.3">
      <c r="B41" s="285"/>
      <c r="C41" s="285"/>
      <c r="D41" s="286"/>
      <c r="E41" s="286"/>
      <c r="F41" s="285"/>
      <c r="G41" s="324" t="s">
        <v>28</v>
      </c>
      <c r="H41" s="325">
        <f>SUM(H21:H40)</f>
        <v>1336827.2319999998</v>
      </c>
      <c r="I41" s="322"/>
      <c r="J41" s="265">
        <v>1971198</v>
      </c>
      <c r="K41" s="47"/>
      <c r="L41" s="47"/>
      <c r="M41" s="39"/>
      <c r="N41" s="39"/>
      <c r="O41" s="261"/>
      <c r="P41" s="259"/>
      <c r="Q41" s="252"/>
      <c r="R41" s="258"/>
      <c r="S41" s="297"/>
      <c r="T41" s="46">
        <f>SUM(T21:T40)</f>
        <v>0</v>
      </c>
      <c r="U41" s="9"/>
      <c r="X41" s="4"/>
    </row>
    <row r="42" spans="1:24" ht="17.399999999999999" x14ac:dyDescent="0.3">
      <c r="B42" s="279"/>
      <c r="C42" s="282"/>
      <c r="D42" s="283"/>
      <c r="E42" s="283"/>
      <c r="F42" s="284"/>
      <c r="G42" s="296" t="s">
        <v>51</v>
      </c>
      <c r="H42" s="294">
        <f>H41*19%</f>
        <v>253997.17407999997</v>
      </c>
      <c r="I42" s="322"/>
      <c r="J42" s="265"/>
      <c r="K42" s="47"/>
      <c r="L42" s="47"/>
      <c r="M42" s="39">
        <f>SUM(M21:M41)</f>
        <v>44.239999999999995</v>
      </c>
      <c r="N42" s="12"/>
      <c r="O42" s="12"/>
      <c r="P42" s="253">
        <f>SUM(P21:P40)</f>
        <v>39.530799999999999</v>
      </c>
      <c r="Q42" s="14"/>
      <c r="R42" s="12"/>
      <c r="S42" s="239"/>
      <c r="T42" s="46"/>
      <c r="U42" s="9"/>
      <c r="X42" s="4"/>
    </row>
    <row r="43" spans="1:24" ht="18" thickBot="1" x14ac:dyDescent="0.35">
      <c r="B43" s="275"/>
      <c r="C43" s="281"/>
      <c r="D43" s="272"/>
      <c r="E43" s="272"/>
      <c r="F43" s="273"/>
      <c r="G43" s="280" t="s">
        <v>6</v>
      </c>
      <c r="H43" s="295">
        <f>H41+H42</f>
        <v>1590824.4060799999</v>
      </c>
      <c r="I43" s="322"/>
      <c r="J43" s="345">
        <f>H41+J51</f>
        <v>1809987.2319999998</v>
      </c>
      <c r="K43" s="47"/>
      <c r="L43" s="47"/>
      <c r="M43" s="39"/>
      <c r="N43" s="12"/>
      <c r="O43" s="12"/>
      <c r="P43" s="253">
        <f>P42</f>
        <v>39.530799999999999</v>
      </c>
      <c r="Q43" s="14"/>
      <c r="R43" s="12"/>
      <c r="S43" s="239">
        <f>SUM(S21:S42)</f>
        <v>55.519999999999989</v>
      </c>
      <c r="T43" s="46"/>
      <c r="U43" s="9"/>
      <c r="X43" s="4"/>
    </row>
    <row r="44" spans="1:24" ht="17.399999999999999" x14ac:dyDescent="0.3">
      <c r="B44" s="275"/>
      <c r="C44" s="271"/>
      <c r="D44" s="272"/>
      <c r="E44" s="272"/>
      <c r="F44" s="273"/>
      <c r="J44" s="265"/>
      <c r="K44" s="47"/>
      <c r="L44" s="47"/>
      <c r="M44" s="14"/>
      <c r="N44" s="12"/>
      <c r="O44" s="12"/>
      <c r="P44" s="39">
        <f>P43*20%</f>
        <v>7.9061599999999999</v>
      </c>
      <c r="Q44" s="39" t="s">
        <v>130</v>
      </c>
      <c r="R44" s="42"/>
      <c r="S44" s="240">
        <f>S43+T41</f>
        <v>55.519999999999989</v>
      </c>
      <c r="T44" s="14"/>
      <c r="U44" s="9"/>
      <c r="X44" s="4"/>
    </row>
    <row r="45" spans="1:24" ht="17.399999999999999" x14ac:dyDescent="0.35">
      <c r="B45" s="269"/>
      <c r="C45" s="230"/>
      <c r="D45" s="230"/>
      <c r="E45" s="233"/>
      <c r="F45" s="234"/>
      <c r="G45" s="230"/>
      <c r="H45" s="274"/>
      <c r="I45" s="274"/>
      <c r="J45" s="265"/>
      <c r="K45" s="47"/>
      <c r="L45" s="47"/>
      <c r="M45" s="14"/>
      <c r="N45" s="12"/>
      <c r="O45" s="12"/>
      <c r="P45" s="46">
        <f>P43+P44</f>
        <v>47.436959999999999</v>
      </c>
      <c r="Q45" s="14"/>
      <c r="R45" s="14"/>
      <c r="S45" s="238">
        <f>S44*20%</f>
        <v>11.103999999999999</v>
      </c>
      <c r="T45" s="14"/>
      <c r="U45" s="9"/>
      <c r="X45" s="4"/>
    </row>
    <row r="46" spans="1:24" ht="17.399999999999999" x14ac:dyDescent="0.35">
      <c r="B46" s="235"/>
      <c r="C46" s="236"/>
      <c r="D46" s="237"/>
      <c r="E46" s="235"/>
      <c r="F46" s="230"/>
      <c r="G46" s="230"/>
      <c r="I46" s="274"/>
      <c r="J46" s="345">
        <f>H41+J51</f>
        <v>1809987.2319999998</v>
      </c>
      <c r="K46" s="47"/>
      <c r="L46" s="47"/>
      <c r="M46" s="14"/>
      <c r="N46" s="14"/>
      <c r="O46" s="14"/>
      <c r="P46" s="14"/>
      <c r="Q46" s="14"/>
      <c r="R46" s="14"/>
      <c r="S46" s="240">
        <f>S44+S45</f>
        <v>66.623999999999995</v>
      </c>
      <c r="T46" s="14"/>
      <c r="U46" s="302" t="s">
        <v>21</v>
      </c>
      <c r="V46" s="299" t="s">
        <v>151</v>
      </c>
      <c r="W46" s="303">
        <v>44971</v>
      </c>
      <c r="X46" s="304"/>
    </row>
    <row r="47" spans="1:24" ht="17.399999999999999" x14ac:dyDescent="0.35">
      <c r="B47" s="230"/>
      <c r="C47" s="230"/>
      <c r="D47" s="230"/>
      <c r="E47" s="230"/>
      <c r="F47" s="230"/>
      <c r="G47" s="230"/>
      <c r="J47" s="265"/>
      <c r="K47" s="47"/>
      <c r="L47" s="47"/>
      <c r="M47" s="39">
        <f>P45</f>
        <v>47.436959999999999</v>
      </c>
      <c r="N47" s="12">
        <v>2000</v>
      </c>
      <c r="O47" s="12">
        <f t="shared" ref="O47:O52" si="18">M47*N47</f>
        <v>94873.919999999998</v>
      </c>
      <c r="P47" s="14" t="s">
        <v>21</v>
      </c>
      <c r="Q47" s="14"/>
      <c r="R47" s="14"/>
      <c r="S47" s="241"/>
      <c r="T47" s="14"/>
      <c r="U47" s="302" t="s">
        <v>152</v>
      </c>
      <c r="V47" s="299">
        <v>3625</v>
      </c>
      <c r="W47" s="59" t="s">
        <v>153</v>
      </c>
      <c r="X47" s="304"/>
    </row>
    <row r="48" spans="1:24" ht="17.399999999999999" x14ac:dyDescent="0.35">
      <c r="A48" s="230"/>
      <c r="B48" s="230"/>
      <c r="C48" s="230"/>
      <c r="D48" s="230"/>
      <c r="E48" s="230"/>
      <c r="F48" s="230"/>
      <c r="G48" s="230"/>
      <c r="H48" s="230"/>
      <c r="J48" s="265"/>
      <c r="K48" s="47"/>
      <c r="L48" s="47"/>
      <c r="M48" s="249">
        <v>14</v>
      </c>
      <c r="N48" s="12">
        <v>25000</v>
      </c>
      <c r="O48" s="12">
        <f t="shared" si="18"/>
        <v>350000</v>
      </c>
      <c r="P48" s="39" t="s">
        <v>31</v>
      </c>
      <c r="Q48" s="42"/>
      <c r="R48" s="14"/>
      <c r="S48" s="240"/>
      <c r="T48" s="14"/>
      <c r="U48" s="302"/>
      <c r="V48" s="59">
        <v>906.25</v>
      </c>
      <c r="W48" s="59" t="s">
        <v>154</v>
      </c>
      <c r="X48" s="304"/>
    </row>
    <row r="49" spans="2:24" s="230" customFormat="1" ht="17.399999999999999" x14ac:dyDescent="0.35">
      <c r="B49" s="24" t="s">
        <v>150</v>
      </c>
      <c r="J49" s="262"/>
      <c r="K49" s="232"/>
      <c r="L49" s="250"/>
      <c r="M49" s="14"/>
      <c r="N49" s="250">
        <v>38770</v>
      </c>
      <c r="O49" s="12">
        <f t="shared" si="18"/>
        <v>0</v>
      </c>
      <c r="P49" s="39" t="s">
        <v>30</v>
      </c>
      <c r="Q49" s="42"/>
      <c r="S49" s="240"/>
      <c r="T49" s="256"/>
      <c r="U49" s="59"/>
      <c r="V49" s="59">
        <f>V48*20%</f>
        <v>181.25</v>
      </c>
      <c r="W49" s="304" t="s">
        <v>155</v>
      </c>
      <c r="X49" s="59"/>
    </row>
    <row r="50" spans="2:24" s="230" customFormat="1" ht="17.399999999999999" x14ac:dyDescent="0.35">
      <c r="B50" s="24" t="s">
        <v>143</v>
      </c>
      <c r="C50"/>
      <c r="D50"/>
      <c r="E50"/>
      <c r="F50"/>
      <c r="J50" s="262">
        <v>20</v>
      </c>
      <c r="K50" s="232"/>
      <c r="L50" s="250"/>
      <c r="M50" s="14"/>
      <c r="N50" s="250">
        <v>23658</v>
      </c>
      <c r="O50" s="12">
        <f t="shared" si="18"/>
        <v>0</v>
      </c>
      <c r="P50" s="14" t="s">
        <v>170</v>
      </c>
      <c r="Q50" s="17"/>
      <c r="S50" s="238"/>
      <c r="T50" s="256"/>
      <c r="U50" s="59"/>
      <c r="V50" s="59">
        <f>V48+V49</f>
        <v>1087.5</v>
      </c>
      <c r="W50" s="304" t="s">
        <v>156</v>
      </c>
      <c r="X50" s="59"/>
    </row>
    <row r="51" spans="2:24" s="230" customFormat="1" ht="17.399999999999999" x14ac:dyDescent="0.35">
      <c r="B51" s="29" t="s">
        <v>125</v>
      </c>
      <c r="C51"/>
      <c r="D51"/>
      <c r="E51"/>
      <c r="F51" s="229" t="s">
        <v>15</v>
      </c>
      <c r="J51" s="262">
        <f>J50*N50</f>
        <v>473160</v>
      </c>
      <c r="K51" s="260"/>
      <c r="L51" s="250"/>
      <c r="M51" s="249"/>
      <c r="N51" s="250">
        <v>15700</v>
      </c>
      <c r="O51" s="12">
        <f t="shared" si="18"/>
        <v>0</v>
      </c>
      <c r="P51" s="14" t="s">
        <v>32</v>
      </c>
      <c r="Q51" s="14"/>
      <c r="R51" s="230">
        <v>1.52</v>
      </c>
      <c r="S51" s="238"/>
      <c r="T51" s="238"/>
    </row>
    <row r="52" spans="2:24" s="230" customFormat="1" ht="17.399999999999999" x14ac:dyDescent="0.35">
      <c r="J52" s="293"/>
      <c r="K52" s="260"/>
      <c r="L52" s="250"/>
      <c r="M52" s="266">
        <v>55.52</v>
      </c>
      <c r="N52" s="12">
        <v>1000</v>
      </c>
      <c r="O52" s="12">
        <f t="shared" si="18"/>
        <v>55520</v>
      </c>
      <c r="P52" s="14" t="s">
        <v>22</v>
      </c>
      <c r="Q52" s="14"/>
      <c r="R52">
        <v>2.44</v>
      </c>
      <c r="S52"/>
      <c r="T52" s="238"/>
      <c r="X52" s="231"/>
    </row>
    <row r="53" spans="2:24" s="230" customFormat="1" ht="17.399999999999999" x14ac:dyDescent="0.35">
      <c r="K53" s="260"/>
      <c r="L53" s="250"/>
      <c r="M53" s="14"/>
      <c r="N53" s="12"/>
      <c r="O53" s="12">
        <f>SUM(O47:O52)</f>
        <v>500393.92</v>
      </c>
      <c r="P53" s="39" t="s">
        <v>23</v>
      </c>
      <c r="Q53" s="14"/>
      <c r="R53">
        <f>R51*R52</f>
        <v>3.7088000000000001</v>
      </c>
      <c r="S53"/>
      <c r="T53" s="238"/>
      <c r="X53" s="231"/>
    </row>
    <row r="54" spans="2:24" s="230" customFormat="1" ht="17.399999999999999" x14ac:dyDescent="0.35">
      <c r="L54" s="250"/>
      <c r="M54" s="254" t="s">
        <v>33</v>
      </c>
      <c r="N54" s="12"/>
      <c r="O54" s="255">
        <f>O53*2.1</f>
        <v>1050827.2320000001</v>
      </c>
      <c r="P54" s="14" t="s">
        <v>140</v>
      </c>
      <c r="Q54" s="14"/>
      <c r="R54" s="40">
        <f>P45/R53</f>
        <v>12.790379637618637</v>
      </c>
      <c r="S54"/>
      <c r="T54" s="257"/>
    </row>
    <row r="55" spans="2:24" s="230" customFormat="1" ht="17.399999999999999" x14ac:dyDescent="0.35">
      <c r="G55"/>
      <c r="H55" s="260"/>
      <c r="I55" s="260"/>
      <c r="J55" s="260"/>
      <c r="L55" s="250"/>
      <c r="M55" s="14"/>
      <c r="N55" s="12"/>
      <c r="O55" s="12">
        <f>O54/P43</f>
        <v>26582.493448146764</v>
      </c>
      <c r="P55" s="45" t="s">
        <v>24</v>
      </c>
      <c r="Q55" s="14"/>
      <c r="R55" s="14"/>
      <c r="S55"/>
      <c r="T55" s="238"/>
      <c r="U55" s="59" t="s">
        <v>157</v>
      </c>
      <c r="V55" s="299">
        <v>43650</v>
      </c>
    </row>
    <row r="56" spans="2:24" s="230" customFormat="1" ht="17.399999999999999" x14ac:dyDescent="0.35">
      <c r="G56"/>
      <c r="L56" s="250"/>
      <c r="M56" s="13"/>
      <c r="N56" s="14"/>
      <c r="O56" s="17">
        <f>O54/O53</f>
        <v>2.1</v>
      </c>
      <c r="P56" s="15"/>
      <c r="Q56"/>
      <c r="R56"/>
      <c r="S56"/>
      <c r="T56" s="238"/>
      <c r="U56" s="59" t="s">
        <v>159</v>
      </c>
      <c r="V56" s="300" t="s">
        <v>158</v>
      </c>
      <c r="W56" s="59">
        <v>2.4</v>
      </c>
    </row>
    <row r="57" spans="2:24" s="230" customFormat="1" ht="17.399999999999999" x14ac:dyDescent="0.35">
      <c r="G57" s="23"/>
      <c r="J57" s="260"/>
      <c r="L57" s="12"/>
      <c r="T57" s="238"/>
      <c r="U57" s="59" t="s">
        <v>160</v>
      </c>
      <c r="V57" s="301">
        <v>395.37</v>
      </c>
    </row>
    <row r="58" spans="2:24" s="230" customFormat="1" ht="17.399999999999999" x14ac:dyDescent="0.35">
      <c r="B58"/>
      <c r="C58" s="228"/>
      <c r="D58" s="22"/>
      <c r="E58" s="22"/>
      <c r="F58" s="21"/>
      <c r="G58" s="23"/>
      <c r="L58" s="12"/>
      <c r="T58" s="238"/>
      <c r="U58" s="59" t="s">
        <v>155</v>
      </c>
      <c r="V58" s="59">
        <v>474.45</v>
      </c>
    </row>
    <row r="59" spans="2:24" ht="14.4" customHeight="1" x14ac:dyDescent="0.3">
      <c r="L59" s="12"/>
      <c r="U59" s="59"/>
      <c r="V59" s="59"/>
    </row>
    <row r="60" spans="2:24" x14ac:dyDescent="0.3">
      <c r="L60" s="250"/>
    </row>
    <row r="61" spans="2:24" x14ac:dyDescent="0.3">
      <c r="L61" s="250"/>
      <c r="T61" s="270"/>
    </row>
    <row r="62" spans="2:24" x14ac:dyDescent="0.3">
      <c r="L62" s="250"/>
    </row>
    <row r="63" spans="2:24" ht="15" customHeight="1" x14ac:dyDescent="0.3"/>
    <row r="65" spans="15:20" x14ac:dyDescent="0.3">
      <c r="O65">
        <v>40935</v>
      </c>
      <c r="P65" t="s">
        <v>16</v>
      </c>
      <c r="Q65" t="s">
        <v>26</v>
      </c>
    </row>
    <row r="67" spans="15:20" x14ac:dyDescent="0.3">
      <c r="O67" s="54"/>
      <c r="P67" s="54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3" spans="15:20" x14ac:dyDescent="0.3">
      <c r="S73" s="18"/>
      <c r="T73" s="18"/>
    </row>
    <row r="74" spans="15:20" x14ac:dyDescent="0.3">
      <c r="S74" s="18"/>
      <c r="T74" s="18"/>
    </row>
    <row r="75" spans="15:20" x14ac:dyDescent="0.3">
      <c r="S75" s="18"/>
      <c r="T75" s="18"/>
    </row>
    <row r="76" spans="15:20" x14ac:dyDescent="0.3">
      <c r="S76" s="18"/>
      <c r="T76" s="18"/>
    </row>
    <row r="79" spans="15:20" x14ac:dyDescent="0.3">
      <c r="O79" s="43"/>
    </row>
    <row r="80" spans="15:20" x14ac:dyDescent="0.3">
      <c r="O80" s="43"/>
    </row>
    <row r="81" spans="3:15" x14ac:dyDescent="0.3">
      <c r="O81" s="6"/>
    </row>
    <row r="82" spans="3:15" x14ac:dyDescent="0.3">
      <c r="O82" s="6"/>
    </row>
    <row r="90" spans="3:15" x14ac:dyDescent="0.3">
      <c r="C90" t="s">
        <v>147</v>
      </c>
    </row>
    <row r="91" spans="3:15" x14ac:dyDescent="0.3">
      <c r="C91" t="s">
        <v>146</v>
      </c>
    </row>
    <row r="94" spans="3:15" x14ac:dyDescent="0.3">
      <c r="C94" t="s">
        <v>146</v>
      </c>
    </row>
    <row r="171" spans="3:3" x14ac:dyDescent="0.3">
      <c r="C171" t="s">
        <v>146</v>
      </c>
    </row>
    <row r="172" spans="3:3" x14ac:dyDescent="0.3">
      <c r="C172" t="s">
        <v>148</v>
      </c>
    </row>
    <row r="173" spans="3:3" x14ac:dyDescent="0.3">
      <c r="C173" t="s">
        <v>149</v>
      </c>
    </row>
    <row r="598" spans="3:3" x14ac:dyDescent="0.3">
      <c r="C598" t="s">
        <v>146</v>
      </c>
    </row>
  </sheetData>
  <mergeCells count="2">
    <mergeCell ref="F17:H17"/>
    <mergeCell ref="B19:H19"/>
  </mergeCells>
  <phoneticPr fontId="34" type="noConversion"/>
  <hyperlinks>
    <hyperlink ref="F5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-92259.835700120733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'2229'!H41</f>
        <v>1336827.2319999998</v>
      </c>
      <c r="E11" s="132">
        <f>D11*0.19</f>
        <v>253997.17407999997</v>
      </c>
      <c r="F11" s="131">
        <f>E11+D11</f>
        <v>1590824.4060799999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13730.164299879267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474708.01078743965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-4269.8357001207332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862119.22121256019</v>
      </c>
      <c r="E13" s="221">
        <f>(D11/D12)-1</f>
        <v>1.8161042190598127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-13269.835700120733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-52269.835700120733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783268.21779927542</v>
      </c>
      <c r="F15" s="216">
        <f>E15-D12</f>
        <v>308560.20701183577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-52269.835700120733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-12269.835700120733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'2229'!O48</f>
        <v>350000</v>
      </c>
      <c r="E19" s="123">
        <f>D19*0.19</f>
        <v>66500</v>
      </c>
      <c r="F19" s="120">
        <f>SUM(D19:E19)</f>
        <v>416500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'2229'!O47</f>
        <v>94873.919999999998</v>
      </c>
      <c r="E20" s="121">
        <f>D20*0.19</f>
        <v>18026.0448</v>
      </c>
      <c r="F20" s="120">
        <f>SUM(D20:E20)</f>
        <v>112899.9648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444873.92</v>
      </c>
      <c r="E21" s="116">
        <f>SUM(E18:E20)</f>
        <v>84526.044800000003</v>
      </c>
      <c r="F21" s="115">
        <f>SUM(F18:F20)</f>
        <v>529399.96479999996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169471.12927999996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1336827.2319999998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444873.92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862119.22121256019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862119.22121256019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2026-05-07T16:40:36Z</cp:lastPrinted>
  <dcterms:created xsi:type="dcterms:W3CDTF">2013-03-18T13:35:42Z</dcterms:created>
  <dcterms:modified xsi:type="dcterms:W3CDTF">2026-05-07T20:59:52Z</dcterms:modified>
</cp:coreProperties>
</file>