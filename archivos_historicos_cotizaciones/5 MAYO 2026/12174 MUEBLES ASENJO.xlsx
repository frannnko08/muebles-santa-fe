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A9000AC7-7483-46AC-89AE-E68113237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J29" i="1"/>
  <c r="L22" i="1"/>
  <c r="M22" i="1"/>
  <c r="N22" i="1"/>
  <c r="B23" i="1"/>
  <c r="O22" i="1" l="1"/>
  <c r="P22" i="1" s="1"/>
  <c r="S22" i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J32" i="1" s="1"/>
  <c r="J34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R22" i="1" l="1"/>
  <c r="H22" i="1"/>
  <c r="R21" i="1"/>
  <c r="H21" i="1" s="1"/>
  <c r="F15" i="3"/>
  <c r="H26" i="1" l="1"/>
  <c r="H27" i="1" s="1"/>
  <c r="D11" i="3"/>
  <c r="X9" i="3" s="1"/>
  <c r="X15" i="3" s="1"/>
  <c r="X12" i="3" l="1"/>
  <c r="D13" i="3"/>
  <c r="M42" i="3"/>
  <c r="M46" i="3" s="1"/>
  <c r="M49" i="3" s="1"/>
  <c r="X14" i="3"/>
  <c r="X11" i="3"/>
  <c r="X13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<sst xmlns="http://schemas.openxmlformats.org/spreadsheetml/2006/main" count="234" uniqueCount="177">
  <si>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</si>
  <si>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</si>
  <si>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</si>
  <si>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</si>
  <si>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</si>
  <si>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</si>
  <si>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</si>
  <si>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</si>
  <si>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</si>
  <si>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</si>
  <si>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</si>
  <si>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</si>
  <si>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</si>
  <si>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</si>
  <si>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</si>
  <si>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</si>
  <si>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</si>
  <si>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</si>
  <si>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</si>
  <si>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</si>
  <si>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</si>
  <si>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</si>
  <si>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</si>
  <si>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</si>
  <si>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</si>
  <si>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</si>
  <si>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</si>
  <si>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</si>
  <si>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</si>
  <si>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</si>
  <si>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</si>
  <si>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</si>
  <si>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</si>
  <si>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</si>
  <si>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</si>
  <si>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</si>
  <si>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</si>
  <si>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</si>
  <si>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</si>
  <si>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</si>
  <si>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</si>
  <si>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</si>
  <si>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</si>
  <si>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</si>
  <si>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</si>
  <si>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</si>
  <si>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</si>
  <si>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</si>
  <si>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</si>
  <si>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</si>
  <si>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</si>
  <si>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</si>
  <si>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</si>
  <si>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</si>
  <si>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</si>
  <si>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</si>
  <si>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</si>
  <si>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</si>
  <si>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</si>
  <si>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</si>
  <si>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</si>
  <si>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</si>
  <si>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</si>
  <si>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</si>
  <si>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</si>
  <si>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</si>
  <si>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</si>
  <si>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</si>
  <si>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</si>
  <si>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</si>
  <si>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</si>
  <si>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</si>
  <si>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</si>
  <si>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</si>
  <si>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</si>
  <si>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</si>
  <si>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</si>
  <si>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</si>
  <si>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</si>
  <si>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</si>
  <si>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</si>
  <si>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</si>
  <si>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</si>
  <si>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</si>
  <si>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</si>
  <si>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</si>
  <si>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</si>
  <si>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</si>
  <si>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</si>
  <si>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</si>
  <si>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</si>
  <si>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</si>
  <si>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</si>
  <si>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</si>
  <si>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</si>
  <si>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</si>
  <si>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</si>
  <si>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</si>
  <si>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</si>
  <si>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</si>
  <si>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</si>
  <si>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</si>
  <si>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</si>
  <si>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</si>
  <si>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</si>
  <si>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</si>
  <si>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</si>
  <si>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</si>
  <si>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</si>
  <si>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</si>
  <si>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</si>
  <si>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</si>
  <si>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</si>
  <si>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</si>
  <si>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</si>
  <si>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</si>
  <si>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</si>
  <si>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</si>
  <si>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</si>
  <si>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</si>
  <si>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</si>
  <si>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</si>
  <si>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</si>
  <si>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</si>
  <si>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</si>
  <si>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</si>
  <si>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</si>
  <si>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</si>
  <si>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</si>
  <si>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</si>
  <si>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</si>
  <si>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</si>
  <si>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</si>
  <si>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</si>
  <si>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</si>
  <si>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</si>
  <si>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</si>
  <si>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</si>
  <si>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</si>
  <si>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</si>
  <si>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</si>
  <si>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</si>
  <si>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</si>
  <si>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</si>
  <si>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</si>
  <si>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</si>
  <si>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</si>
  <si>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</si>
  <si>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</si>
  <si>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</si>
  <si>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</si>
  <si>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</si>
  <si>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</si>
  <si>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</si>
  <si>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</si>
  <si>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</si>
  <si>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</si>
  <si>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</si>
  <si>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</si>
  <si>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</si>
  <si>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</si>
  <si>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</si>
  <si>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</si>
  <si>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</si>
  <si>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</si>
  <si>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</si>
  <si>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</si>
  <si>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</si>
  <si>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</si>
  <si>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</si>
  <si>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</si>
  <si>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MESA 90° 2L FALDON 7CMS</t>
  </si>
  <si>
    <t>GLACIAL WHITE 22191 SF</t>
  </si>
  <si>
    <t>14 laminas</t>
  </si>
  <si>
    <t>INTERIOR</t>
  </si>
  <si>
    <t>URGENTE</t>
  </si>
  <si>
    <t>N° 12174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</si>
</sst>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</a:t>
          </a:r>
          <a:r>
            <a:rPr lang="es-CL" sz="1200" b="1" baseline="0"/>
            <a:t> APORTA LAMINAS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80" zoomScaleNormal="80" workbookViewId="0">
      <selection activeCell="I7" sqref="I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46170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5" t="s">
        <v>164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>
        <v>0.14000000000000001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 t="s">
        <v>174</v>
      </c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19404.613948823669</v>
      </c>
      <c r="R20" s="258">
        <v>10000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31</v>
      </c>
      <c r="C21" s="330" t="s">
        <v>171</v>
      </c>
      <c r="D21" s="332">
        <v>2.6</v>
      </c>
      <c r="E21" s="332">
        <v>0.33600000000000002</v>
      </c>
      <c r="F21" s="330" t="s">
        <v>172</v>
      </c>
      <c r="G21" s="331">
        <v>36588</v>
      </c>
      <c r="H21" s="331">
        <f t="shared" ref="H21" si="1">G21*B21</f>
        <v>1134228</v>
      </c>
      <c r="I21" s="320"/>
      <c r="J21" s="265">
        <v>305</v>
      </c>
      <c r="K21" s="47"/>
      <c r="L21" s="47">
        <f>B21</f>
        <v>31</v>
      </c>
      <c r="M21" s="39">
        <f>D21+M$19</f>
        <v>2.68</v>
      </c>
      <c r="N21" s="39">
        <f t="shared" ref="N21" si="2">E21+$N$19</f>
        <v>0.47600000000000003</v>
      </c>
      <c r="O21" s="261">
        <f t="shared" ref="O21" si="3">M21*N21</f>
        <v>1.2756800000000001</v>
      </c>
      <c r="P21" s="259">
        <f t="shared" ref="P21" si="4">O21*L21</f>
        <v>39.546080000000003</v>
      </c>
      <c r="Q21" s="252">
        <f t="shared" ref="Q21" si="5">Q$20*O21</f>
        <v>24754.077922235381</v>
      </c>
      <c r="R21" s="319">
        <f t="shared" ref="R21" si="6">Q21+R$20</f>
        <v>34754.077922235381</v>
      </c>
      <c r="S21" s="297">
        <f t="shared" ref="S21" si="7">L21*M21</f>
        <v>83.08</v>
      </c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1.3</v>
      </c>
      <c r="E22" s="332">
        <v>0.33600000000000002</v>
      </c>
      <c r="F22" s="330" t="s">
        <v>172</v>
      </c>
      <c r="G22" s="331">
        <v>29588</v>
      </c>
      <c r="H22" s="331">
        <f t="shared" ref="H22" si="8">G22*B22</f>
        <v>29588</v>
      </c>
      <c r="I22" s="320"/>
      <c r="J22" s="265">
        <v>305</v>
      </c>
      <c r="K22" s="47"/>
      <c r="L22" s="47">
        <f t="shared" ref="L22" si="9">B22</f>
        <v>1</v>
      </c>
      <c r="M22" s="39">
        <f t="shared" ref="M22" si="10">D22+M$19</f>
        <v>1.3800000000000001</v>
      </c>
      <c r="N22" s="39">
        <f t="shared" ref="N22" si="11">E22+$N$19</f>
        <v>0.47600000000000003</v>
      </c>
      <c r="O22" s="261">
        <f t="shared" ref="O22" si="12">M22*N22</f>
        <v>0.65688000000000013</v>
      </c>
      <c r="P22" s="259">
        <f t="shared" ref="P22" si="13">O22*L22</f>
        <v>0.65688000000000013</v>
      </c>
      <c r="Q22" s="252">
        <f t="shared" ref="Q22" si="14">Q$20*O22</f>
        <v>12746.502810703294</v>
      </c>
      <c r="R22" s="319">
        <f t="shared" ref="R22" si="15">Q22+R$20</f>
        <v>22746.502810703292</v>
      </c>
      <c r="S22" s="297">
        <f t="shared" ref="S22" si="16">L22*M22</f>
        <v>1.3800000000000001</v>
      </c>
      <c r="T22" s="46"/>
      <c r="U22" s="9"/>
      <c r="X22" s="4"/>
    </row>
    <row r="23" spans="1:25" ht="16.2" customHeight="1" x14ac:dyDescent="0.3">
      <c r="B23" s="285">
        <f>SUM(B21:B22)</f>
        <v>32</v>
      </c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6.2" customHeight="1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1163816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221125.04</v>
      </c>
      <c r="I26" s="322"/>
      <c r="J26" s="265"/>
      <c r="K26" s="47"/>
      <c r="L26" s="47"/>
      <c r="M26" s="39">
        <f>SUM(M21:M25)</f>
        <v>4.0600000000000005</v>
      </c>
      <c r="N26" s="12"/>
      <c r="O26" s="12"/>
      <c r="P26" s="253">
        <f>SUM(P21:P24)</f>
        <v>40.202960000000004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1384941.04</v>
      </c>
      <c r="I27" s="322"/>
      <c r="J27" s="333">
        <v>1510776</v>
      </c>
      <c r="K27" s="47"/>
      <c r="L27" s="47"/>
      <c r="M27" s="39"/>
      <c r="N27" s="12"/>
      <c r="O27" s="12"/>
      <c r="P27" s="253">
        <f>P26</f>
        <v>40.202960000000004</v>
      </c>
      <c r="Q27" s="14"/>
      <c r="R27" s="12"/>
      <c r="S27" s="239">
        <f>SUM(S21:S26)</f>
        <v>84.46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>
        <v>324000</v>
      </c>
      <c r="K28" s="47"/>
      <c r="L28" s="47"/>
      <c r="M28" s="14"/>
      <c r="N28" s="12"/>
      <c r="O28" s="12"/>
      <c r="P28" s="39">
        <f>P27*20%</f>
        <v>8.040592000000002</v>
      </c>
      <c r="Q28" s="39" t="s">
        <v>130</v>
      </c>
      <c r="R28" s="42"/>
      <c r="S28" s="240">
        <f>S27+T25</f>
        <v>84.46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333">
        <f>J27-J28</f>
        <v>1186776</v>
      </c>
      <c r="K29" s="47"/>
      <c r="L29" s="47"/>
      <c r="M29" s="14"/>
      <c r="N29" s="12"/>
      <c r="O29" s="12"/>
      <c r="P29" s="46">
        <f>P27+P28</f>
        <v>48.243552000000008</v>
      </c>
      <c r="Q29" s="14"/>
      <c r="R29" s="14"/>
      <c r="S29" s="238">
        <f>S28*20%</f>
        <v>16.891999999999999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333"/>
      <c r="K30" s="47"/>
      <c r="L30" s="47"/>
      <c r="M30" s="14"/>
      <c r="N30" s="14"/>
      <c r="O30" s="14"/>
      <c r="P30" s="14"/>
      <c r="Q30" s="14"/>
      <c r="R30" s="14"/>
      <c r="S30" s="240">
        <f>S28+S29</f>
        <v>101.35199999999999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48.243552000000008</v>
      </c>
      <c r="N31" s="12">
        <v>2000</v>
      </c>
      <c r="O31" s="12">
        <f t="shared" ref="O31:O36" si="17">M31*N31</f>
        <v>96487.104000000021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334">
        <f>J28+O38</f>
        <v>1104122.9184000001</v>
      </c>
      <c r="K32" s="47"/>
      <c r="L32" s="47"/>
      <c r="M32" s="249">
        <v>11</v>
      </c>
      <c r="N32" s="12">
        <v>25000</v>
      </c>
      <c r="O32" s="12">
        <f t="shared" si="17"/>
        <v>275000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>
        <v>324000</v>
      </c>
      <c r="K33" s="232"/>
      <c r="L33" s="250"/>
      <c r="M33" s="14"/>
      <c r="N33" s="250">
        <v>38770</v>
      </c>
      <c r="O33" s="12">
        <f t="shared" si="17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f>J32+J33</f>
        <v>1428122.9184000001</v>
      </c>
      <c r="K34" s="232"/>
      <c r="L34" s="250"/>
      <c r="M34" s="14"/>
      <c r="N34" s="250">
        <v>24000</v>
      </c>
      <c r="O34" s="12">
        <f t="shared" si="17"/>
        <v>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17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1000</v>
      </c>
      <c r="O36" s="12">
        <f t="shared" si="17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371487.10400000005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780122.91840000008</v>
      </c>
      <c r="P38" s="14" t="s">
        <v>140</v>
      </c>
      <c r="Q38" s="14"/>
      <c r="R38" s="40">
        <f>P29/R37</f>
        <v>13.007860224331322</v>
      </c>
      <c r="S38"/>
      <c r="T38" s="257"/>
    </row>
    <row r="39" spans="2:24" s="230" customFormat="1" ht="17.399999999999999" x14ac:dyDescent="0.35">
      <c r="G39"/>
      <c r="H39" s="260"/>
      <c r="I39" s="260"/>
      <c r="J39" s="260" t="s">
        <v>173</v>
      </c>
      <c r="L39" s="250"/>
      <c r="M39" s="14"/>
      <c r="N39" s="12"/>
      <c r="O39" s="12">
        <f>O38/P27</f>
        <v>19404.613948823669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-83606.004766787446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1163816</v>
      </c>
      <c r="E11" s="132">
        <f>D11*0.19</f>
        <v>221125.04</v>
      </c>
      <c r="F11" s="131">
        <f>E11+D11</f>
        <v>1384941.04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22383.995233212554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401321.19478743966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4383.995233212554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762494.80521256034</v>
      </c>
      <c r="E13" s="221">
        <f>(D11/D12)-1</f>
        <v>1.8999614650714296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-4616.004766787446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-43616.004766787446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662179.97139927535</v>
      </c>
      <c r="F15" s="216">
        <f>E15-D12</f>
        <v>260858.7766118357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-43616.004766787446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-3616.004766787446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275000</v>
      </c>
      <c r="E19" s="123">
        <f>D19*0.19</f>
        <v>52250</v>
      </c>
      <c r="F19" s="120">
        <f>SUM(D19:E19)</f>
        <v>327250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96487.104000000021</v>
      </c>
      <c r="E20" s="121">
        <f>D20*0.19</f>
        <v>18332.549760000005</v>
      </c>
      <c r="F20" s="120">
        <f>SUM(D20:E20)</f>
        <v>114819.65376000003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371487.10400000005</v>
      </c>
      <c r="E21" s="116">
        <f>SUM(E18:E20)</f>
        <v>70582.549760000009</v>
      </c>
      <c r="F21" s="115">
        <f>SUM(F18:F20)</f>
        <v>442069.65376000002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150542.49024000001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1163816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371487.10400000005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762494.80521256034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762494.80521256034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2026-05-07T16:40:36Z</cp:lastPrinted>
  <dcterms:created xsi:type="dcterms:W3CDTF">2013-03-18T13:35:42Z</dcterms:created>
  <dcterms:modified xsi:type="dcterms:W3CDTF">2026-05-28T16:06:26Z</dcterms:modified>
</cp:coreProperties>
</file>