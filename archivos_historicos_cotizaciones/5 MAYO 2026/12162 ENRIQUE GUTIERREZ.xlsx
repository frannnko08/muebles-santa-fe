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DD2127AA-734D-4B0E-BE9F-3A1A8C15D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Q23" i="1"/>
  <c r="O41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<sst xmlns="http://schemas.openxmlformats.org/spreadsheetml/2006/main" count="490" uniqueCount="294">
  <si>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</si>
  <si>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</si>
  <si>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</si>
  <si>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</si>
  <si>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</si>
  <si>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</si>
  <si>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</si>
  <si>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</si>
  <si>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</si>
  <si>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</si>
  <si>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</si>
  <si>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</si>
  <si>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</si>
  <si>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</si>
  <si>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</si>
  <si>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</si>
  <si>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</si>
  <si>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</si>
  <si>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</si>
  <si>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</si>
  <si>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</si>
  <si>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</si>
  <si>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</si>
  <si>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</si>
  <si>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</si>
  <si>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</si>
  <si>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</si>
  <si>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</si>
  <si>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</si>
  <si>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</si>
  <si>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</si>
  <si>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</si>
  <si>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</si>
  <si>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</si>
  <si>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</si>
  <si>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</si>
  <si>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</si>
  <si>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</si>
  <si>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</si>
  <si>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</si>
  <si>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</si>
  <si>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</si>
  <si>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</si>
  <si>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</si>
  <si>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</si>
  <si>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</si>
  <si>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</si>
  <si>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</si>
  <si>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</si>
  <si>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</si>
  <si>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</si>
  <si>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</si>
  <si>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</si>
  <si>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</si>
  <si>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</si>
  <si>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</si>
  <si>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</si>
  <si>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</si>
  <si>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</si>
  <si>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</si>
  <si>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</si>
  <si>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</si>
  <si>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</si>
  <si>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</si>
  <si>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</si>
  <si>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</si>
  <si>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</si>
  <si>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</si>
  <si>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</si>
  <si>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</si>
  <si>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</si>
  <si>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</si>
  <si>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</si>
  <si>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</si>
  <si>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</si>
  <si>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</si>
  <si>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</si>
  <si>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</si>
  <si>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</si>
  <si>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</si>
  <si>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</si>
  <si>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</si>
  <si>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</si>
  <si>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</si>
  <si>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</si>
  <si>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</si>
  <si>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</si>
  <si>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</si>
  <si>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</si>
  <si>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</si>
  <si>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</si>
  <si>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</si>
  <si>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</si>
  <si>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</si>
  <si>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</si>
  <si>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</si>
  <si>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</si>
  <si>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</si>
  <si>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</si>
  <si>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</si>
  <si>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</si>
  <si>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</si>
  <si>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</si>
  <si>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</si>
  <si>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</si>
  <si>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</si>
  <si>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</si>
  <si>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</si>
  <si>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</si>
  <si>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</si>
  <si>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</si>
  <si>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</si>
  <si>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</si>
  <si>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</si>
  <si>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</si>
  <si>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</si>
  <si>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</si>
  <si>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</si>
  <si>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</si>
  <si>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</si>
  <si>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</si>
  <si>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</si>
  <si>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</si>
  <si>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</si>
  <si>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</si>
  <si>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</si>
  <si>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</si>
  <si>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</si>
  <si>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</si>
  <si>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</si>
  <si>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</si>
  <si>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</si>
  <si>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</si>
  <si>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</si>
  <si>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</si>
  <si>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</si>
  <si>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</si>
  <si>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</si>
  <si>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</si>
  <si>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</si>
  <si>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</si>
  <si>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</si>
  <si>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</si>
  <si>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</si>
  <si>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</si>
  <si>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</si>
  <si>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</si>
  <si>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</si>
  <si>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</si>
  <si>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</si>
  <si>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</si>
  <si>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</si>
  <si>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</si>
  <si>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</si>
  <si>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</si>
  <si>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</si>
  <si>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</si>
  <si>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</si>
  <si>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</si>
  <si>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</si>
  <si>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</si>
  <si>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</si>
  <si>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</si>
  <si>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</si>
  <si>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</si>
  <si>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</si>
  <si>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</si>
  <si>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</si>
  <si>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</si>
  <si>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</si>
  <si>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</si>
  <si>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</si>
  <si>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</si>
  <si>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</si>
  <si>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</si>
  <si>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</si>
  <si>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</si>
  <si>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</si>
  <si>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</si>
  <si>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</si>
  <si>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</si>
  <si>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</si>
  <si>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</si>
  <si>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</si>
  <si>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</si>
  <si>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</si>
  <si>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</si>
  <si>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</si>
  <si>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</si>
  <si>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</si>
  <si>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</si>
  <si>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</si>
  <si>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</si>
  <si>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</si>
  <si>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</si>
  <si>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</si>
  <si>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</si>
  <si>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</si>
  <si>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</si>
  <si>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</si>
  <si>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</si>
  <si>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</si>
  <si>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</si>
  <si>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</si>
  <si>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</si>
  <si>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</si>
  <si>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</si>
  <si>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</si>
  <si>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</si>
  <si>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</si>
  <si>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</si>
  <si>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</si>
  <si>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</si>
  <si>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</si>
  <si>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</si>
  <si>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</si>
  <si>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</si>
  <si>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</si>
  <si>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</si>
  <si>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</si>
  <si>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</si>
  <si>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</si>
  <si>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</si>
  <si>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</si>
  <si>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</si>
  <si>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</si>
  <si>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</si>
  <si>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</si>
  <si>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</si>
  <si>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</si>
  <si>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</si>
  <si>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</si>
  <si>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</si>
  <si>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</si>
  <si>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</si>
  <si>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</si>
  <si>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</si>
  <si>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</si>
  <si>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</si>
  <si>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</si>
  <si>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</si>
  <si>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</si>
  <si>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</si>
  <si>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</si>
  <si>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</si>
  <si>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</si>
  <si>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</si>
  <si>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</si>
  <si>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</si>
  <si>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</si>
  <si>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</si>
  <si>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</si>
  <si>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</si>
  <si>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</si>
  <si>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</si>
  <si>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</si>
  <si>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</si>
  <si>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</si>
  <si>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</si>
  <si>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</si>
  <si>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</si>
  <si>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</si>
  <si>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</si>
  <si>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</si>
  <si>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</si>
  <si>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</si>
  <si>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</si>
  <si>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</si>
  <si>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</si>
  <si>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</si>
  <si>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</si>
  <si>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</si>
  <si>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</si>
  <si>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</si>
  <si>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</si>
  <si>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</si>
  <si>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</si>
  <si>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</si>
  <si>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</si>
  <si>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</si>
  <si>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</si>
  <si>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</si>
  <si>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</si>
  <si>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</si>
  <si>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</si>
  <si>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</si>
  <si>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</si>
  <si>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</si>
  <si>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SIN RESPALDO FTE 90°</t>
  </si>
  <si>
    <t>N° 12162</t>
  </si>
  <si>
    <t>ENRIQUE GUTIERREZ</t>
  </si>
  <si>
    <t>+569 7865 8972</t>
  </si>
  <si>
    <t>GRANITO 3012 BRILLO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</si>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</sst>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153629</xdr:rowOff>
    </xdr:from>
    <xdr:to>
      <xdr:col>5</xdr:col>
      <xdr:colOff>1736459</xdr:colOff>
      <xdr:row>27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7" t="s">
        <v>277</v>
      </c>
      <c r="G10" s="275">
        <v>46161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59880.752191661653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7">
        <v>1</v>
      </c>
      <c r="C21" s="458" t="s">
        <v>288</v>
      </c>
      <c r="D21" s="459">
        <v>1.38</v>
      </c>
      <c r="E21" s="459">
        <v>0.51</v>
      </c>
      <c r="F21" s="457" t="s">
        <v>292</v>
      </c>
      <c r="G21" s="460">
        <f>Q21</f>
        <v>44587.208081911267</v>
      </c>
      <c r="H21" s="460">
        <f>G21*B21</f>
        <v>44587.208081911267</v>
      </c>
      <c r="I21" s="305"/>
      <c r="J21" s="264"/>
      <c r="K21" s="47"/>
      <c r="L21" s="47">
        <f>B21</f>
        <v>1</v>
      </c>
      <c r="M21" s="39">
        <f>D21+M$19</f>
        <v>1.46</v>
      </c>
      <c r="N21" s="39">
        <f>E21+$N$19</f>
        <v>0.51</v>
      </c>
      <c r="O21" s="260">
        <f t="shared" ref="O21" si="0">M21*N21</f>
        <v>0.74460000000000004</v>
      </c>
      <c r="P21" s="258">
        <f t="shared" ref="P21" si="1">O21*L21</f>
        <v>0.74460000000000004</v>
      </c>
      <c r="Q21" s="251">
        <f t="shared" ref="Q21" si="2">Q$20*O21</f>
        <v>44587.208081911267</v>
      </c>
      <c r="R21" s="304">
        <f t="shared" ref="R21" si="3">Q21+R$20</f>
        <v>47587.208081911267</v>
      </c>
      <c r="S21" s="290">
        <f>M21*L21</f>
        <v>1.46</v>
      </c>
      <c r="T21" s="46">
        <f>N21*2*L21*2</f>
        <v>2.04</v>
      </c>
      <c r="U21" s="9"/>
      <c r="X21" s="4"/>
    </row>
    <row r="22" spans="2:25" ht="17.399999999999999" x14ac:dyDescent="0.3">
      <c r="B22" s="457">
        <v>1</v>
      </c>
      <c r="C22" s="458" t="s">
        <v>288</v>
      </c>
      <c r="D22" s="459">
        <v>0.91</v>
      </c>
      <c r="E22" s="459">
        <v>0.51</v>
      </c>
      <c r="F22" s="457" t="s">
        <v>292</v>
      </c>
      <c r="G22" s="460">
        <f t="shared" ref="G22:G23" si="4">Q22</f>
        <v>30233.791781569969</v>
      </c>
      <c r="H22" s="460">
        <f t="shared" ref="H22:H23" si="5">G22*B22</f>
        <v>30233.791781569969</v>
      </c>
      <c r="I22" s="305"/>
      <c r="J22" s="264"/>
      <c r="K22" s="47"/>
      <c r="L22" s="47">
        <f t="shared" ref="L22:L23" si="6">B22</f>
        <v>1</v>
      </c>
      <c r="M22" s="39">
        <f t="shared" ref="M22:M23" si="7">D22+M$19</f>
        <v>0.99</v>
      </c>
      <c r="N22" s="39">
        <f t="shared" ref="N22:N23" si="8">E22+$N$19</f>
        <v>0.51</v>
      </c>
      <c r="O22" s="260">
        <f t="shared" ref="O22:O23" si="9">M22*N22</f>
        <v>0.50490000000000002</v>
      </c>
      <c r="P22" s="258">
        <f t="shared" ref="P22:P23" si="10">O22*L22</f>
        <v>0.50490000000000002</v>
      </c>
      <c r="Q22" s="251">
        <f t="shared" ref="Q22:Q23" si="11">Q$20*O22</f>
        <v>30233.791781569969</v>
      </c>
      <c r="R22" s="304">
        <f t="shared" ref="R22:R23" si="12">Q22+R$20</f>
        <v>33233.791781569969</v>
      </c>
      <c r="S22" s="290">
        <f t="shared" ref="S22:S23" si="13">M22*L22</f>
        <v>0.99</v>
      </c>
      <c r="T22" s="46"/>
      <c r="U22" s="9"/>
      <c r="X22" s="4"/>
    </row>
    <row r="23" spans="2:25" ht="17.399999999999999" x14ac:dyDescent="0.3">
      <c r="B23" s="457">
        <v>1</v>
      </c>
      <c r="C23" s="458" t="s">
        <v>288</v>
      </c>
      <c r="D23" s="459">
        <v>0.4</v>
      </c>
      <c r="E23" s="459">
        <v>0.51</v>
      </c>
      <c r="F23" s="457" t="s">
        <v>292</v>
      </c>
      <c r="G23" s="460">
        <f t="shared" si="4"/>
        <v>14658.808136518774</v>
      </c>
      <c r="H23" s="460">
        <f t="shared" si="5"/>
        <v>14658.808136518774</v>
      </c>
      <c r="I23" s="305"/>
      <c r="J23" s="264"/>
      <c r="K23" s="47"/>
      <c r="L23" s="47">
        <f t="shared" si="6"/>
        <v>1</v>
      </c>
      <c r="M23" s="39">
        <f t="shared" si="7"/>
        <v>0.48000000000000004</v>
      </c>
      <c r="N23" s="39">
        <f t="shared" si="8"/>
        <v>0.51</v>
      </c>
      <c r="O23" s="260">
        <f t="shared" si="9"/>
        <v>0.24480000000000002</v>
      </c>
      <c r="P23" s="258">
        <f t="shared" si="10"/>
        <v>0.24480000000000002</v>
      </c>
      <c r="Q23" s="251">
        <f t="shared" si="11"/>
        <v>14658.808136518774</v>
      </c>
      <c r="R23" s="304">
        <f t="shared" si="12"/>
        <v>17658.808136518775</v>
      </c>
      <c r="S23" s="290">
        <f t="shared" si="13"/>
        <v>0.48000000000000004</v>
      </c>
      <c r="T23" s="46"/>
      <c r="U23" s="9"/>
      <c r="X23" s="4"/>
    </row>
    <row r="24" spans="2:25" ht="17.399999999999999" x14ac:dyDescent="0.3">
      <c r="B24" s="454"/>
      <c r="C24" s="455"/>
      <c r="D24" s="456"/>
      <c r="E24" s="456"/>
      <c r="F24" s="454"/>
      <c r="G24" s="305"/>
      <c r="H24" s="305"/>
      <c r="I24" s="305"/>
      <c r="J24" s="264"/>
      <c r="K24" s="47"/>
      <c r="L24" s="47"/>
      <c r="M24" s="39"/>
      <c r="N24" s="39"/>
      <c r="O24" s="260"/>
      <c r="P24" s="258"/>
      <c r="Q24" s="251"/>
      <c r="R24" s="304"/>
      <c r="S24" s="290"/>
      <c r="T24" s="46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64"/>
      <c r="H25" s="306"/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SUM(H21:H23)</f>
        <v>89479.808000000005</v>
      </c>
      <c r="I26" s="307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2.04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17001.163520000002</v>
      </c>
      <c r="I27" s="307"/>
      <c r="J27" s="264"/>
      <c r="K27" s="47"/>
      <c r="L27" s="47"/>
      <c r="M27" s="39">
        <f>SUM(M21:M26)</f>
        <v>2.93</v>
      </c>
      <c r="N27" s="12"/>
      <c r="O27" s="12"/>
      <c r="P27" s="252">
        <f>SUM(P21:P25)</f>
        <v>1.4943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106480.97152000001</v>
      </c>
      <c r="I28" s="307"/>
      <c r="J28" s="264"/>
      <c r="K28" s="47"/>
      <c r="L28" s="47"/>
      <c r="M28" s="39"/>
      <c r="N28" s="12"/>
      <c r="O28" s="12"/>
      <c r="P28" s="252">
        <f>P27</f>
        <v>1.4943</v>
      </c>
      <c r="Q28" s="14"/>
      <c r="R28" s="12"/>
      <c r="S28" s="239">
        <f>SUM(S21:S27)</f>
        <v>2.93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0.29886000000000001</v>
      </c>
      <c r="Q29" s="39" t="s">
        <v>129</v>
      </c>
      <c r="R29" s="42"/>
      <c r="S29" s="240">
        <f>S28+T26</f>
        <v>4.9700000000000006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1.7931599999999999</v>
      </c>
      <c r="Q30" s="14"/>
      <c r="R30" s="14"/>
      <c r="S30" s="238">
        <f>S29*20%</f>
        <v>0.99400000000000022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5.9640000000000004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1.7931599999999999</v>
      </c>
      <c r="N32" s="12">
        <v>4000</v>
      </c>
      <c r="O32" s="12">
        <f t="shared" ref="O32:O37" si="14">M32*N32</f>
        <v>7172.6399999999994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0.5</v>
      </c>
      <c r="N33" s="12">
        <v>25000</v>
      </c>
      <c r="O33" s="12">
        <f t="shared" si="14"/>
        <v>12500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21000</v>
      </c>
      <c r="O35" s="12">
        <f t="shared" si="14"/>
        <v>21000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2000</v>
      </c>
      <c r="O37" s="12">
        <f t="shared" si="14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40672.639999999999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89479.808000000005</v>
      </c>
      <c r="P39" s="14" t="s">
        <v>138</v>
      </c>
      <c r="Q39" s="14"/>
      <c r="R39" s="40">
        <f>P30/R38</f>
        <v>0.48348792062122514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33790</v>
      </c>
      <c r="L40" s="249"/>
      <c r="M40" s="14"/>
      <c r="N40" s="12"/>
      <c r="O40" s="12">
        <f>O39/P28</f>
        <v>59880.752191661653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28394.957983193279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46161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-1298.9503667874403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89479.808000000005</v>
      </c>
      <c r="E11" s="132">
        <f>D11*0.19</f>
        <v>17001.163520000002</v>
      </c>
      <c r="F11" s="131">
        <f>E11+D11</f>
        <v>106480.97152000001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104691.04963321256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49506.730787439614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86691.049633212562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39973.077212560391</v>
      </c>
      <c r="E13" s="221">
        <f>(D11/D12)-1</f>
        <v>0.80742712307519171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77691.049633212562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38691.049633212562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81686.105799275363</v>
      </c>
      <c r="F15" s="216">
        <f>E15-D12</f>
        <v>32179.375011835749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38691.049633212562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78691.049633212562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7172.6399999999994</v>
      </c>
      <c r="E20" s="121">
        <f>D20*0.19</f>
        <v>1362.8016</v>
      </c>
      <c r="F20" s="120">
        <f>SUM(D20:E20)</f>
        <v>8535.4416000000001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19672.64</v>
      </c>
      <c r="E21" s="116">
        <f>SUM(E18:E20)</f>
        <v>3737.8015999999998</v>
      </c>
      <c r="F21" s="115">
        <f>SUM(F18:F20)</f>
        <v>23410.441599999998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13263.361920000003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89479.808000000005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19672.64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39973.077212560391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39973.077212560391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12162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ENRIQUE GUTIERREZ</v>
      </c>
      <c r="D10" s="349"/>
      <c r="E10" s="349"/>
      <c r="F10" s="350" t="s">
        <v>167</v>
      </c>
      <c r="G10" s="351">
        <f>'2229'!G10</f>
        <v>46161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+569 7865 8972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SIN RESPALDO FTE 90°</v>
      </c>
      <c r="D22" s="320">
        <f>'2229'!D21*1000</f>
        <v>1380</v>
      </c>
      <c r="E22" s="320">
        <f>'2229'!E21*1000</f>
        <v>510</v>
      </c>
      <c r="F22" s="321" t="str">
        <f>'2229'!F21</f>
        <v>GRANITO 3012 BRILLO</v>
      </c>
      <c r="G22" s="313">
        <f>'2229'!G21</f>
        <v>44587.208081911267</v>
      </c>
      <c r="H22" s="322">
        <f>G22*B22</f>
        <v>44587.208081911267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44587.208081911267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8471.5695355631415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53058.777617474407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ENRIQUE GUTIERREZ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12162</v>
      </c>
      <c r="C2" s="1">
        <f>'NOTA DE VENTA'!$G$10</f>
        <v>46161</v>
      </c>
      <c r="D2" s="1">
        <f>'NOTA DE VENTA'!$G$11</f>
        <v>46168</v>
      </c>
      <c r="E2" t="str">
        <f>'NOTA DE VENTA'!$C$10</f>
        <v>ENRIQUE GUTIERREZ</v>
      </c>
      <c r="F2" t="str">
        <f>'NOTA DE VENTA'!$C$22</f>
        <v>CUB SIN RESPALDO FTE 90°</v>
      </c>
      <c r="G2" t="str">
        <f>'NOTA DE VENTA'!$F$22</f>
        <v>GRANITO 3012 BRILLO</v>
      </c>
      <c r="H2" s="415">
        <f>'NOTA DE VENTA'!$H$25</f>
        <v>44587.208081911267</v>
      </c>
      <c r="I2" s="415">
        <f>H2*0.19</f>
        <v>8471.5695355631415</v>
      </c>
      <c r="J2" s="415">
        <f>I2+H2</f>
        <v>53058.777617474407</v>
      </c>
      <c r="L2" s="61">
        <f>J2-K2</f>
        <v>53058.777617474407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2026-05-14T16:01:00Z</cp:lastPrinted>
  <dcterms:created xsi:type="dcterms:W3CDTF">2013-03-18T13:35:42Z</dcterms:created>
  <dcterms:modified xsi:type="dcterms:W3CDTF">2026-05-19T18:02:38Z</dcterms:modified>
</cp:coreProperties>
</file>