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59E6AB44-6D72-42D7-9B40-322CB4F353B2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RESUMEN" sheetId="8" r:id="rId2"/>
    <sheet name="COSTOS" sheetId="3" r:id="rId3"/>
    <sheet name="NOTA DE VENTA" sheetId="4" r:id="rId4"/>
    <sheet name="REGLAS" sheetId="5" r:id="rId5"/>
    <sheet name="PRODUCCION" sheetId="6" r:id="rId6"/>
    <sheet name="SEGUIMIENTO" sheetId="7" r:id="rId7"/>
  </sheets>
  <externalReferences>
    <externalReference r:id="rId8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C2" i="8"/>
  <c r="B2" i="8"/>
  <c r="A2" i="8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6" i="1" l="1"/>
  <c r="D2" i="8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<sst xmlns="http://schemas.openxmlformats.org/spreadsheetml/2006/main" count="491" uniqueCount="297">
  <si>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</si>
  <si>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</si>
  <si>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</si>
  <si>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</si>
  <si>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</si>
  <si>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</si>
  <si>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</si>
  <si>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</si>
  <si>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</si>
  <si>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</si>
  <si>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</si>
  <si>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</si>
  <si>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</si>
  <si>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</si>
  <si>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</si>
  <si>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</si>
  <si>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</si>
  <si>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</si>
  <si>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</si>
  <si>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</si>
  <si>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</si>
  <si>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</si>
  <si>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</si>
  <si>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</si>
  <si>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</si>
  <si>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</si>
  <si>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</si>
  <si>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</si>
  <si>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</si>
  <si>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</si>
  <si>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</si>
  <si>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</si>
  <si>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</si>
  <si>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</si>
  <si>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</si>
  <si>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</si>
  <si>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</si>
  <si>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</si>
  <si>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</si>
  <si>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</si>
  <si>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</si>
  <si>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</si>
  <si>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</si>
  <si>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</si>
  <si>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</si>
  <si>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</si>
  <si>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</si>
  <si>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</si>
  <si>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</si>
  <si>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</si>
  <si>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</si>
  <si>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</si>
  <si>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</si>
  <si>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</si>
  <si>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</si>
  <si>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</si>
  <si>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</si>
  <si>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</si>
  <si>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</si>
  <si>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</si>
  <si>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</si>
  <si>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</si>
  <si>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</si>
  <si>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</si>
  <si>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</si>
  <si>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</si>
  <si>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</si>
  <si>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</si>
  <si>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</si>
  <si>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</si>
  <si>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</si>
  <si>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</si>
  <si>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</si>
  <si>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</si>
  <si>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</si>
  <si>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</si>
  <si>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</si>
  <si>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</si>
  <si>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</si>
  <si>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</si>
  <si>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</si>
  <si>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</si>
  <si>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</si>
  <si>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</si>
  <si>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</si>
  <si>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</si>
  <si>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</si>
  <si>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</si>
  <si>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</si>
  <si>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</si>
  <si>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</si>
  <si>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</si>
  <si>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</si>
  <si>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</si>
  <si>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</si>
  <si>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</si>
  <si>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</si>
  <si>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</si>
  <si>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</si>
  <si>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</si>
  <si>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</si>
  <si>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</si>
  <si>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</si>
  <si>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</si>
  <si>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</si>
  <si>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</si>
  <si>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</si>
  <si>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</si>
  <si>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</si>
  <si>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</si>
  <si>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</si>
  <si>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</si>
  <si>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</si>
  <si>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</si>
  <si>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</si>
  <si>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</si>
  <si>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</si>
  <si>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</si>
  <si>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</si>
  <si>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</si>
  <si>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</si>
  <si>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</si>
  <si>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</si>
  <si>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</si>
  <si>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</si>
  <si>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</si>
  <si>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</si>
  <si>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</si>
  <si>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</si>
  <si>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</si>
  <si>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</si>
  <si>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</si>
  <si>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</si>
  <si>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</si>
  <si>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</si>
  <si>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</si>
  <si>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</si>
  <si>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</si>
  <si>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</si>
  <si>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</si>
  <si>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</si>
  <si>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</si>
  <si>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</si>
  <si>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</si>
  <si>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</si>
  <si>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</si>
  <si>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</si>
  <si>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</si>
  <si>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</si>
  <si>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</si>
  <si>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</si>
  <si>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</si>
  <si>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</si>
  <si>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</si>
  <si>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</si>
  <si>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</si>
  <si>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</si>
  <si>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</si>
  <si>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</si>
  <si>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</si>
  <si>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</si>
  <si>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</si>
  <si>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</si>
  <si>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</si>
  <si>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</si>
  <si>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</si>
  <si>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</si>
  <si>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</si>
  <si>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</si>
  <si>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</si>
  <si>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</si>
  <si>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</si>
  <si>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</si>
  <si>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</si>
  <si>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</si>
  <si>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</si>
  <si>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</si>
  <si>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</si>
  <si>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</si>
  <si>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</si>
  <si>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</si>
  <si>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</si>
  <si>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</si>
  <si>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</si>
  <si>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</si>
  <si>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</si>
  <si>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</si>
  <si>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</si>
  <si>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</si>
  <si>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</si>
  <si>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</si>
  <si>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</si>
  <si>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</si>
  <si>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</si>
  <si>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</si>
  <si>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</si>
  <si>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</si>
  <si>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</si>
  <si>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</si>
  <si>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</si>
  <si>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</si>
  <si>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</si>
  <si>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</si>
  <si>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</si>
  <si>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</si>
  <si>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</si>
  <si>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</si>
  <si>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</si>
  <si>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</si>
  <si>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</si>
  <si>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</si>
  <si>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</si>
  <si>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</si>
  <si>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</si>
  <si>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</si>
  <si>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</si>
  <si>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</si>
  <si>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</si>
  <si>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</si>
  <si>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</si>
  <si>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</si>
  <si>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</si>
  <si>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</si>
  <si>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</si>
  <si>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</si>
  <si>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</si>
  <si>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</si>
  <si>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</si>
  <si>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</si>
  <si>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</si>
  <si>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</si>
  <si>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</si>
  <si>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</si>
  <si>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</si>
  <si>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</si>
  <si>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</si>
  <si>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</si>
  <si>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</si>
  <si>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</si>
  <si>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</si>
  <si>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</si>
  <si>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</si>
  <si>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</si>
  <si>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</si>
  <si>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</si>
  <si>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</si>
  <si>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</si>
  <si>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</si>
  <si>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</si>
  <si>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</si>
  <si>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</si>
  <si>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</si>
  <si>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</si>
  <si>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</si>
  <si>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</si>
  <si>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</si>
  <si>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</si>
  <si>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</si>
  <si>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</si>
  <si>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</si>
  <si>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</si>
  <si>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</si>
  <si>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</si>
  <si>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</si>
  <si>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</si>
  <si>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</si>
  <si>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</si>
  <si>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</si>
  <si>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</si>
  <si>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</si>
  <si>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</si>
  <si>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</si>
  <si>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</si>
  <si>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</si>
  <si>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</si>
  <si>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</si>
  <si>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</si>
  <si>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</si>
  <si>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</si>
  <si>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</si>
  <si>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</si>
  <si>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</si>
  <si>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</si>
  <si>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</si>
  <si>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</si>
  <si>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</si>
  <si>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</si>
  <si>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</si>
  <si>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COTIZACION</t>
  </si>
  <si>
    <t>CLIENTE</t>
  </si>
  <si>
    <t>5 DÍAS HÁBILES</t>
  </si>
  <si>
    <t>CUB CON RESPALDO FRENTE 90°</t>
  </si>
  <si>
    <t>CORTE DESFONDADO</t>
  </si>
  <si>
    <t>YERSON</t>
  </si>
  <si>
    <t>+569 4881 2294</t>
  </si>
  <si>
    <t>N° 12173</t>
  </si>
  <si>
    <t>NEGRO MARMOL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</si>
</sst>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215081</xdr:rowOff>
    </xdr:from>
    <xdr:to>
      <xdr:col>5</xdr:col>
      <xdr:colOff>1732649</xdr:colOff>
      <xdr:row>25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813710"/>
          <a:ext cx="6146924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VAN</a:t>
          </a:r>
          <a:r>
            <a:rPr lang="es-CL" sz="1200" b="1" baseline="0"/>
            <a:t> SOBREMEDIDAS EN EL LARGO.</a:t>
          </a:r>
        </a:p>
        <a:p>
          <a:pPr algn="l"/>
          <a:r>
            <a:rPr lang="es-CL" sz="1200" b="1" u="sng" baseline="0"/>
            <a:t>SUSTRATO MDF 18MM.</a:t>
          </a:r>
        </a:p>
        <a:p>
          <a:pPr algn="l"/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35539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0.3320312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293</v>
      </c>
      <c r="D10" s="243"/>
      <c r="E10" s="243"/>
      <c r="F10" s="417" t="s">
        <v>277</v>
      </c>
      <c r="G10" s="275">
        <v>46170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290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294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64674.017094017079</v>
      </c>
      <c r="R20" s="257">
        <v>15000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1" t="s">
        <v>291</v>
      </c>
      <c r="D21" s="432">
        <v>1.06</v>
      </c>
      <c r="E21" s="432">
        <v>0.63</v>
      </c>
      <c r="F21" s="312" t="s">
        <v>296</v>
      </c>
      <c r="G21" s="313">
        <v>45000</v>
      </c>
      <c r="H21" s="433">
        <f>G21*B21</f>
        <v>45000</v>
      </c>
      <c r="I21" s="305"/>
      <c r="J21" s="264"/>
      <c r="K21" s="47"/>
      <c r="L21" s="47">
        <f>B21</f>
        <v>1</v>
      </c>
      <c r="M21" s="39">
        <f>D21+M$19</f>
        <v>1.08</v>
      </c>
      <c r="N21" s="39">
        <f>E21+$N$19</f>
        <v>0.65</v>
      </c>
      <c r="O21" s="260">
        <f t="shared" ref="O21" si="0">M21*N21</f>
        <v>0.70200000000000007</v>
      </c>
      <c r="P21" s="258">
        <f>O21*L21</f>
        <v>0.70200000000000007</v>
      </c>
      <c r="Q21" s="251">
        <f t="shared" ref="Q21" si="1">Q$20*O21</f>
        <v>45401.159999999996</v>
      </c>
      <c r="R21" s="304">
        <f t="shared" ref="R21" si="2">Q21+R$20</f>
        <v>60401.159999999996</v>
      </c>
      <c r="S21" s="290">
        <f>M21*L21</f>
        <v>1.08</v>
      </c>
      <c r="T21" s="46">
        <f>N21*2*L21*2</f>
        <v>2.6</v>
      </c>
      <c r="U21" s="9"/>
      <c r="X21" s="4"/>
    </row>
    <row r="22" spans="1:25" ht="18" thickBot="1" x14ac:dyDescent="0.35">
      <c r="B22" s="434">
        <v>1</v>
      </c>
      <c r="C22" s="435" t="s">
        <v>292</v>
      </c>
      <c r="D22" s="436"/>
      <c r="E22" s="436"/>
      <c r="F22" s="437"/>
      <c r="G22" s="438">
        <v>10000</v>
      </c>
      <c r="H22" s="439">
        <f>G22*B22</f>
        <v>10000</v>
      </c>
      <c r="I22" s="305"/>
      <c r="J22" s="264"/>
      <c r="K22" s="47"/>
      <c r="L22" s="47"/>
      <c r="M22" s="39"/>
      <c r="N22" s="39"/>
      <c r="O22" s="260"/>
      <c r="P22" s="258"/>
      <c r="Q22" s="251"/>
      <c r="R22" s="304"/>
      <c r="S22" s="290"/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SUM(H21:H23)</f>
        <v>55000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2.6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/>
      <c r="I25" s="307"/>
      <c r="J25" s="264"/>
      <c r="K25" s="47"/>
      <c r="L25" s="47"/>
      <c r="M25" s="39">
        <f>SUM(M21:M24)</f>
        <v>1.08</v>
      </c>
      <c r="N25" s="12"/>
      <c r="O25" s="12"/>
      <c r="P25" s="252">
        <f>SUM(P21:P23)</f>
        <v>0.70200000000000007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55000</v>
      </c>
      <c r="I26" s="307"/>
      <c r="J26" s="264"/>
      <c r="K26" s="47"/>
      <c r="L26" s="47"/>
      <c r="M26" s="39"/>
      <c r="N26" s="12"/>
      <c r="O26" s="12"/>
      <c r="P26" s="252">
        <f>P25</f>
        <v>0.70200000000000007</v>
      </c>
      <c r="Q26" s="14"/>
      <c r="R26" s="12"/>
      <c r="S26" s="239">
        <f>SUM(S21:S25)</f>
        <v>1.08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0.14040000000000002</v>
      </c>
      <c r="Q27" s="39" t="s">
        <v>129</v>
      </c>
      <c r="R27" s="42"/>
      <c r="S27" s="240">
        <f>S26+T24</f>
        <v>3.68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0.84240000000000004</v>
      </c>
      <c r="Q28" s="14"/>
      <c r="R28" s="14"/>
      <c r="S28" s="238">
        <f>S27*20%</f>
        <v>0.7360000000000001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4.4160000000000004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0.84240000000000004</v>
      </c>
      <c r="N30" s="12">
        <v>4000</v>
      </c>
      <c r="O30" s="12">
        <f t="shared" ref="O30:O35" si="3">M30*N30</f>
        <v>3369.6000000000004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0.25</v>
      </c>
      <c r="N31" s="12">
        <v>25000</v>
      </c>
      <c r="O31" s="12">
        <f t="shared" si="3"/>
        <v>6250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3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10000</v>
      </c>
      <c r="O33" s="12">
        <f t="shared" si="3"/>
        <v>10000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3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</v>
      </c>
      <c r="N35" s="12">
        <v>2000</v>
      </c>
      <c r="O35" s="12">
        <f t="shared" si="3"/>
        <v>2000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21619.599999999999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O36*2.1</f>
        <v>45401.159999999996</v>
      </c>
      <c r="P37" s="14" t="s">
        <v>138</v>
      </c>
      <c r="Q37" s="14"/>
      <c r="R37" s="40">
        <f>P28/R36</f>
        <v>0.22713546160483175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32090</v>
      </c>
      <c r="L38" s="249"/>
      <c r="M38" s="14"/>
      <c r="N38" s="12"/>
      <c r="O38" s="12">
        <f>O37/P26</f>
        <v>64674.017094017079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26966.386554621851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5951-3DFB-43E1-AEF5-568E99DB16A0}">
  <dimension ref="A1:D2"/>
  <sheetViews>
    <sheetView workbookViewId="0">
      <selection activeCell="A3" sqref="A3"/>
    </sheetView>
  </sheetViews>
  <sheetFormatPr baseColWidth="10" defaultRowHeight="14.4" x14ac:dyDescent="0.3"/>
  <cols>
    <col min="1" max="1" width="14.109375" bestFit="1" customWidth="1"/>
    <col min="2" max="2" width="16" bestFit="1" customWidth="1"/>
  </cols>
  <sheetData>
    <row r="1" spans="1:4" x14ac:dyDescent="0.3">
      <c r="A1" t="s">
        <v>288</v>
      </c>
      <c r="B1" t="s">
        <v>289</v>
      </c>
      <c r="C1" t="s">
        <v>277</v>
      </c>
      <c r="D1" t="s">
        <v>6</v>
      </c>
    </row>
    <row r="2" spans="1:4" x14ac:dyDescent="0.3">
      <c r="A2" t="str">
        <f>'2229'!D8</f>
        <v>N° 12173</v>
      </c>
      <c r="B2" t="str">
        <f>'2229'!C10</f>
        <v>YERSON</v>
      </c>
      <c r="C2" s="1">
        <f>'2229'!G10</f>
        <v>46170</v>
      </c>
      <c r="D2" s="61">
        <f>'2229'!H26</f>
        <v>55000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46170</v>
      </c>
    </row>
    <row r="6" spans="2:31" ht="16.2" thickBot="1" x14ac:dyDescent="0.35">
      <c r="B6" s="140" t="s">
        <v>2</v>
      </c>
      <c r="C6" s="139" t="str">
        <f>'2229'!C10</f>
        <v>YERSON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12173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1683.0982998792267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55000</v>
      </c>
      <c r="E11" s="132">
        <f>D11*0.19</f>
        <v>10450</v>
      </c>
      <c r="F11" s="131">
        <f>E11+D11</f>
        <v>65450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107673.09829987923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39453.690787439613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89673.098299879231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15546.309212560387</v>
      </c>
      <c r="E13" s="221">
        <f>(D11/D12)-1</f>
        <v>0.3940394143685455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80673.098299879231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41673.098299879224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65098.58979927536</v>
      </c>
      <c r="F15" s="216">
        <f>E15-D12</f>
        <v>25644.899011835747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41673.098299879224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81673.098299879231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6250</v>
      </c>
      <c r="E19" s="123">
        <f>D19*0.19</f>
        <v>1187.5</v>
      </c>
      <c r="F19" s="120">
        <f>SUM(D19:E19)</f>
        <v>7437.5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3369.6000000000004</v>
      </c>
      <c r="E20" s="121">
        <f>D20*0.19</f>
        <v>640.22400000000005</v>
      </c>
      <c r="F20" s="120">
        <f>SUM(D20:E20)</f>
        <v>4009.8240000000005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9619.6</v>
      </c>
      <c r="E21" s="116">
        <f>SUM(E18:E20)</f>
        <v>1827.7240000000002</v>
      </c>
      <c r="F21" s="115">
        <f>SUM(F18:F20)</f>
        <v>11447.324000000001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8622.2759999999998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55000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9619.6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15546.309212560387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15546.309212560387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12173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YERSON</v>
      </c>
      <c r="D10" s="349"/>
      <c r="E10" s="349"/>
      <c r="F10" s="350" t="s">
        <v>167</v>
      </c>
      <c r="G10" s="351">
        <f>'2229'!G10</f>
        <v>46170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46177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+569 4881 2294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FRENTE 90°</v>
      </c>
      <c r="D22" s="320">
        <f>'2229'!D21*1000</f>
        <v>1060</v>
      </c>
      <c r="E22" s="320">
        <f>'2229'!E21*1000</f>
        <v>630</v>
      </c>
      <c r="F22" s="321" t="str">
        <f>'2229'!F21</f>
        <v>NEGRO MARMOL STOCK</v>
      </c>
      <c r="G22" s="313">
        <f>'2229'!G21</f>
        <v>45000</v>
      </c>
      <c r="H22" s="322">
        <f>G22*B22</f>
        <v>45000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45000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8550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53550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0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YERSON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46170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12173</v>
      </c>
      <c r="C2" s="1">
        <f>'NOTA DE VENTA'!$G$10</f>
        <v>46170</v>
      </c>
      <c r="D2" s="1">
        <f>'NOTA DE VENTA'!$G$11</f>
        <v>46177</v>
      </c>
      <c r="E2" t="str">
        <f>'NOTA DE VENTA'!$C$10</f>
        <v>YERSON</v>
      </c>
      <c r="F2" t="str">
        <f>'NOTA DE VENTA'!$C$22</f>
        <v>CUB CON RESPALDO FRENTE 90°</v>
      </c>
      <c r="G2" t="str">
        <f>'NOTA DE VENTA'!$F$22</f>
        <v>NEGRO MARMOL STOCK</v>
      </c>
      <c r="H2" s="415">
        <f>'NOTA DE VENTA'!$H$25</f>
        <v>45000</v>
      </c>
      <c r="I2" s="415">
        <f>H2*0.19</f>
        <v>8550</v>
      </c>
      <c r="J2" s="415">
        <f>I2+H2</f>
        <v>53550</v>
      </c>
      <c r="L2" s="61">
        <f>J2-K2</f>
        <v>53550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2229</vt:lpstr>
      <vt:lpstr>RESUMEN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2026-05-28T15:27:22Z</cp:lastPrinted>
  <dcterms:created xsi:type="dcterms:W3CDTF">2013-03-18T13:35:42Z</dcterms:created>
  <dcterms:modified xsi:type="dcterms:W3CDTF">2026-05-28T15:40:01Z</dcterms:modified>
</cp:coreProperties>
</file>